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8555" yWindow="15" windowWidth="19110" windowHeight="12285" activeTab="1"/>
  </bookViews>
  <sheets>
    <sheet name="Sheet1" sheetId="22" r:id="rId1"/>
    <sheet name="Config" sheetId="1" r:id="rId2"/>
    <sheet name=".r file" sheetId="2" r:id="rId3"/>
    <sheet name="Stanley" sheetId="177" r:id="rId4"/>
    <sheet name="Upper" sheetId="178" r:id="rId5"/>
    <sheet name="Wivenhoe" sheetId="179" r:id="rId6"/>
    <sheet name="Lockyer" sheetId="180" r:id="rId7"/>
    <sheet name="Bremer" sheetId="181" r:id="rId8"/>
    <sheet name="LowerTop" sheetId="182" r:id="rId9"/>
    <sheet name="LowerMid" sheetId="183" r:id="rId10"/>
    <sheet name="LowerBottom" sheetId="184" r:id="rId11"/>
    <sheet name="All Others" sheetId="185" r:id="rId12"/>
    <sheet name="cumulative" sheetId="3" r:id="rId13"/>
  </sheets>
  <calcPr calcId="145621"/>
  <fileRecoveryPr repairLoad="1"/>
</workbook>
</file>

<file path=xl/calcChain.xml><?xml version="1.0" encoding="utf-8"?>
<calcChain xmlns="http://schemas.openxmlformats.org/spreadsheetml/2006/main">
  <c r="AF4" i="3" l="1"/>
  <c r="AF5" i="3" s="1"/>
  <c r="AF6" i="3" s="1"/>
  <c r="AF7" i="3" s="1"/>
  <c r="AF8" i="3" s="1"/>
  <c r="AF9" i="3" s="1"/>
  <c r="AF10" i="3" s="1"/>
  <c r="AF11" i="3" s="1"/>
  <c r="AF12" i="3" s="1"/>
  <c r="AF13" i="3" s="1"/>
  <c r="AF14" i="3" s="1"/>
  <c r="AF15" i="3" s="1"/>
  <c r="AF16" i="3" s="1"/>
  <c r="AF17" i="3" s="1"/>
  <c r="AF18" i="3" s="1"/>
  <c r="AF19" i="3" s="1"/>
  <c r="AF20" i="3" s="1"/>
  <c r="AF21" i="3" s="1"/>
  <c r="AF22" i="3" s="1"/>
  <c r="AF23" i="3" s="1"/>
  <c r="AF24" i="3" s="1"/>
  <c r="AF25" i="3" s="1"/>
  <c r="AF26" i="3" s="1"/>
  <c r="AF27" i="3" s="1"/>
  <c r="AF28" i="3" s="1"/>
  <c r="AF29" i="3" s="1"/>
  <c r="AF30" i="3" s="1"/>
  <c r="AF31" i="3" s="1"/>
  <c r="AF32" i="3" s="1"/>
  <c r="AF33" i="3" s="1"/>
  <c r="AF34" i="3" s="1"/>
  <c r="AF35" i="3" s="1"/>
  <c r="AF36" i="3" s="1"/>
  <c r="AF37" i="3" s="1"/>
  <c r="AF38" i="3" s="1"/>
  <c r="AF39" i="3" s="1"/>
  <c r="AF40" i="3" s="1"/>
  <c r="AF41" i="3" s="1"/>
  <c r="AF42" i="3" s="1"/>
  <c r="AF43" i="3" s="1"/>
  <c r="AF44" i="3" s="1"/>
  <c r="AF45" i="3" s="1"/>
  <c r="AF46" i="3" s="1"/>
  <c r="AF47" i="3" s="1"/>
  <c r="AF48" i="3" s="1"/>
  <c r="AF49" i="3" s="1"/>
  <c r="AF50" i="3" s="1"/>
  <c r="AF51" i="3" s="1"/>
  <c r="AF52" i="3" s="1"/>
  <c r="AF53" i="3" s="1"/>
  <c r="AF54" i="3" s="1"/>
  <c r="AF55" i="3" s="1"/>
  <c r="AF56" i="3" s="1"/>
  <c r="AF57" i="3" s="1"/>
  <c r="AF58" i="3" s="1"/>
  <c r="AF59" i="3" s="1"/>
  <c r="AF60" i="3" s="1"/>
  <c r="AF61" i="3" s="1"/>
  <c r="AF62" i="3" s="1"/>
  <c r="AF63" i="3" s="1"/>
  <c r="AF64" i="3" s="1"/>
  <c r="AF65" i="3" s="1"/>
  <c r="AF66" i="3" s="1"/>
  <c r="AF67" i="3" s="1"/>
  <c r="AF68" i="3" s="1"/>
  <c r="AF69" i="3" s="1"/>
  <c r="AF70" i="3" s="1"/>
  <c r="AF71" i="3" s="1"/>
  <c r="AF72" i="3" s="1"/>
  <c r="AF73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AF105" i="3" s="1"/>
  <c r="AF106" i="3" s="1"/>
  <c r="AF107" i="3" s="1"/>
  <c r="AF108" i="3" s="1"/>
  <c r="AF109" i="3" s="1"/>
  <c r="AF110" i="3" s="1"/>
  <c r="AF111" i="3" s="1"/>
  <c r="AF112" i="3" s="1"/>
  <c r="AF113" i="3" s="1"/>
  <c r="AF114" i="3" s="1"/>
  <c r="AF115" i="3" s="1"/>
  <c r="AF116" i="3" s="1"/>
  <c r="AF117" i="3" s="1"/>
  <c r="AF118" i="3" s="1"/>
  <c r="AF119" i="3" s="1"/>
  <c r="AF120" i="3" s="1"/>
  <c r="AF121" i="3" s="1"/>
  <c r="AF122" i="3" s="1"/>
  <c r="AF123" i="3" s="1"/>
  <c r="AF124" i="3" s="1"/>
  <c r="AF125" i="3" s="1"/>
  <c r="AF126" i="3" s="1"/>
  <c r="AF127" i="3" s="1"/>
  <c r="AF128" i="3" s="1"/>
  <c r="AF129" i="3" s="1"/>
  <c r="AF130" i="3" s="1"/>
  <c r="AF131" i="3" s="1"/>
  <c r="AF132" i="3" s="1"/>
  <c r="AF133" i="3" s="1"/>
  <c r="AF134" i="3" s="1"/>
  <c r="AF135" i="3" s="1"/>
  <c r="AF136" i="3" s="1"/>
  <c r="AF137" i="3" s="1"/>
  <c r="AF138" i="3" s="1"/>
  <c r="AF139" i="3" s="1"/>
  <c r="AF140" i="3" s="1"/>
  <c r="AF141" i="3" s="1"/>
  <c r="AF142" i="3" s="1"/>
  <c r="AF143" i="3" s="1"/>
  <c r="AF144" i="3" s="1"/>
  <c r="AF145" i="3" s="1"/>
  <c r="AF146" i="3" s="1"/>
  <c r="AF147" i="3" s="1"/>
  <c r="AF148" i="3" s="1"/>
  <c r="AF149" i="3" s="1"/>
  <c r="AF150" i="3" s="1"/>
  <c r="AF151" i="3" s="1"/>
  <c r="AF152" i="3" s="1"/>
  <c r="AF153" i="3" s="1"/>
  <c r="AF154" i="3" s="1"/>
  <c r="AF155" i="3" s="1"/>
  <c r="AF156" i="3" s="1"/>
  <c r="AF157" i="3" s="1"/>
  <c r="AF158" i="3" s="1"/>
  <c r="AF159" i="3" s="1"/>
  <c r="AF160" i="3" s="1"/>
  <c r="AF161" i="3" s="1"/>
  <c r="AF162" i="3" s="1"/>
  <c r="AF163" i="3" s="1"/>
  <c r="AF164" i="3" s="1"/>
  <c r="AF165" i="3" s="1"/>
  <c r="AF166" i="3" s="1"/>
  <c r="AF167" i="3" s="1"/>
  <c r="AF168" i="3" s="1"/>
  <c r="AF169" i="3" s="1"/>
  <c r="AF170" i="3" s="1"/>
  <c r="AF171" i="3" s="1"/>
  <c r="AF172" i="3" s="1"/>
  <c r="AF173" i="3" s="1"/>
  <c r="AF174" i="3" s="1"/>
  <c r="AF175" i="3" s="1"/>
  <c r="AF176" i="3" s="1"/>
  <c r="AF177" i="3" s="1"/>
  <c r="AF178" i="3" s="1"/>
  <c r="AF179" i="3" s="1"/>
  <c r="AF180" i="3" s="1"/>
  <c r="AF181" i="3" s="1"/>
  <c r="AF182" i="3" s="1"/>
  <c r="AF183" i="3" s="1"/>
  <c r="AF184" i="3" s="1"/>
  <c r="AF185" i="3" s="1"/>
  <c r="AF186" i="3" s="1"/>
  <c r="AF187" i="3" s="1"/>
  <c r="AF188" i="3" s="1"/>
  <c r="AF189" i="3" s="1"/>
  <c r="AF190" i="3" s="1"/>
  <c r="AF191" i="3" s="1"/>
  <c r="AF192" i="3" s="1"/>
  <c r="AF193" i="3" s="1"/>
  <c r="AF194" i="3" s="1"/>
  <c r="AF195" i="3" s="1"/>
  <c r="AD4" i="3"/>
  <c r="AD5" i="3" s="1"/>
  <c r="AD6" i="3" s="1"/>
  <c r="AD7" i="3" s="1"/>
  <c r="AD8" i="3" s="1"/>
  <c r="AD9" i="3" s="1"/>
  <c r="AD10" i="3" s="1"/>
  <c r="AD11" i="3" s="1"/>
  <c r="AD12" i="3" s="1"/>
  <c r="AD13" i="3" s="1"/>
  <c r="AD14" i="3" s="1"/>
  <c r="AD15" i="3" s="1"/>
  <c r="AD16" i="3" s="1"/>
  <c r="AD17" i="3" s="1"/>
  <c r="AD18" i="3" s="1"/>
  <c r="AD19" i="3" s="1"/>
  <c r="AD20" i="3" s="1"/>
  <c r="AD21" i="3" s="1"/>
  <c r="AD22" i="3" s="1"/>
  <c r="AD23" i="3" s="1"/>
  <c r="AD24" i="3" s="1"/>
  <c r="AD25" i="3" s="1"/>
  <c r="AD26" i="3" s="1"/>
  <c r="AD27" i="3" s="1"/>
  <c r="AD28" i="3" s="1"/>
  <c r="AD29" i="3" s="1"/>
  <c r="AD30" i="3" s="1"/>
  <c r="AD31" i="3" s="1"/>
  <c r="AD32" i="3" s="1"/>
  <c r="AD33" i="3" s="1"/>
  <c r="AD34" i="3" s="1"/>
  <c r="AD35" i="3" s="1"/>
  <c r="AD36" i="3" s="1"/>
  <c r="AD37" i="3" s="1"/>
  <c r="AD38" i="3" s="1"/>
  <c r="AD39" i="3" s="1"/>
  <c r="AD40" i="3" s="1"/>
  <c r="AD41" i="3" s="1"/>
  <c r="AD42" i="3" s="1"/>
  <c r="AD43" i="3" s="1"/>
  <c r="AD44" i="3" s="1"/>
  <c r="AD45" i="3" s="1"/>
  <c r="AD46" i="3" s="1"/>
  <c r="AD47" i="3" s="1"/>
  <c r="AD48" i="3" s="1"/>
  <c r="AD49" i="3" s="1"/>
  <c r="AD50" i="3" s="1"/>
  <c r="AD51" i="3" s="1"/>
  <c r="AD52" i="3" s="1"/>
  <c r="AD53" i="3" s="1"/>
  <c r="AD54" i="3" s="1"/>
  <c r="AD55" i="3" s="1"/>
  <c r="AD56" i="3" s="1"/>
  <c r="AD57" i="3" s="1"/>
  <c r="AD58" i="3" s="1"/>
  <c r="AD59" i="3" s="1"/>
  <c r="AD60" i="3" s="1"/>
  <c r="AD61" i="3" s="1"/>
  <c r="AD62" i="3" s="1"/>
  <c r="AD63" i="3" s="1"/>
  <c r="AD64" i="3" s="1"/>
  <c r="AD65" i="3" s="1"/>
  <c r="AD66" i="3" s="1"/>
  <c r="AD67" i="3" s="1"/>
  <c r="AD68" i="3" s="1"/>
  <c r="AD69" i="3" s="1"/>
  <c r="AD70" i="3" s="1"/>
  <c r="AD71" i="3" s="1"/>
  <c r="AD72" i="3" s="1"/>
  <c r="AD73" i="3" s="1"/>
  <c r="AD74" i="3" s="1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AD105" i="3" s="1"/>
  <c r="AD106" i="3" s="1"/>
  <c r="AD107" i="3" s="1"/>
  <c r="AD108" i="3" s="1"/>
  <c r="AD109" i="3" s="1"/>
  <c r="AD110" i="3" s="1"/>
  <c r="AD111" i="3" s="1"/>
  <c r="AD112" i="3" s="1"/>
  <c r="AD113" i="3" s="1"/>
  <c r="AD114" i="3" s="1"/>
  <c r="AD115" i="3" s="1"/>
  <c r="AD116" i="3" s="1"/>
  <c r="AD117" i="3" s="1"/>
  <c r="AD118" i="3" s="1"/>
  <c r="AD119" i="3" s="1"/>
  <c r="AD120" i="3" s="1"/>
  <c r="AD121" i="3" s="1"/>
  <c r="AD122" i="3" s="1"/>
  <c r="AD123" i="3" s="1"/>
  <c r="AD124" i="3" s="1"/>
  <c r="AD125" i="3" s="1"/>
  <c r="AD126" i="3" s="1"/>
  <c r="AD127" i="3" s="1"/>
  <c r="AD128" i="3" s="1"/>
  <c r="AD129" i="3" s="1"/>
  <c r="AD130" i="3" s="1"/>
  <c r="AD131" i="3" s="1"/>
  <c r="AD132" i="3" s="1"/>
  <c r="AD133" i="3" s="1"/>
  <c r="AD134" i="3" s="1"/>
  <c r="AD135" i="3" s="1"/>
  <c r="AD136" i="3" s="1"/>
  <c r="AD137" i="3" s="1"/>
  <c r="AD138" i="3" s="1"/>
  <c r="AD139" i="3" s="1"/>
  <c r="AD140" i="3" s="1"/>
  <c r="AD141" i="3" s="1"/>
  <c r="AD142" i="3" s="1"/>
  <c r="AD143" i="3" s="1"/>
  <c r="AD144" i="3" s="1"/>
  <c r="AD145" i="3" s="1"/>
  <c r="AD146" i="3" s="1"/>
  <c r="AD147" i="3" s="1"/>
  <c r="AD148" i="3" s="1"/>
  <c r="AD149" i="3" s="1"/>
  <c r="AD150" i="3" s="1"/>
  <c r="AD151" i="3" s="1"/>
  <c r="AD152" i="3" s="1"/>
  <c r="AD153" i="3" s="1"/>
  <c r="AD154" i="3" s="1"/>
  <c r="AD155" i="3" s="1"/>
  <c r="AD156" i="3" s="1"/>
  <c r="AD157" i="3" s="1"/>
  <c r="AD158" i="3" s="1"/>
  <c r="AD159" i="3" s="1"/>
  <c r="AD160" i="3" s="1"/>
  <c r="AD161" i="3" s="1"/>
  <c r="AD162" i="3" s="1"/>
  <c r="AD163" i="3" s="1"/>
  <c r="AD164" i="3" s="1"/>
  <c r="AD165" i="3" s="1"/>
  <c r="AD166" i="3" s="1"/>
  <c r="AD167" i="3" s="1"/>
  <c r="AD168" i="3" s="1"/>
  <c r="AD169" i="3" s="1"/>
  <c r="AD170" i="3" s="1"/>
  <c r="AD171" i="3" s="1"/>
  <c r="AD172" i="3" s="1"/>
  <c r="AD173" i="3" s="1"/>
  <c r="AD174" i="3" s="1"/>
  <c r="AD175" i="3" s="1"/>
  <c r="AD176" i="3" s="1"/>
  <c r="AD177" i="3" s="1"/>
  <c r="AD178" i="3" s="1"/>
  <c r="AD179" i="3" s="1"/>
  <c r="AD180" i="3" s="1"/>
  <c r="AD181" i="3" s="1"/>
  <c r="AD182" i="3" s="1"/>
  <c r="AD183" i="3" s="1"/>
  <c r="AD184" i="3" s="1"/>
  <c r="AD185" i="3" s="1"/>
  <c r="AD186" i="3" s="1"/>
  <c r="AD187" i="3" s="1"/>
  <c r="AD188" i="3" s="1"/>
  <c r="AD189" i="3" s="1"/>
  <c r="AD190" i="3" s="1"/>
  <c r="AD191" i="3" s="1"/>
  <c r="AD192" i="3" s="1"/>
  <c r="AD193" i="3" s="1"/>
  <c r="AD194" i="3" s="1"/>
  <c r="AD195" i="3" s="1"/>
  <c r="AB4" i="3"/>
  <c r="AB5" i="3" s="1"/>
  <c r="AB6" i="3" s="1"/>
  <c r="AB7" i="3" s="1"/>
  <c r="AB8" i="3" s="1"/>
  <c r="AB9" i="3" s="1"/>
  <c r="AB10" i="3" s="1"/>
  <c r="AB11" i="3" s="1"/>
  <c r="AB12" i="3" s="1"/>
  <c r="AB13" i="3" s="1"/>
  <c r="AB14" i="3" s="1"/>
  <c r="AB15" i="3" s="1"/>
  <c r="AB16" i="3" s="1"/>
  <c r="AB17" i="3" s="1"/>
  <c r="AB18" i="3" s="1"/>
  <c r="AB19" i="3" s="1"/>
  <c r="AB20" i="3" s="1"/>
  <c r="AB21" i="3" s="1"/>
  <c r="AB22" i="3" s="1"/>
  <c r="AB23" i="3" s="1"/>
  <c r="AB24" i="3" s="1"/>
  <c r="AB25" i="3" s="1"/>
  <c r="AB26" i="3" s="1"/>
  <c r="AB27" i="3" s="1"/>
  <c r="AB28" i="3" s="1"/>
  <c r="AB29" i="3" s="1"/>
  <c r="AB30" i="3" s="1"/>
  <c r="AB31" i="3" s="1"/>
  <c r="AB32" i="3" s="1"/>
  <c r="AB33" i="3" s="1"/>
  <c r="AB34" i="3" s="1"/>
  <c r="AB35" i="3" s="1"/>
  <c r="AB36" i="3" s="1"/>
  <c r="AB37" i="3" s="1"/>
  <c r="AB38" i="3" s="1"/>
  <c r="AB39" i="3" s="1"/>
  <c r="AB40" i="3" s="1"/>
  <c r="AB41" i="3" s="1"/>
  <c r="AB42" i="3" s="1"/>
  <c r="AB43" i="3" s="1"/>
  <c r="AB44" i="3" s="1"/>
  <c r="AB45" i="3" s="1"/>
  <c r="AB46" i="3" s="1"/>
  <c r="AB47" i="3" s="1"/>
  <c r="AB48" i="3" s="1"/>
  <c r="AB49" i="3" s="1"/>
  <c r="AB50" i="3" s="1"/>
  <c r="AB51" i="3" s="1"/>
  <c r="AB52" i="3" s="1"/>
  <c r="AB53" i="3" s="1"/>
  <c r="AB54" i="3" s="1"/>
  <c r="AB55" i="3" s="1"/>
  <c r="AB56" i="3" s="1"/>
  <c r="AB57" i="3" s="1"/>
  <c r="AB58" i="3" s="1"/>
  <c r="AB59" i="3" s="1"/>
  <c r="AB60" i="3" s="1"/>
  <c r="AB61" i="3" s="1"/>
  <c r="AB62" i="3" s="1"/>
  <c r="AB63" i="3" s="1"/>
  <c r="AB64" i="3" s="1"/>
  <c r="AB65" i="3" s="1"/>
  <c r="AB66" i="3" s="1"/>
  <c r="AB67" i="3" s="1"/>
  <c r="AB68" i="3" s="1"/>
  <c r="AB69" i="3" s="1"/>
  <c r="AB70" i="3" s="1"/>
  <c r="AB71" i="3" s="1"/>
  <c r="AB72" i="3" s="1"/>
  <c r="AB73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AB105" i="3" s="1"/>
  <c r="AB106" i="3" s="1"/>
  <c r="AB107" i="3" s="1"/>
  <c r="AB108" i="3" s="1"/>
  <c r="AB109" i="3" s="1"/>
  <c r="AB110" i="3" s="1"/>
  <c r="AB111" i="3" s="1"/>
  <c r="AB112" i="3" s="1"/>
  <c r="AB113" i="3" s="1"/>
  <c r="AB114" i="3" s="1"/>
  <c r="AB115" i="3" s="1"/>
  <c r="AB116" i="3" s="1"/>
  <c r="AB117" i="3" s="1"/>
  <c r="AB118" i="3" s="1"/>
  <c r="AB119" i="3" s="1"/>
  <c r="AB120" i="3" s="1"/>
  <c r="AB121" i="3" s="1"/>
  <c r="AB122" i="3" s="1"/>
  <c r="AB123" i="3" s="1"/>
  <c r="AB124" i="3" s="1"/>
  <c r="AB125" i="3" s="1"/>
  <c r="AB126" i="3" s="1"/>
  <c r="AB127" i="3" s="1"/>
  <c r="AB128" i="3" s="1"/>
  <c r="AB129" i="3" s="1"/>
  <c r="AB130" i="3" s="1"/>
  <c r="AB131" i="3" s="1"/>
  <c r="AB132" i="3" s="1"/>
  <c r="AB133" i="3" s="1"/>
  <c r="AB134" i="3" s="1"/>
  <c r="AB135" i="3" s="1"/>
  <c r="AB136" i="3" s="1"/>
  <c r="AB137" i="3" s="1"/>
  <c r="AB138" i="3" s="1"/>
  <c r="AB139" i="3" s="1"/>
  <c r="AB140" i="3" s="1"/>
  <c r="AB141" i="3" s="1"/>
  <c r="AB142" i="3" s="1"/>
  <c r="AB143" i="3" s="1"/>
  <c r="AB144" i="3" s="1"/>
  <c r="AB145" i="3" s="1"/>
  <c r="AB146" i="3" s="1"/>
  <c r="AB147" i="3" s="1"/>
  <c r="AB148" i="3" s="1"/>
  <c r="AB149" i="3" s="1"/>
  <c r="AB150" i="3" s="1"/>
  <c r="AB151" i="3" s="1"/>
  <c r="AB152" i="3" s="1"/>
  <c r="AB153" i="3" s="1"/>
  <c r="AB154" i="3" s="1"/>
  <c r="AB155" i="3" s="1"/>
  <c r="AB156" i="3" s="1"/>
  <c r="AB157" i="3" s="1"/>
  <c r="AB158" i="3" s="1"/>
  <c r="AB159" i="3" s="1"/>
  <c r="AB160" i="3" s="1"/>
  <c r="AB161" i="3" s="1"/>
  <c r="AB162" i="3" s="1"/>
  <c r="AB163" i="3" s="1"/>
  <c r="AB164" i="3" s="1"/>
  <c r="AB165" i="3" s="1"/>
  <c r="AB166" i="3" s="1"/>
  <c r="AB167" i="3" s="1"/>
  <c r="AB168" i="3" s="1"/>
  <c r="AB169" i="3" s="1"/>
  <c r="AB170" i="3" s="1"/>
  <c r="AB171" i="3" s="1"/>
  <c r="AB172" i="3" s="1"/>
  <c r="AB173" i="3" s="1"/>
  <c r="AB174" i="3" s="1"/>
  <c r="AB175" i="3" s="1"/>
  <c r="AB176" i="3" s="1"/>
  <c r="AB177" i="3" s="1"/>
  <c r="AB178" i="3" s="1"/>
  <c r="AB179" i="3" s="1"/>
  <c r="AB180" i="3" s="1"/>
  <c r="AB181" i="3" s="1"/>
  <c r="AB182" i="3" s="1"/>
  <c r="AB183" i="3" s="1"/>
  <c r="AB184" i="3" s="1"/>
  <c r="AB185" i="3" s="1"/>
  <c r="AB186" i="3" s="1"/>
  <c r="AB187" i="3" s="1"/>
  <c r="AB188" i="3" s="1"/>
  <c r="AB189" i="3" s="1"/>
  <c r="AB190" i="3" s="1"/>
  <c r="AB191" i="3" s="1"/>
  <c r="AB192" i="3" s="1"/>
  <c r="AB193" i="3" s="1"/>
  <c r="AB194" i="3" s="1"/>
  <c r="AB195" i="3" s="1"/>
  <c r="Z4" i="3"/>
  <c r="Z5" i="3" s="1"/>
  <c r="Z6" i="3" s="1"/>
  <c r="Z7" i="3" s="1"/>
  <c r="Z8" i="3" s="1"/>
  <c r="Z9" i="3" s="1"/>
  <c r="Z10" i="3" s="1"/>
  <c r="Z11" i="3" s="1"/>
  <c r="Z12" i="3" s="1"/>
  <c r="Z13" i="3" s="1"/>
  <c r="Z14" i="3" s="1"/>
  <c r="Z15" i="3" s="1"/>
  <c r="Z16" i="3" s="1"/>
  <c r="Z17" i="3" s="1"/>
  <c r="Z18" i="3" s="1"/>
  <c r="Z19" i="3" s="1"/>
  <c r="Z20" i="3" s="1"/>
  <c r="Z21" i="3" s="1"/>
  <c r="Z22" i="3" s="1"/>
  <c r="Z23" i="3" s="1"/>
  <c r="Z24" i="3" s="1"/>
  <c r="Z25" i="3" s="1"/>
  <c r="Z26" i="3" s="1"/>
  <c r="Z27" i="3" s="1"/>
  <c r="Z28" i="3" s="1"/>
  <c r="Z29" i="3" s="1"/>
  <c r="Z30" i="3" s="1"/>
  <c r="Z31" i="3" s="1"/>
  <c r="Z32" i="3" s="1"/>
  <c r="Z33" i="3" s="1"/>
  <c r="Z34" i="3" s="1"/>
  <c r="Z35" i="3" s="1"/>
  <c r="Z36" i="3" s="1"/>
  <c r="Z37" i="3" s="1"/>
  <c r="Z38" i="3" s="1"/>
  <c r="Z39" i="3" s="1"/>
  <c r="Z40" i="3" s="1"/>
  <c r="Z41" i="3" s="1"/>
  <c r="Z42" i="3" s="1"/>
  <c r="Z43" i="3" s="1"/>
  <c r="Z44" i="3" s="1"/>
  <c r="Z45" i="3" s="1"/>
  <c r="Z46" i="3" s="1"/>
  <c r="Z47" i="3" s="1"/>
  <c r="Z48" i="3" s="1"/>
  <c r="Z49" i="3" s="1"/>
  <c r="Z50" i="3" s="1"/>
  <c r="Z51" i="3" s="1"/>
  <c r="Z52" i="3" s="1"/>
  <c r="Z53" i="3" s="1"/>
  <c r="Z54" i="3" s="1"/>
  <c r="Z55" i="3" s="1"/>
  <c r="Z56" i="3" s="1"/>
  <c r="Z57" i="3" s="1"/>
  <c r="Z58" i="3" s="1"/>
  <c r="Z59" i="3" s="1"/>
  <c r="Z60" i="3" s="1"/>
  <c r="Z61" i="3" s="1"/>
  <c r="Z62" i="3" s="1"/>
  <c r="Z63" i="3" s="1"/>
  <c r="Z64" i="3" s="1"/>
  <c r="Z65" i="3" s="1"/>
  <c r="Z66" i="3" s="1"/>
  <c r="Z67" i="3" s="1"/>
  <c r="Z68" i="3" s="1"/>
  <c r="Z69" i="3" s="1"/>
  <c r="Z70" i="3" s="1"/>
  <c r="Z71" i="3" s="1"/>
  <c r="Z72" i="3" s="1"/>
  <c r="Z73" i="3" s="1"/>
  <c r="Z74" i="3" s="1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Z105" i="3" s="1"/>
  <c r="Z106" i="3" s="1"/>
  <c r="Z107" i="3" s="1"/>
  <c r="Z108" i="3" s="1"/>
  <c r="Z109" i="3" s="1"/>
  <c r="Z110" i="3" s="1"/>
  <c r="Z111" i="3" s="1"/>
  <c r="Z112" i="3" s="1"/>
  <c r="Z113" i="3" s="1"/>
  <c r="Z114" i="3" s="1"/>
  <c r="Z115" i="3" s="1"/>
  <c r="Z116" i="3" s="1"/>
  <c r="Z117" i="3" s="1"/>
  <c r="Z118" i="3" s="1"/>
  <c r="Z119" i="3" s="1"/>
  <c r="Z120" i="3" s="1"/>
  <c r="Z121" i="3" s="1"/>
  <c r="Z122" i="3" s="1"/>
  <c r="Z123" i="3" s="1"/>
  <c r="Z124" i="3" s="1"/>
  <c r="Z125" i="3" s="1"/>
  <c r="Z126" i="3" s="1"/>
  <c r="Z127" i="3" s="1"/>
  <c r="Z128" i="3" s="1"/>
  <c r="Z129" i="3" s="1"/>
  <c r="Z130" i="3" s="1"/>
  <c r="Z131" i="3" s="1"/>
  <c r="Z132" i="3" s="1"/>
  <c r="Z133" i="3" s="1"/>
  <c r="Z134" i="3" s="1"/>
  <c r="Z135" i="3" s="1"/>
  <c r="Z136" i="3" s="1"/>
  <c r="Z137" i="3" s="1"/>
  <c r="Z138" i="3" s="1"/>
  <c r="Z139" i="3" s="1"/>
  <c r="Z140" i="3" s="1"/>
  <c r="Z141" i="3" s="1"/>
  <c r="Z142" i="3" s="1"/>
  <c r="Z143" i="3" s="1"/>
  <c r="Z144" i="3" s="1"/>
  <c r="Z145" i="3" s="1"/>
  <c r="Z146" i="3" s="1"/>
  <c r="Z147" i="3" s="1"/>
  <c r="Z148" i="3" s="1"/>
  <c r="Z149" i="3" s="1"/>
  <c r="Z150" i="3" s="1"/>
  <c r="Z151" i="3" s="1"/>
  <c r="Z152" i="3" s="1"/>
  <c r="Z153" i="3" s="1"/>
  <c r="Z154" i="3" s="1"/>
  <c r="Z155" i="3" s="1"/>
  <c r="Z156" i="3" s="1"/>
  <c r="Z157" i="3" s="1"/>
  <c r="Z158" i="3" s="1"/>
  <c r="Z159" i="3" s="1"/>
  <c r="Z160" i="3" s="1"/>
  <c r="Z161" i="3" s="1"/>
  <c r="Z162" i="3" s="1"/>
  <c r="Z163" i="3" s="1"/>
  <c r="Z164" i="3" s="1"/>
  <c r="Z165" i="3" s="1"/>
  <c r="Z166" i="3" s="1"/>
  <c r="Z167" i="3" s="1"/>
  <c r="Z168" i="3" s="1"/>
  <c r="Z169" i="3" s="1"/>
  <c r="Z170" i="3" s="1"/>
  <c r="Z171" i="3" s="1"/>
  <c r="Z172" i="3" s="1"/>
  <c r="Z173" i="3" s="1"/>
  <c r="Z174" i="3" s="1"/>
  <c r="Z175" i="3" s="1"/>
  <c r="Z176" i="3" s="1"/>
  <c r="Z177" i="3" s="1"/>
  <c r="Z178" i="3" s="1"/>
  <c r="Z179" i="3" s="1"/>
  <c r="Z180" i="3" s="1"/>
  <c r="Z181" i="3" s="1"/>
  <c r="Z182" i="3" s="1"/>
  <c r="Z183" i="3" s="1"/>
  <c r="Z184" i="3" s="1"/>
  <c r="Z185" i="3" s="1"/>
  <c r="Z186" i="3" s="1"/>
  <c r="Z187" i="3" s="1"/>
  <c r="Z188" i="3" s="1"/>
  <c r="Z189" i="3" s="1"/>
  <c r="Z190" i="3" s="1"/>
  <c r="Z191" i="3" s="1"/>
  <c r="Z192" i="3" s="1"/>
  <c r="Z193" i="3" s="1"/>
  <c r="Z194" i="3" s="1"/>
  <c r="Z195" i="3" s="1"/>
  <c r="X4" i="3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X105" i="3" s="1"/>
  <c r="X106" i="3" s="1"/>
  <c r="X107" i="3" s="1"/>
  <c r="X108" i="3" s="1"/>
  <c r="X109" i="3" s="1"/>
  <c r="X110" i="3" s="1"/>
  <c r="X111" i="3" s="1"/>
  <c r="X112" i="3" s="1"/>
  <c r="X113" i="3" s="1"/>
  <c r="X114" i="3" s="1"/>
  <c r="X115" i="3" s="1"/>
  <c r="X116" i="3" s="1"/>
  <c r="X117" i="3" s="1"/>
  <c r="X118" i="3" s="1"/>
  <c r="X119" i="3" s="1"/>
  <c r="X120" i="3" s="1"/>
  <c r="X121" i="3" s="1"/>
  <c r="X122" i="3" s="1"/>
  <c r="X123" i="3" s="1"/>
  <c r="X124" i="3" s="1"/>
  <c r="X125" i="3" s="1"/>
  <c r="X126" i="3" s="1"/>
  <c r="X127" i="3" s="1"/>
  <c r="X128" i="3" s="1"/>
  <c r="X129" i="3" s="1"/>
  <c r="X130" i="3" s="1"/>
  <c r="X131" i="3" s="1"/>
  <c r="X132" i="3" s="1"/>
  <c r="X133" i="3" s="1"/>
  <c r="X134" i="3" s="1"/>
  <c r="X135" i="3" s="1"/>
  <c r="X136" i="3" s="1"/>
  <c r="X137" i="3" s="1"/>
  <c r="X138" i="3" s="1"/>
  <c r="X139" i="3" s="1"/>
  <c r="X140" i="3" s="1"/>
  <c r="X141" i="3" s="1"/>
  <c r="X142" i="3" s="1"/>
  <c r="X143" i="3" s="1"/>
  <c r="X144" i="3" s="1"/>
  <c r="X145" i="3" s="1"/>
  <c r="X146" i="3" s="1"/>
  <c r="X147" i="3" s="1"/>
  <c r="X148" i="3" s="1"/>
  <c r="X149" i="3" s="1"/>
  <c r="X150" i="3" s="1"/>
  <c r="X151" i="3" s="1"/>
  <c r="X152" i="3" s="1"/>
  <c r="X153" i="3" s="1"/>
  <c r="X154" i="3" s="1"/>
  <c r="X155" i="3" s="1"/>
  <c r="X156" i="3" s="1"/>
  <c r="X157" i="3" s="1"/>
  <c r="X158" i="3" s="1"/>
  <c r="X159" i="3" s="1"/>
  <c r="X160" i="3" s="1"/>
  <c r="X161" i="3" s="1"/>
  <c r="X162" i="3" s="1"/>
  <c r="X163" i="3" s="1"/>
  <c r="X164" i="3" s="1"/>
  <c r="X165" i="3" s="1"/>
  <c r="X166" i="3" s="1"/>
  <c r="X167" i="3" s="1"/>
  <c r="X168" i="3" s="1"/>
  <c r="X169" i="3" s="1"/>
  <c r="X170" i="3" s="1"/>
  <c r="X171" i="3" s="1"/>
  <c r="X172" i="3" s="1"/>
  <c r="X173" i="3" s="1"/>
  <c r="X174" i="3" s="1"/>
  <c r="X175" i="3" s="1"/>
  <c r="X176" i="3" s="1"/>
  <c r="X177" i="3" s="1"/>
  <c r="X178" i="3" s="1"/>
  <c r="X179" i="3" s="1"/>
  <c r="X180" i="3" s="1"/>
  <c r="X181" i="3" s="1"/>
  <c r="X182" i="3" s="1"/>
  <c r="X183" i="3" s="1"/>
  <c r="X184" i="3" s="1"/>
  <c r="X185" i="3" s="1"/>
  <c r="X186" i="3" s="1"/>
  <c r="X187" i="3" s="1"/>
  <c r="X188" i="3" s="1"/>
  <c r="X189" i="3" s="1"/>
  <c r="X190" i="3" s="1"/>
  <c r="X191" i="3" s="1"/>
  <c r="X192" i="3" s="1"/>
  <c r="X193" i="3" s="1"/>
  <c r="X194" i="3" s="1"/>
  <c r="X195" i="3" s="1"/>
  <c r="V4" i="3"/>
  <c r="V5" i="3" s="1"/>
  <c r="V6" i="3" s="1"/>
  <c r="V7" i="3" s="1"/>
  <c r="V8" i="3" s="1"/>
  <c r="V9" i="3" s="1"/>
  <c r="V10" i="3" s="1"/>
  <c r="V11" i="3" s="1"/>
  <c r="V12" i="3" s="1"/>
  <c r="V13" i="3" s="1"/>
  <c r="V14" i="3" s="1"/>
  <c r="V15" i="3" s="1"/>
  <c r="V16" i="3" s="1"/>
  <c r="V17" i="3" s="1"/>
  <c r="V18" i="3" s="1"/>
  <c r="V19" i="3" s="1"/>
  <c r="V20" i="3" s="1"/>
  <c r="V21" i="3" s="1"/>
  <c r="V22" i="3" s="1"/>
  <c r="V23" i="3" s="1"/>
  <c r="V24" i="3" s="1"/>
  <c r="V25" i="3" s="1"/>
  <c r="V26" i="3" s="1"/>
  <c r="V27" i="3" s="1"/>
  <c r="V28" i="3" s="1"/>
  <c r="V29" i="3" s="1"/>
  <c r="V30" i="3" s="1"/>
  <c r="V31" i="3" s="1"/>
  <c r="V32" i="3" s="1"/>
  <c r="V33" i="3" s="1"/>
  <c r="V34" i="3" s="1"/>
  <c r="V35" i="3" s="1"/>
  <c r="V36" i="3" s="1"/>
  <c r="V37" i="3" s="1"/>
  <c r="V38" i="3" s="1"/>
  <c r="V39" i="3" s="1"/>
  <c r="V40" i="3" s="1"/>
  <c r="V41" i="3" s="1"/>
  <c r="V42" i="3" s="1"/>
  <c r="V43" i="3" s="1"/>
  <c r="V44" i="3" s="1"/>
  <c r="V45" i="3" s="1"/>
  <c r="V46" i="3" s="1"/>
  <c r="V47" i="3" s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V70" i="3" s="1"/>
  <c r="V71" i="3" s="1"/>
  <c r="V72" i="3" s="1"/>
  <c r="V73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V105" i="3" s="1"/>
  <c r="V106" i="3" s="1"/>
  <c r="V107" i="3" s="1"/>
  <c r="V108" i="3" s="1"/>
  <c r="V109" i="3" s="1"/>
  <c r="V110" i="3" s="1"/>
  <c r="V111" i="3" s="1"/>
  <c r="V112" i="3" s="1"/>
  <c r="V113" i="3" s="1"/>
  <c r="V114" i="3" s="1"/>
  <c r="V115" i="3" s="1"/>
  <c r="V116" i="3" s="1"/>
  <c r="V117" i="3" s="1"/>
  <c r="V118" i="3" s="1"/>
  <c r="V119" i="3" s="1"/>
  <c r="V120" i="3" s="1"/>
  <c r="V121" i="3" s="1"/>
  <c r="V122" i="3" s="1"/>
  <c r="V123" i="3" s="1"/>
  <c r="V124" i="3" s="1"/>
  <c r="V125" i="3" s="1"/>
  <c r="V126" i="3" s="1"/>
  <c r="V127" i="3" s="1"/>
  <c r="V128" i="3" s="1"/>
  <c r="V129" i="3" s="1"/>
  <c r="V130" i="3" s="1"/>
  <c r="V131" i="3" s="1"/>
  <c r="V132" i="3" s="1"/>
  <c r="V133" i="3" s="1"/>
  <c r="V134" i="3" s="1"/>
  <c r="V135" i="3" s="1"/>
  <c r="V136" i="3" s="1"/>
  <c r="V137" i="3" s="1"/>
  <c r="V138" i="3" s="1"/>
  <c r="V139" i="3" s="1"/>
  <c r="V140" i="3" s="1"/>
  <c r="V141" i="3" s="1"/>
  <c r="V142" i="3" s="1"/>
  <c r="V143" i="3" s="1"/>
  <c r="V144" i="3" s="1"/>
  <c r="V145" i="3" s="1"/>
  <c r="V146" i="3" s="1"/>
  <c r="V147" i="3" s="1"/>
  <c r="V148" i="3" s="1"/>
  <c r="V149" i="3" s="1"/>
  <c r="V150" i="3" s="1"/>
  <c r="V151" i="3" s="1"/>
  <c r="V152" i="3" s="1"/>
  <c r="V153" i="3" s="1"/>
  <c r="V154" i="3" s="1"/>
  <c r="V155" i="3" s="1"/>
  <c r="V156" i="3" s="1"/>
  <c r="V157" i="3" s="1"/>
  <c r="V158" i="3" s="1"/>
  <c r="V159" i="3" s="1"/>
  <c r="V160" i="3" s="1"/>
  <c r="V161" i="3" s="1"/>
  <c r="V162" i="3" s="1"/>
  <c r="V163" i="3" s="1"/>
  <c r="V164" i="3" s="1"/>
  <c r="V165" i="3" s="1"/>
  <c r="V166" i="3" s="1"/>
  <c r="V167" i="3" s="1"/>
  <c r="V168" i="3" s="1"/>
  <c r="V169" i="3" s="1"/>
  <c r="V170" i="3" s="1"/>
  <c r="V171" i="3" s="1"/>
  <c r="V172" i="3" s="1"/>
  <c r="V173" i="3" s="1"/>
  <c r="V174" i="3" s="1"/>
  <c r="V175" i="3" s="1"/>
  <c r="V176" i="3" s="1"/>
  <c r="V177" i="3" s="1"/>
  <c r="V178" i="3" s="1"/>
  <c r="V179" i="3" s="1"/>
  <c r="V180" i="3" s="1"/>
  <c r="V181" i="3" s="1"/>
  <c r="V182" i="3" s="1"/>
  <c r="V183" i="3" s="1"/>
  <c r="V184" i="3" s="1"/>
  <c r="V185" i="3" s="1"/>
  <c r="V186" i="3" s="1"/>
  <c r="V187" i="3" s="1"/>
  <c r="V188" i="3" s="1"/>
  <c r="V189" i="3" s="1"/>
  <c r="V190" i="3" s="1"/>
  <c r="V191" i="3" s="1"/>
  <c r="V192" i="3" s="1"/>
  <c r="V193" i="3" s="1"/>
  <c r="V194" i="3" s="1"/>
  <c r="V195" i="3" s="1"/>
  <c r="T4" i="3"/>
  <c r="T5" i="3" s="1"/>
  <c r="T6" i="3" s="1"/>
  <c r="T7" i="3" s="1"/>
  <c r="T8" i="3" s="1"/>
  <c r="T9" i="3" s="1"/>
  <c r="T10" i="3" s="1"/>
  <c r="T11" i="3" s="1"/>
  <c r="T12" i="3" s="1"/>
  <c r="T13" i="3" s="1"/>
  <c r="T14" i="3" s="1"/>
  <c r="T15" i="3" s="1"/>
  <c r="T16" i="3" s="1"/>
  <c r="T17" i="3" s="1"/>
  <c r="T18" i="3" s="1"/>
  <c r="T19" i="3" s="1"/>
  <c r="T20" i="3" s="1"/>
  <c r="T21" i="3" s="1"/>
  <c r="T22" i="3" s="1"/>
  <c r="T23" i="3" s="1"/>
  <c r="T24" i="3" s="1"/>
  <c r="T25" i="3" s="1"/>
  <c r="T26" i="3" s="1"/>
  <c r="T27" i="3" s="1"/>
  <c r="T28" i="3" s="1"/>
  <c r="T29" i="3" s="1"/>
  <c r="T30" i="3" s="1"/>
  <c r="T31" i="3" s="1"/>
  <c r="T32" i="3" s="1"/>
  <c r="T33" i="3" s="1"/>
  <c r="T34" i="3" s="1"/>
  <c r="T35" i="3" s="1"/>
  <c r="T36" i="3" s="1"/>
  <c r="T37" i="3" s="1"/>
  <c r="T38" i="3" s="1"/>
  <c r="T39" i="3" s="1"/>
  <c r="T40" i="3" s="1"/>
  <c r="T41" i="3" s="1"/>
  <c r="T42" i="3" s="1"/>
  <c r="T43" i="3" s="1"/>
  <c r="T44" i="3" s="1"/>
  <c r="T45" i="3" s="1"/>
  <c r="T46" i="3" s="1"/>
  <c r="T47" i="3" s="1"/>
  <c r="T48" i="3" s="1"/>
  <c r="T49" i="3" s="1"/>
  <c r="T50" i="3" s="1"/>
  <c r="T51" i="3" s="1"/>
  <c r="T52" i="3" s="1"/>
  <c r="T53" i="3" s="1"/>
  <c r="T54" i="3" s="1"/>
  <c r="T55" i="3" s="1"/>
  <c r="T56" i="3" s="1"/>
  <c r="T57" i="3" s="1"/>
  <c r="T58" i="3" s="1"/>
  <c r="T59" i="3" s="1"/>
  <c r="T60" i="3" s="1"/>
  <c r="T61" i="3" s="1"/>
  <c r="T62" i="3" s="1"/>
  <c r="T63" i="3" s="1"/>
  <c r="T64" i="3" s="1"/>
  <c r="T65" i="3" s="1"/>
  <c r="T66" i="3" s="1"/>
  <c r="T67" i="3" s="1"/>
  <c r="T68" i="3" s="1"/>
  <c r="T69" i="3" s="1"/>
  <c r="T70" i="3" s="1"/>
  <c r="T71" i="3" s="1"/>
  <c r="T72" i="3" s="1"/>
  <c r="T73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T105" i="3" s="1"/>
  <c r="T106" i="3" s="1"/>
  <c r="T107" i="3" s="1"/>
  <c r="T108" i="3" s="1"/>
  <c r="T109" i="3" s="1"/>
  <c r="T110" i="3" s="1"/>
  <c r="T111" i="3" s="1"/>
  <c r="T112" i="3" s="1"/>
  <c r="T113" i="3" s="1"/>
  <c r="T114" i="3" s="1"/>
  <c r="T115" i="3" s="1"/>
  <c r="T116" i="3" s="1"/>
  <c r="T117" i="3" s="1"/>
  <c r="T118" i="3" s="1"/>
  <c r="T119" i="3" s="1"/>
  <c r="T120" i="3" s="1"/>
  <c r="T121" i="3" s="1"/>
  <c r="T122" i="3" s="1"/>
  <c r="T123" i="3" s="1"/>
  <c r="T124" i="3" s="1"/>
  <c r="T125" i="3" s="1"/>
  <c r="T126" i="3" s="1"/>
  <c r="T127" i="3" s="1"/>
  <c r="T128" i="3" s="1"/>
  <c r="T129" i="3" s="1"/>
  <c r="T130" i="3" s="1"/>
  <c r="T131" i="3" s="1"/>
  <c r="T132" i="3" s="1"/>
  <c r="T133" i="3" s="1"/>
  <c r="T134" i="3" s="1"/>
  <c r="T135" i="3" s="1"/>
  <c r="T136" i="3" s="1"/>
  <c r="T137" i="3" s="1"/>
  <c r="T138" i="3" s="1"/>
  <c r="T139" i="3" s="1"/>
  <c r="T140" i="3" s="1"/>
  <c r="T141" i="3" s="1"/>
  <c r="T142" i="3" s="1"/>
  <c r="T143" i="3" s="1"/>
  <c r="T144" i="3" s="1"/>
  <c r="T145" i="3" s="1"/>
  <c r="T146" i="3" s="1"/>
  <c r="T147" i="3" s="1"/>
  <c r="T148" i="3" s="1"/>
  <c r="T149" i="3" s="1"/>
  <c r="T150" i="3" s="1"/>
  <c r="T151" i="3" s="1"/>
  <c r="T152" i="3" s="1"/>
  <c r="T153" i="3" s="1"/>
  <c r="T154" i="3" s="1"/>
  <c r="T155" i="3" s="1"/>
  <c r="T156" i="3" s="1"/>
  <c r="T157" i="3" s="1"/>
  <c r="T158" i="3" s="1"/>
  <c r="T159" i="3" s="1"/>
  <c r="T160" i="3" s="1"/>
  <c r="T161" i="3" s="1"/>
  <c r="T162" i="3" s="1"/>
  <c r="T163" i="3" s="1"/>
  <c r="T164" i="3" s="1"/>
  <c r="T165" i="3" s="1"/>
  <c r="T166" i="3" s="1"/>
  <c r="T167" i="3" s="1"/>
  <c r="T168" i="3" s="1"/>
  <c r="T169" i="3" s="1"/>
  <c r="T170" i="3" s="1"/>
  <c r="T171" i="3" s="1"/>
  <c r="T172" i="3" s="1"/>
  <c r="T173" i="3" s="1"/>
  <c r="T174" i="3" s="1"/>
  <c r="T175" i="3" s="1"/>
  <c r="T176" i="3" s="1"/>
  <c r="T177" i="3" s="1"/>
  <c r="T178" i="3" s="1"/>
  <c r="T179" i="3" s="1"/>
  <c r="T180" i="3" s="1"/>
  <c r="T181" i="3" s="1"/>
  <c r="T182" i="3" s="1"/>
  <c r="T183" i="3" s="1"/>
  <c r="T184" i="3" s="1"/>
  <c r="T185" i="3" s="1"/>
  <c r="T186" i="3" s="1"/>
  <c r="T187" i="3" s="1"/>
  <c r="T188" i="3" s="1"/>
  <c r="T189" i="3" s="1"/>
  <c r="T190" i="3" s="1"/>
  <c r="T191" i="3" s="1"/>
  <c r="T192" i="3" s="1"/>
  <c r="T193" i="3" s="1"/>
  <c r="T194" i="3" s="1"/>
  <c r="T195" i="3" s="1"/>
  <c r="R4" i="3"/>
  <c r="R5" i="3" s="1"/>
  <c r="R6" i="3" s="1"/>
  <c r="R7" i="3" s="1"/>
  <c r="R8" i="3" s="1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R20" i="3" s="1"/>
  <c r="R21" i="3" s="1"/>
  <c r="R22" i="3" s="1"/>
  <c r="R23" i="3" s="1"/>
  <c r="R24" i="3" s="1"/>
  <c r="R25" i="3" s="1"/>
  <c r="R26" i="3" s="1"/>
  <c r="R27" i="3" s="1"/>
  <c r="R28" i="3" s="1"/>
  <c r="R29" i="3" s="1"/>
  <c r="R30" i="3" s="1"/>
  <c r="R31" i="3" s="1"/>
  <c r="R32" i="3" s="1"/>
  <c r="R33" i="3" s="1"/>
  <c r="R34" i="3" s="1"/>
  <c r="R35" i="3" s="1"/>
  <c r="R36" i="3" s="1"/>
  <c r="R37" i="3" s="1"/>
  <c r="R38" i="3" s="1"/>
  <c r="R39" i="3" s="1"/>
  <c r="R40" i="3" s="1"/>
  <c r="R41" i="3" s="1"/>
  <c r="R42" i="3" s="1"/>
  <c r="R43" i="3" s="1"/>
  <c r="R44" i="3" s="1"/>
  <c r="R45" i="3" s="1"/>
  <c r="R46" i="3" s="1"/>
  <c r="R47" i="3" s="1"/>
  <c r="R48" i="3" s="1"/>
  <c r="R49" i="3" s="1"/>
  <c r="R50" i="3" s="1"/>
  <c r="R51" i="3" s="1"/>
  <c r="R52" i="3" s="1"/>
  <c r="R53" i="3" s="1"/>
  <c r="R54" i="3" s="1"/>
  <c r="R55" i="3" s="1"/>
  <c r="R56" i="3" s="1"/>
  <c r="R57" i="3" s="1"/>
  <c r="R58" i="3" s="1"/>
  <c r="R59" i="3" s="1"/>
  <c r="R60" i="3" s="1"/>
  <c r="R61" i="3" s="1"/>
  <c r="R62" i="3" s="1"/>
  <c r="R63" i="3" s="1"/>
  <c r="R64" i="3" s="1"/>
  <c r="R65" i="3" s="1"/>
  <c r="R66" i="3" s="1"/>
  <c r="R67" i="3" s="1"/>
  <c r="R68" i="3" s="1"/>
  <c r="R69" i="3" s="1"/>
  <c r="R70" i="3" s="1"/>
  <c r="R71" i="3" s="1"/>
  <c r="R72" i="3" s="1"/>
  <c r="R73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R105" i="3" s="1"/>
  <c r="R106" i="3" s="1"/>
  <c r="R107" i="3" s="1"/>
  <c r="R108" i="3" s="1"/>
  <c r="R109" i="3" s="1"/>
  <c r="R110" i="3" s="1"/>
  <c r="R111" i="3" s="1"/>
  <c r="R112" i="3" s="1"/>
  <c r="R113" i="3" s="1"/>
  <c r="R114" i="3" s="1"/>
  <c r="R115" i="3" s="1"/>
  <c r="R116" i="3" s="1"/>
  <c r="R117" i="3" s="1"/>
  <c r="R118" i="3" s="1"/>
  <c r="R119" i="3" s="1"/>
  <c r="R120" i="3" s="1"/>
  <c r="R121" i="3" s="1"/>
  <c r="R122" i="3" s="1"/>
  <c r="R123" i="3" s="1"/>
  <c r="R124" i="3" s="1"/>
  <c r="R125" i="3" s="1"/>
  <c r="R126" i="3" s="1"/>
  <c r="R127" i="3" s="1"/>
  <c r="R128" i="3" s="1"/>
  <c r="R129" i="3" s="1"/>
  <c r="R130" i="3" s="1"/>
  <c r="R131" i="3" s="1"/>
  <c r="R132" i="3" s="1"/>
  <c r="R133" i="3" s="1"/>
  <c r="R134" i="3" s="1"/>
  <c r="R135" i="3" s="1"/>
  <c r="R136" i="3" s="1"/>
  <c r="R137" i="3" s="1"/>
  <c r="R138" i="3" s="1"/>
  <c r="R139" i="3" s="1"/>
  <c r="R140" i="3" s="1"/>
  <c r="R141" i="3" s="1"/>
  <c r="R142" i="3" s="1"/>
  <c r="R143" i="3" s="1"/>
  <c r="R144" i="3" s="1"/>
  <c r="R145" i="3" s="1"/>
  <c r="R146" i="3" s="1"/>
  <c r="R147" i="3" s="1"/>
  <c r="R148" i="3" s="1"/>
  <c r="R149" i="3" s="1"/>
  <c r="R150" i="3" s="1"/>
  <c r="R151" i="3" s="1"/>
  <c r="R152" i="3" s="1"/>
  <c r="R153" i="3" s="1"/>
  <c r="R154" i="3" s="1"/>
  <c r="R155" i="3" s="1"/>
  <c r="R156" i="3" s="1"/>
  <c r="R157" i="3" s="1"/>
  <c r="R158" i="3" s="1"/>
  <c r="R159" i="3" s="1"/>
  <c r="R160" i="3" s="1"/>
  <c r="R161" i="3" s="1"/>
  <c r="R162" i="3" s="1"/>
  <c r="R163" i="3" s="1"/>
  <c r="R164" i="3" s="1"/>
  <c r="R165" i="3" s="1"/>
  <c r="R166" i="3" s="1"/>
  <c r="R167" i="3" s="1"/>
  <c r="R168" i="3" s="1"/>
  <c r="R169" i="3" s="1"/>
  <c r="R170" i="3" s="1"/>
  <c r="R171" i="3" s="1"/>
  <c r="R172" i="3" s="1"/>
  <c r="R173" i="3" s="1"/>
  <c r="R174" i="3" s="1"/>
  <c r="R175" i="3" s="1"/>
  <c r="R176" i="3" s="1"/>
  <c r="R177" i="3" s="1"/>
  <c r="R178" i="3" s="1"/>
  <c r="R179" i="3" s="1"/>
  <c r="R180" i="3" s="1"/>
  <c r="R181" i="3" s="1"/>
  <c r="R182" i="3" s="1"/>
  <c r="R183" i="3" s="1"/>
  <c r="R184" i="3" s="1"/>
  <c r="R185" i="3" s="1"/>
  <c r="R186" i="3" s="1"/>
  <c r="R187" i="3" s="1"/>
  <c r="R188" i="3" s="1"/>
  <c r="R189" i="3" s="1"/>
  <c r="R190" i="3" s="1"/>
  <c r="R191" i="3" s="1"/>
  <c r="R192" i="3" s="1"/>
  <c r="R193" i="3" s="1"/>
  <c r="R194" i="3" s="1"/>
  <c r="R195" i="3" s="1"/>
  <c r="P4" i="3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41" i="3" s="1"/>
  <c r="P42" i="3" s="1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69" i="3" s="1"/>
  <c r="P70" i="3" s="1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P105" i="3" s="1"/>
  <c r="P106" i="3" s="1"/>
  <c r="P107" i="3" s="1"/>
  <c r="P108" i="3" s="1"/>
  <c r="P109" i="3" s="1"/>
  <c r="P110" i="3" s="1"/>
  <c r="P111" i="3" s="1"/>
  <c r="P112" i="3" s="1"/>
  <c r="P113" i="3" s="1"/>
  <c r="P114" i="3" s="1"/>
  <c r="P115" i="3" s="1"/>
  <c r="P116" i="3" s="1"/>
  <c r="P117" i="3" s="1"/>
  <c r="P118" i="3" s="1"/>
  <c r="P119" i="3" s="1"/>
  <c r="P120" i="3" s="1"/>
  <c r="P121" i="3" s="1"/>
  <c r="P122" i="3" s="1"/>
  <c r="P123" i="3" s="1"/>
  <c r="P124" i="3" s="1"/>
  <c r="P125" i="3" s="1"/>
  <c r="P126" i="3" s="1"/>
  <c r="P127" i="3" s="1"/>
  <c r="P128" i="3" s="1"/>
  <c r="P129" i="3" s="1"/>
  <c r="P130" i="3" s="1"/>
  <c r="P131" i="3" s="1"/>
  <c r="P132" i="3" s="1"/>
  <c r="P133" i="3" s="1"/>
  <c r="P134" i="3" s="1"/>
  <c r="P135" i="3" s="1"/>
  <c r="P136" i="3" s="1"/>
  <c r="P137" i="3" s="1"/>
  <c r="P138" i="3" s="1"/>
  <c r="P139" i="3" s="1"/>
  <c r="P140" i="3" s="1"/>
  <c r="P141" i="3" s="1"/>
  <c r="P142" i="3" s="1"/>
  <c r="P143" i="3" s="1"/>
  <c r="P144" i="3" s="1"/>
  <c r="P145" i="3" s="1"/>
  <c r="P146" i="3" s="1"/>
  <c r="P147" i="3" s="1"/>
  <c r="P148" i="3" s="1"/>
  <c r="P149" i="3" s="1"/>
  <c r="P150" i="3" s="1"/>
  <c r="P151" i="3" s="1"/>
  <c r="P152" i="3" s="1"/>
  <c r="P153" i="3" s="1"/>
  <c r="P154" i="3" s="1"/>
  <c r="P155" i="3" s="1"/>
  <c r="P156" i="3" s="1"/>
  <c r="P157" i="3" s="1"/>
  <c r="P158" i="3" s="1"/>
  <c r="P159" i="3" s="1"/>
  <c r="P160" i="3" s="1"/>
  <c r="P161" i="3" s="1"/>
  <c r="P162" i="3" s="1"/>
  <c r="P163" i="3" s="1"/>
  <c r="P164" i="3" s="1"/>
  <c r="P165" i="3" s="1"/>
  <c r="P166" i="3" s="1"/>
  <c r="P167" i="3" s="1"/>
  <c r="P168" i="3" s="1"/>
  <c r="P169" i="3" s="1"/>
  <c r="P170" i="3" s="1"/>
  <c r="P171" i="3" s="1"/>
  <c r="P172" i="3" s="1"/>
  <c r="P173" i="3" s="1"/>
  <c r="P174" i="3" s="1"/>
  <c r="P175" i="3" s="1"/>
  <c r="P176" i="3" s="1"/>
  <c r="P177" i="3" s="1"/>
  <c r="P178" i="3" s="1"/>
  <c r="P179" i="3" s="1"/>
  <c r="P180" i="3" s="1"/>
  <c r="P181" i="3" s="1"/>
  <c r="P182" i="3" s="1"/>
  <c r="P183" i="3" s="1"/>
  <c r="P184" i="3" s="1"/>
  <c r="P185" i="3" s="1"/>
  <c r="P186" i="3" s="1"/>
  <c r="P187" i="3" s="1"/>
  <c r="P188" i="3" s="1"/>
  <c r="P189" i="3" s="1"/>
  <c r="P190" i="3" s="1"/>
  <c r="P191" i="3" s="1"/>
  <c r="P192" i="3" s="1"/>
  <c r="P193" i="3" s="1"/>
  <c r="P194" i="3" s="1"/>
  <c r="P195" i="3" s="1"/>
  <c r="N4" i="3"/>
  <c r="N5" i="3" s="1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N32" i="3" s="1"/>
  <c r="N33" i="3" s="1"/>
  <c r="N34" i="3" s="1"/>
  <c r="N35" i="3" s="1"/>
  <c r="N36" i="3" s="1"/>
  <c r="N37" i="3" s="1"/>
  <c r="N38" i="3" s="1"/>
  <c r="N39" i="3" s="1"/>
  <c r="N40" i="3" s="1"/>
  <c r="N41" i="3" s="1"/>
  <c r="N42" i="3" s="1"/>
  <c r="N43" i="3" s="1"/>
  <c r="N44" i="3" s="1"/>
  <c r="N45" i="3" s="1"/>
  <c r="N46" i="3" s="1"/>
  <c r="N47" i="3" s="1"/>
  <c r="N48" i="3" s="1"/>
  <c r="N49" i="3" s="1"/>
  <c r="N50" i="3" s="1"/>
  <c r="N51" i="3" s="1"/>
  <c r="N52" i="3" s="1"/>
  <c r="N53" i="3" s="1"/>
  <c r="N54" i="3" s="1"/>
  <c r="N55" i="3" s="1"/>
  <c r="N56" i="3" s="1"/>
  <c r="N57" i="3" s="1"/>
  <c r="N58" i="3" s="1"/>
  <c r="N59" i="3" s="1"/>
  <c r="N60" i="3" s="1"/>
  <c r="N61" i="3" s="1"/>
  <c r="N62" i="3" s="1"/>
  <c r="N63" i="3" s="1"/>
  <c r="N64" i="3" s="1"/>
  <c r="N65" i="3" s="1"/>
  <c r="N66" i="3" s="1"/>
  <c r="N67" i="3" s="1"/>
  <c r="N68" i="3" s="1"/>
  <c r="N69" i="3" s="1"/>
  <c r="N70" i="3" s="1"/>
  <c r="N71" i="3" s="1"/>
  <c r="N72" i="3" s="1"/>
  <c r="N73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N105" i="3" s="1"/>
  <c r="N106" i="3" s="1"/>
  <c r="N107" i="3" s="1"/>
  <c r="N108" i="3" s="1"/>
  <c r="N109" i="3" s="1"/>
  <c r="N110" i="3" s="1"/>
  <c r="N111" i="3" s="1"/>
  <c r="N112" i="3" s="1"/>
  <c r="N113" i="3" s="1"/>
  <c r="N114" i="3" s="1"/>
  <c r="N115" i="3" s="1"/>
  <c r="N116" i="3" s="1"/>
  <c r="N117" i="3" s="1"/>
  <c r="N118" i="3" s="1"/>
  <c r="N119" i="3" s="1"/>
  <c r="N120" i="3" s="1"/>
  <c r="N121" i="3" s="1"/>
  <c r="N122" i="3" s="1"/>
  <c r="N123" i="3" s="1"/>
  <c r="N124" i="3" s="1"/>
  <c r="N125" i="3" s="1"/>
  <c r="N126" i="3" s="1"/>
  <c r="N127" i="3" s="1"/>
  <c r="N128" i="3" s="1"/>
  <c r="N129" i="3" s="1"/>
  <c r="N130" i="3" s="1"/>
  <c r="N131" i="3" s="1"/>
  <c r="N132" i="3" s="1"/>
  <c r="N133" i="3" s="1"/>
  <c r="N134" i="3" s="1"/>
  <c r="N135" i="3" s="1"/>
  <c r="N136" i="3" s="1"/>
  <c r="N137" i="3" s="1"/>
  <c r="N138" i="3" s="1"/>
  <c r="N139" i="3" s="1"/>
  <c r="N140" i="3" s="1"/>
  <c r="N141" i="3" s="1"/>
  <c r="N142" i="3" s="1"/>
  <c r="N143" i="3" s="1"/>
  <c r="N144" i="3" s="1"/>
  <c r="N145" i="3" s="1"/>
  <c r="N146" i="3" s="1"/>
  <c r="N147" i="3" s="1"/>
  <c r="N148" i="3" s="1"/>
  <c r="N149" i="3" s="1"/>
  <c r="N150" i="3" s="1"/>
  <c r="N151" i="3" s="1"/>
  <c r="N152" i="3" s="1"/>
  <c r="N153" i="3" s="1"/>
  <c r="N154" i="3" s="1"/>
  <c r="N155" i="3" s="1"/>
  <c r="N156" i="3" s="1"/>
  <c r="N157" i="3" s="1"/>
  <c r="N158" i="3" s="1"/>
  <c r="N159" i="3" s="1"/>
  <c r="N160" i="3" s="1"/>
  <c r="N161" i="3" s="1"/>
  <c r="N162" i="3" s="1"/>
  <c r="N163" i="3" s="1"/>
  <c r="N164" i="3" s="1"/>
  <c r="N165" i="3" s="1"/>
  <c r="N166" i="3" s="1"/>
  <c r="N167" i="3" s="1"/>
  <c r="N168" i="3" s="1"/>
  <c r="N169" i="3" s="1"/>
  <c r="N170" i="3" s="1"/>
  <c r="N171" i="3" s="1"/>
  <c r="N172" i="3" s="1"/>
  <c r="N173" i="3" s="1"/>
  <c r="N174" i="3" s="1"/>
  <c r="N175" i="3" s="1"/>
  <c r="N176" i="3" s="1"/>
  <c r="N177" i="3" s="1"/>
  <c r="N178" i="3" s="1"/>
  <c r="N179" i="3" s="1"/>
  <c r="N180" i="3" s="1"/>
  <c r="N181" i="3" s="1"/>
  <c r="N182" i="3" s="1"/>
  <c r="N183" i="3" s="1"/>
  <c r="N184" i="3" s="1"/>
  <c r="N185" i="3" s="1"/>
  <c r="N186" i="3" s="1"/>
  <c r="N187" i="3" s="1"/>
  <c r="N188" i="3" s="1"/>
  <c r="N189" i="3" s="1"/>
  <c r="N190" i="3" s="1"/>
  <c r="N191" i="3" s="1"/>
  <c r="N192" i="3" s="1"/>
  <c r="N193" i="3" s="1"/>
  <c r="N194" i="3" s="1"/>
  <c r="N195" i="3" s="1"/>
  <c r="L4" i="3"/>
  <c r="L5" i="3" s="1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39" i="3" s="1"/>
  <c r="L40" i="3" s="1"/>
  <c r="L41" i="3" s="1"/>
  <c r="L42" i="3" s="1"/>
  <c r="L43" i="3" s="1"/>
  <c r="L44" i="3" s="1"/>
  <c r="L45" i="3" s="1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L57" i="3" s="1"/>
  <c r="L58" i="3" s="1"/>
  <c r="L59" i="3" s="1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L70" i="3" s="1"/>
  <c r="L71" i="3" s="1"/>
  <c r="L72" i="3" s="1"/>
  <c r="L73" i="3" s="1"/>
  <c r="L74" i="3" s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L105" i="3" s="1"/>
  <c r="L106" i="3" s="1"/>
  <c r="L107" i="3" s="1"/>
  <c r="L108" i="3" s="1"/>
  <c r="L109" i="3" s="1"/>
  <c r="L110" i="3" s="1"/>
  <c r="L111" i="3" s="1"/>
  <c r="L112" i="3" s="1"/>
  <c r="L113" i="3" s="1"/>
  <c r="L114" i="3" s="1"/>
  <c r="L115" i="3" s="1"/>
  <c r="L116" i="3" s="1"/>
  <c r="L117" i="3" s="1"/>
  <c r="L118" i="3" s="1"/>
  <c r="L119" i="3" s="1"/>
  <c r="L120" i="3" s="1"/>
  <c r="L121" i="3" s="1"/>
  <c r="L122" i="3" s="1"/>
  <c r="L123" i="3" s="1"/>
  <c r="L124" i="3" s="1"/>
  <c r="L125" i="3" s="1"/>
  <c r="L126" i="3" s="1"/>
  <c r="L127" i="3" s="1"/>
  <c r="L128" i="3" s="1"/>
  <c r="L129" i="3" s="1"/>
  <c r="L130" i="3" s="1"/>
  <c r="L131" i="3" s="1"/>
  <c r="L132" i="3" s="1"/>
  <c r="L133" i="3" s="1"/>
  <c r="L134" i="3" s="1"/>
  <c r="L135" i="3" s="1"/>
  <c r="L136" i="3" s="1"/>
  <c r="L137" i="3" s="1"/>
  <c r="L138" i="3" s="1"/>
  <c r="L139" i="3" s="1"/>
  <c r="L140" i="3" s="1"/>
  <c r="L141" i="3" s="1"/>
  <c r="L142" i="3" s="1"/>
  <c r="L143" i="3" s="1"/>
  <c r="L144" i="3" s="1"/>
  <c r="L145" i="3" s="1"/>
  <c r="L146" i="3" s="1"/>
  <c r="L147" i="3" s="1"/>
  <c r="L148" i="3" s="1"/>
  <c r="L149" i="3" s="1"/>
  <c r="L150" i="3" s="1"/>
  <c r="L151" i="3" s="1"/>
  <c r="L152" i="3" s="1"/>
  <c r="L153" i="3" s="1"/>
  <c r="L154" i="3" s="1"/>
  <c r="L155" i="3" s="1"/>
  <c r="L156" i="3" s="1"/>
  <c r="L157" i="3" s="1"/>
  <c r="L158" i="3" s="1"/>
  <c r="L159" i="3" s="1"/>
  <c r="L160" i="3" s="1"/>
  <c r="L161" i="3" s="1"/>
  <c r="L162" i="3" s="1"/>
  <c r="L163" i="3" s="1"/>
  <c r="L164" i="3" s="1"/>
  <c r="L165" i="3" s="1"/>
  <c r="L166" i="3" s="1"/>
  <c r="L167" i="3" s="1"/>
  <c r="L168" i="3" s="1"/>
  <c r="L169" i="3" s="1"/>
  <c r="L170" i="3" s="1"/>
  <c r="L171" i="3" s="1"/>
  <c r="L172" i="3" s="1"/>
  <c r="L173" i="3" s="1"/>
  <c r="L174" i="3" s="1"/>
  <c r="L175" i="3" s="1"/>
  <c r="L176" i="3" s="1"/>
  <c r="L177" i="3" s="1"/>
  <c r="L178" i="3" s="1"/>
  <c r="L179" i="3" s="1"/>
  <c r="L180" i="3" s="1"/>
  <c r="L181" i="3" s="1"/>
  <c r="L182" i="3" s="1"/>
  <c r="L183" i="3" s="1"/>
  <c r="L184" i="3" s="1"/>
  <c r="L185" i="3" s="1"/>
  <c r="L186" i="3" s="1"/>
  <c r="L187" i="3" s="1"/>
  <c r="L188" i="3" s="1"/>
  <c r="L189" i="3" s="1"/>
  <c r="L190" i="3" s="1"/>
  <c r="L191" i="3" s="1"/>
  <c r="L192" i="3" s="1"/>
  <c r="L193" i="3" s="1"/>
  <c r="L194" i="3" s="1"/>
  <c r="L195" i="3" s="1"/>
  <c r="J4" i="3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J40" i="3" s="1"/>
  <c r="J41" i="3" s="1"/>
  <c r="J42" i="3" s="1"/>
  <c r="J43" i="3" s="1"/>
  <c r="J44" i="3" s="1"/>
  <c r="J45" i="3" s="1"/>
  <c r="J46" i="3" s="1"/>
  <c r="J47" i="3" s="1"/>
  <c r="J48" i="3" s="1"/>
  <c r="J49" i="3" s="1"/>
  <c r="J50" i="3" s="1"/>
  <c r="J51" i="3" s="1"/>
  <c r="J52" i="3" s="1"/>
  <c r="J53" i="3" s="1"/>
  <c r="J54" i="3" s="1"/>
  <c r="J55" i="3" s="1"/>
  <c r="J56" i="3" s="1"/>
  <c r="J57" i="3" s="1"/>
  <c r="J58" i="3" s="1"/>
  <c r="J59" i="3" s="1"/>
  <c r="J60" i="3" s="1"/>
  <c r="J61" i="3" s="1"/>
  <c r="J62" i="3" s="1"/>
  <c r="J63" i="3" s="1"/>
  <c r="J64" i="3" s="1"/>
  <c r="J65" i="3" s="1"/>
  <c r="J66" i="3" s="1"/>
  <c r="J67" i="3" s="1"/>
  <c r="J68" i="3" s="1"/>
  <c r="J69" i="3" s="1"/>
  <c r="J70" i="3" s="1"/>
  <c r="J71" i="3" s="1"/>
  <c r="J72" i="3" s="1"/>
  <c r="J73" i="3" s="1"/>
  <c r="J74" i="3" s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J105" i="3" s="1"/>
  <c r="J106" i="3" s="1"/>
  <c r="J107" i="3" s="1"/>
  <c r="J108" i="3" s="1"/>
  <c r="J109" i="3" s="1"/>
  <c r="J110" i="3" s="1"/>
  <c r="J111" i="3" s="1"/>
  <c r="J112" i="3" s="1"/>
  <c r="J113" i="3" s="1"/>
  <c r="J114" i="3" s="1"/>
  <c r="J115" i="3" s="1"/>
  <c r="J116" i="3" s="1"/>
  <c r="J117" i="3" s="1"/>
  <c r="J118" i="3" s="1"/>
  <c r="J119" i="3" s="1"/>
  <c r="J120" i="3" s="1"/>
  <c r="J121" i="3" s="1"/>
  <c r="J122" i="3" s="1"/>
  <c r="J123" i="3" s="1"/>
  <c r="J124" i="3" s="1"/>
  <c r="J125" i="3" s="1"/>
  <c r="J126" i="3" s="1"/>
  <c r="J127" i="3" s="1"/>
  <c r="J128" i="3" s="1"/>
  <c r="J129" i="3" s="1"/>
  <c r="J130" i="3" s="1"/>
  <c r="J131" i="3" s="1"/>
  <c r="J132" i="3" s="1"/>
  <c r="J133" i="3" s="1"/>
  <c r="J134" i="3" s="1"/>
  <c r="J135" i="3" s="1"/>
  <c r="J136" i="3" s="1"/>
  <c r="J137" i="3" s="1"/>
  <c r="J138" i="3" s="1"/>
  <c r="J139" i="3" s="1"/>
  <c r="J140" i="3" s="1"/>
  <c r="J141" i="3" s="1"/>
  <c r="J142" i="3" s="1"/>
  <c r="J143" i="3" s="1"/>
  <c r="J144" i="3" s="1"/>
  <c r="J145" i="3" s="1"/>
  <c r="J146" i="3" s="1"/>
  <c r="J147" i="3" s="1"/>
  <c r="J148" i="3" s="1"/>
  <c r="J149" i="3" s="1"/>
  <c r="J150" i="3" s="1"/>
  <c r="J151" i="3" s="1"/>
  <c r="J152" i="3" s="1"/>
  <c r="J153" i="3" s="1"/>
  <c r="J154" i="3" s="1"/>
  <c r="J155" i="3" s="1"/>
  <c r="J156" i="3" s="1"/>
  <c r="J157" i="3" s="1"/>
  <c r="J158" i="3" s="1"/>
  <c r="J159" i="3" s="1"/>
  <c r="J160" i="3" s="1"/>
  <c r="J161" i="3" s="1"/>
  <c r="J162" i="3" s="1"/>
  <c r="J163" i="3" s="1"/>
  <c r="J164" i="3" s="1"/>
  <c r="J165" i="3" s="1"/>
  <c r="J166" i="3" s="1"/>
  <c r="J167" i="3" s="1"/>
  <c r="J168" i="3" s="1"/>
  <c r="J169" i="3" s="1"/>
  <c r="J170" i="3" s="1"/>
  <c r="J171" i="3" s="1"/>
  <c r="J172" i="3" s="1"/>
  <c r="J173" i="3" s="1"/>
  <c r="J174" i="3" s="1"/>
  <c r="J175" i="3" s="1"/>
  <c r="J176" i="3" s="1"/>
  <c r="J177" i="3" s="1"/>
  <c r="J178" i="3" s="1"/>
  <c r="J179" i="3" s="1"/>
  <c r="J180" i="3" s="1"/>
  <c r="J181" i="3" s="1"/>
  <c r="J182" i="3" s="1"/>
  <c r="J183" i="3" s="1"/>
  <c r="J184" i="3" s="1"/>
  <c r="J185" i="3" s="1"/>
  <c r="J186" i="3" s="1"/>
  <c r="J187" i="3" s="1"/>
  <c r="J188" i="3" s="1"/>
  <c r="J189" i="3" s="1"/>
  <c r="J190" i="3" s="1"/>
  <c r="J191" i="3" s="1"/>
  <c r="J192" i="3" s="1"/>
  <c r="J193" i="3" s="1"/>
  <c r="J194" i="3" s="1"/>
  <c r="J195" i="3" s="1"/>
  <c r="H4" i="3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H40" i="3" s="1"/>
  <c r="H41" i="3" s="1"/>
  <c r="H42" i="3" s="1"/>
  <c r="H43" i="3" s="1"/>
  <c r="H44" i="3" s="1"/>
  <c r="H45" i="3" s="1"/>
  <c r="H46" i="3" s="1"/>
  <c r="H47" i="3" s="1"/>
  <c r="H48" i="3" s="1"/>
  <c r="H49" i="3" s="1"/>
  <c r="H50" i="3" s="1"/>
  <c r="H51" i="3" s="1"/>
  <c r="H52" i="3" s="1"/>
  <c r="H53" i="3" s="1"/>
  <c r="H54" i="3" s="1"/>
  <c r="H55" i="3" s="1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H105" i="3" s="1"/>
  <c r="H106" i="3" s="1"/>
  <c r="H107" i="3" s="1"/>
  <c r="H108" i="3" s="1"/>
  <c r="H109" i="3" s="1"/>
  <c r="H110" i="3" s="1"/>
  <c r="H111" i="3" s="1"/>
  <c r="H112" i="3" s="1"/>
  <c r="H113" i="3" s="1"/>
  <c r="H114" i="3" s="1"/>
  <c r="H115" i="3" s="1"/>
  <c r="H116" i="3" s="1"/>
  <c r="H117" i="3" s="1"/>
  <c r="H118" i="3" s="1"/>
  <c r="H119" i="3" s="1"/>
  <c r="H120" i="3" s="1"/>
  <c r="H121" i="3" s="1"/>
  <c r="H122" i="3" s="1"/>
  <c r="H123" i="3" s="1"/>
  <c r="H124" i="3" s="1"/>
  <c r="H125" i="3" s="1"/>
  <c r="H126" i="3" s="1"/>
  <c r="H127" i="3" s="1"/>
  <c r="H128" i="3" s="1"/>
  <c r="H129" i="3" s="1"/>
  <c r="H130" i="3" s="1"/>
  <c r="H131" i="3" s="1"/>
  <c r="H132" i="3" s="1"/>
  <c r="H133" i="3" s="1"/>
  <c r="H134" i="3" s="1"/>
  <c r="H135" i="3" s="1"/>
  <c r="H136" i="3" s="1"/>
  <c r="H137" i="3" s="1"/>
  <c r="H138" i="3" s="1"/>
  <c r="H139" i="3" s="1"/>
  <c r="H140" i="3" s="1"/>
  <c r="H141" i="3" s="1"/>
  <c r="H142" i="3" s="1"/>
  <c r="H143" i="3" s="1"/>
  <c r="H144" i="3" s="1"/>
  <c r="H145" i="3" s="1"/>
  <c r="H146" i="3" s="1"/>
  <c r="H147" i="3" s="1"/>
  <c r="H148" i="3" s="1"/>
  <c r="H149" i="3" s="1"/>
  <c r="H150" i="3" s="1"/>
  <c r="H151" i="3" s="1"/>
  <c r="H152" i="3" s="1"/>
  <c r="H153" i="3" s="1"/>
  <c r="H154" i="3" s="1"/>
  <c r="H155" i="3" s="1"/>
  <c r="H156" i="3" s="1"/>
  <c r="H157" i="3" s="1"/>
  <c r="H158" i="3" s="1"/>
  <c r="H159" i="3" s="1"/>
  <c r="H160" i="3" s="1"/>
  <c r="H161" i="3" s="1"/>
  <c r="H162" i="3" s="1"/>
  <c r="H163" i="3" s="1"/>
  <c r="H164" i="3" s="1"/>
  <c r="H165" i="3" s="1"/>
  <c r="H166" i="3" s="1"/>
  <c r="H167" i="3" s="1"/>
  <c r="H168" i="3" s="1"/>
  <c r="H169" i="3" s="1"/>
  <c r="H170" i="3" s="1"/>
  <c r="H171" i="3" s="1"/>
  <c r="H172" i="3" s="1"/>
  <c r="H173" i="3" s="1"/>
  <c r="H174" i="3" s="1"/>
  <c r="H175" i="3" s="1"/>
  <c r="H176" i="3" s="1"/>
  <c r="H177" i="3" s="1"/>
  <c r="H178" i="3" s="1"/>
  <c r="H179" i="3" s="1"/>
  <c r="H180" i="3" s="1"/>
  <c r="H181" i="3" s="1"/>
  <c r="H182" i="3" s="1"/>
  <c r="H183" i="3" s="1"/>
  <c r="H184" i="3" s="1"/>
  <c r="H185" i="3" s="1"/>
  <c r="H186" i="3" s="1"/>
  <c r="H187" i="3" s="1"/>
  <c r="H188" i="3" s="1"/>
  <c r="H189" i="3" s="1"/>
  <c r="H190" i="3" s="1"/>
  <c r="H191" i="3" s="1"/>
  <c r="H192" i="3" s="1"/>
  <c r="H193" i="3" s="1"/>
  <c r="H194" i="3" s="1"/>
  <c r="H195" i="3" s="1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F95" i="3" s="1"/>
  <c r="F96" i="3" s="1"/>
  <c r="F97" i="3" s="1"/>
  <c r="F98" i="3" s="1"/>
  <c r="F99" i="3" s="1"/>
  <c r="F100" i="3" s="1"/>
  <c r="F101" i="3" s="1"/>
  <c r="F102" i="3" s="1"/>
  <c r="F103" i="3" s="1"/>
  <c r="F104" i="3" s="1"/>
  <c r="F105" i="3" s="1"/>
  <c r="F106" i="3" s="1"/>
  <c r="F107" i="3" s="1"/>
  <c r="F108" i="3" s="1"/>
  <c r="F109" i="3" s="1"/>
  <c r="F110" i="3" s="1"/>
  <c r="F111" i="3" s="1"/>
  <c r="F112" i="3" s="1"/>
  <c r="F113" i="3" s="1"/>
  <c r="F114" i="3" s="1"/>
  <c r="F115" i="3" s="1"/>
  <c r="F116" i="3" s="1"/>
  <c r="F117" i="3" s="1"/>
  <c r="F118" i="3" s="1"/>
  <c r="F119" i="3" s="1"/>
  <c r="F120" i="3" s="1"/>
  <c r="F121" i="3" s="1"/>
  <c r="F122" i="3" s="1"/>
  <c r="F123" i="3" s="1"/>
  <c r="F124" i="3" s="1"/>
  <c r="F125" i="3" s="1"/>
  <c r="F126" i="3" s="1"/>
  <c r="F127" i="3" s="1"/>
  <c r="F128" i="3" s="1"/>
  <c r="F129" i="3" s="1"/>
  <c r="F130" i="3" s="1"/>
  <c r="F131" i="3" s="1"/>
  <c r="F132" i="3" s="1"/>
  <c r="F133" i="3" s="1"/>
  <c r="F134" i="3" s="1"/>
  <c r="F135" i="3" s="1"/>
  <c r="F136" i="3" s="1"/>
  <c r="F137" i="3" s="1"/>
  <c r="F138" i="3" s="1"/>
  <c r="F139" i="3" s="1"/>
  <c r="F140" i="3" s="1"/>
  <c r="F141" i="3" s="1"/>
  <c r="F142" i="3" s="1"/>
  <c r="F143" i="3" s="1"/>
  <c r="F144" i="3" s="1"/>
  <c r="F145" i="3" s="1"/>
  <c r="F146" i="3" s="1"/>
  <c r="F147" i="3" s="1"/>
  <c r="F148" i="3" s="1"/>
  <c r="F149" i="3" s="1"/>
  <c r="F150" i="3" s="1"/>
  <c r="F151" i="3" s="1"/>
  <c r="F152" i="3" s="1"/>
  <c r="F153" i="3" s="1"/>
  <c r="F154" i="3" s="1"/>
  <c r="F155" i="3" s="1"/>
  <c r="F156" i="3" s="1"/>
  <c r="F157" i="3" s="1"/>
  <c r="F158" i="3" s="1"/>
  <c r="F159" i="3" s="1"/>
  <c r="F160" i="3" s="1"/>
  <c r="F161" i="3" s="1"/>
  <c r="F162" i="3" s="1"/>
  <c r="F163" i="3" s="1"/>
  <c r="F164" i="3" s="1"/>
  <c r="F165" i="3" s="1"/>
  <c r="F166" i="3" s="1"/>
  <c r="F167" i="3" s="1"/>
  <c r="F168" i="3" s="1"/>
  <c r="F169" i="3" s="1"/>
  <c r="F170" i="3" s="1"/>
  <c r="F171" i="3" s="1"/>
  <c r="F172" i="3" s="1"/>
  <c r="F173" i="3" s="1"/>
  <c r="F174" i="3" s="1"/>
  <c r="F175" i="3" s="1"/>
  <c r="F176" i="3" s="1"/>
  <c r="F177" i="3" s="1"/>
  <c r="F178" i="3" s="1"/>
  <c r="F179" i="3" s="1"/>
  <c r="F180" i="3" s="1"/>
  <c r="F181" i="3" s="1"/>
  <c r="F182" i="3" s="1"/>
  <c r="F183" i="3" s="1"/>
  <c r="F184" i="3" s="1"/>
  <c r="F185" i="3" s="1"/>
  <c r="F186" i="3" s="1"/>
  <c r="F187" i="3" s="1"/>
  <c r="F188" i="3" s="1"/>
  <c r="F189" i="3" s="1"/>
  <c r="F190" i="3" s="1"/>
  <c r="F191" i="3" s="1"/>
  <c r="F192" i="3" s="1"/>
  <c r="F193" i="3" s="1"/>
  <c r="F194" i="3" s="1"/>
  <c r="F195" i="3" s="1"/>
  <c r="D4" i="3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D102" i="3" s="1"/>
  <c r="D103" i="3" s="1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D123" i="3" s="1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D134" i="3" s="1"/>
  <c r="D135" i="3" s="1"/>
  <c r="D136" i="3" s="1"/>
  <c r="D137" i="3" s="1"/>
  <c r="D138" i="3" s="1"/>
  <c r="D139" i="3" s="1"/>
  <c r="D140" i="3" s="1"/>
  <c r="D141" i="3" s="1"/>
  <c r="D142" i="3" s="1"/>
  <c r="D143" i="3" s="1"/>
  <c r="D144" i="3" s="1"/>
  <c r="D145" i="3" s="1"/>
  <c r="D146" i="3" s="1"/>
  <c r="D147" i="3" s="1"/>
  <c r="D148" i="3" s="1"/>
  <c r="D149" i="3" s="1"/>
  <c r="D150" i="3" s="1"/>
  <c r="D151" i="3" s="1"/>
  <c r="D152" i="3" s="1"/>
  <c r="D153" i="3" s="1"/>
  <c r="D154" i="3" s="1"/>
  <c r="D155" i="3" s="1"/>
  <c r="D156" i="3" s="1"/>
  <c r="D157" i="3" s="1"/>
  <c r="D158" i="3" s="1"/>
  <c r="D159" i="3" s="1"/>
  <c r="D160" i="3" s="1"/>
  <c r="D161" i="3" s="1"/>
  <c r="D162" i="3" s="1"/>
  <c r="D163" i="3" s="1"/>
  <c r="D164" i="3" s="1"/>
  <c r="D165" i="3" s="1"/>
  <c r="D166" i="3" s="1"/>
  <c r="D167" i="3" s="1"/>
  <c r="D168" i="3" s="1"/>
  <c r="D169" i="3" s="1"/>
  <c r="D170" i="3" s="1"/>
  <c r="D171" i="3" s="1"/>
  <c r="D172" i="3" s="1"/>
  <c r="D173" i="3" s="1"/>
  <c r="D174" i="3" s="1"/>
  <c r="D175" i="3" s="1"/>
  <c r="D176" i="3" s="1"/>
  <c r="D177" i="3" s="1"/>
  <c r="D178" i="3" s="1"/>
  <c r="D179" i="3" s="1"/>
  <c r="D180" i="3" s="1"/>
  <c r="D181" i="3" s="1"/>
  <c r="D182" i="3" s="1"/>
  <c r="D183" i="3" s="1"/>
  <c r="D184" i="3" s="1"/>
  <c r="D185" i="3" s="1"/>
  <c r="D186" i="3" s="1"/>
  <c r="D187" i="3" s="1"/>
  <c r="D188" i="3" s="1"/>
  <c r="D189" i="3" s="1"/>
  <c r="D190" i="3" s="1"/>
  <c r="D191" i="3" s="1"/>
  <c r="D192" i="3" s="1"/>
  <c r="D193" i="3" s="1"/>
  <c r="D194" i="3" s="1"/>
  <c r="D195" i="3" s="1"/>
  <c r="B4" i="3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AF3" i="3"/>
  <c r="AE3" i="3"/>
  <c r="AE4" i="3" s="1"/>
  <c r="AE5" i="3" s="1"/>
  <c r="AE6" i="3" s="1"/>
  <c r="AE7" i="3" s="1"/>
  <c r="AE8" i="3" s="1"/>
  <c r="AE9" i="3" s="1"/>
  <c r="AE10" i="3" s="1"/>
  <c r="AE11" i="3" s="1"/>
  <c r="AE12" i="3" s="1"/>
  <c r="AE13" i="3" s="1"/>
  <c r="AE14" i="3" s="1"/>
  <c r="AE15" i="3" s="1"/>
  <c r="AE16" i="3" s="1"/>
  <c r="AE17" i="3" s="1"/>
  <c r="AE18" i="3" s="1"/>
  <c r="AE19" i="3" s="1"/>
  <c r="AE20" i="3" s="1"/>
  <c r="AE21" i="3" s="1"/>
  <c r="AE22" i="3" s="1"/>
  <c r="AE23" i="3" s="1"/>
  <c r="AE24" i="3" s="1"/>
  <c r="AE25" i="3" s="1"/>
  <c r="AE26" i="3" s="1"/>
  <c r="AE27" i="3" s="1"/>
  <c r="AE28" i="3" s="1"/>
  <c r="AE29" i="3" s="1"/>
  <c r="AE30" i="3" s="1"/>
  <c r="AE31" i="3" s="1"/>
  <c r="AE32" i="3" s="1"/>
  <c r="AE33" i="3" s="1"/>
  <c r="AE34" i="3" s="1"/>
  <c r="AE35" i="3" s="1"/>
  <c r="AE36" i="3" s="1"/>
  <c r="AE37" i="3" s="1"/>
  <c r="AE38" i="3" s="1"/>
  <c r="AE39" i="3" s="1"/>
  <c r="AE40" i="3" s="1"/>
  <c r="AE41" i="3" s="1"/>
  <c r="AE42" i="3" s="1"/>
  <c r="AE43" i="3" s="1"/>
  <c r="AE44" i="3" s="1"/>
  <c r="AE45" i="3" s="1"/>
  <c r="AE46" i="3" s="1"/>
  <c r="AE47" i="3" s="1"/>
  <c r="AE48" i="3" s="1"/>
  <c r="AE49" i="3" s="1"/>
  <c r="AE50" i="3" s="1"/>
  <c r="AE51" i="3" s="1"/>
  <c r="AE52" i="3" s="1"/>
  <c r="AE53" i="3" s="1"/>
  <c r="AE54" i="3" s="1"/>
  <c r="AE55" i="3" s="1"/>
  <c r="AE56" i="3" s="1"/>
  <c r="AE57" i="3" s="1"/>
  <c r="AE58" i="3" s="1"/>
  <c r="AE59" i="3" s="1"/>
  <c r="AE60" i="3" s="1"/>
  <c r="AE61" i="3" s="1"/>
  <c r="AE62" i="3" s="1"/>
  <c r="AE63" i="3" s="1"/>
  <c r="AE64" i="3" s="1"/>
  <c r="AE65" i="3" s="1"/>
  <c r="AE66" i="3" s="1"/>
  <c r="AE67" i="3" s="1"/>
  <c r="AE68" i="3" s="1"/>
  <c r="AE69" i="3" s="1"/>
  <c r="AE70" i="3" s="1"/>
  <c r="AE71" i="3" s="1"/>
  <c r="AE72" i="3" s="1"/>
  <c r="AE73" i="3" s="1"/>
  <c r="AE74" i="3" s="1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AE105" i="3" s="1"/>
  <c r="AE106" i="3" s="1"/>
  <c r="AE107" i="3" s="1"/>
  <c r="AE108" i="3" s="1"/>
  <c r="AE109" i="3" s="1"/>
  <c r="AE110" i="3" s="1"/>
  <c r="AE111" i="3" s="1"/>
  <c r="AE112" i="3" s="1"/>
  <c r="AE113" i="3" s="1"/>
  <c r="AE114" i="3" s="1"/>
  <c r="AE115" i="3" s="1"/>
  <c r="AE116" i="3" s="1"/>
  <c r="AE117" i="3" s="1"/>
  <c r="AE118" i="3" s="1"/>
  <c r="AE119" i="3" s="1"/>
  <c r="AE120" i="3" s="1"/>
  <c r="AE121" i="3" s="1"/>
  <c r="AE122" i="3" s="1"/>
  <c r="AE123" i="3" s="1"/>
  <c r="AE124" i="3" s="1"/>
  <c r="AE125" i="3" s="1"/>
  <c r="AE126" i="3" s="1"/>
  <c r="AE127" i="3" s="1"/>
  <c r="AE128" i="3" s="1"/>
  <c r="AE129" i="3" s="1"/>
  <c r="AE130" i="3" s="1"/>
  <c r="AE131" i="3" s="1"/>
  <c r="AE132" i="3" s="1"/>
  <c r="AE133" i="3" s="1"/>
  <c r="AE134" i="3" s="1"/>
  <c r="AE135" i="3" s="1"/>
  <c r="AE136" i="3" s="1"/>
  <c r="AE137" i="3" s="1"/>
  <c r="AE138" i="3" s="1"/>
  <c r="AE139" i="3" s="1"/>
  <c r="AE140" i="3" s="1"/>
  <c r="AE141" i="3" s="1"/>
  <c r="AE142" i="3" s="1"/>
  <c r="AE143" i="3" s="1"/>
  <c r="AE144" i="3" s="1"/>
  <c r="AE145" i="3" s="1"/>
  <c r="AE146" i="3" s="1"/>
  <c r="AE147" i="3" s="1"/>
  <c r="AE148" i="3" s="1"/>
  <c r="AE149" i="3" s="1"/>
  <c r="AE150" i="3" s="1"/>
  <c r="AE151" i="3" s="1"/>
  <c r="AE152" i="3" s="1"/>
  <c r="AE153" i="3" s="1"/>
  <c r="AE154" i="3" s="1"/>
  <c r="AE155" i="3" s="1"/>
  <c r="AE156" i="3" s="1"/>
  <c r="AE157" i="3" s="1"/>
  <c r="AE158" i="3" s="1"/>
  <c r="AE159" i="3" s="1"/>
  <c r="AE160" i="3" s="1"/>
  <c r="AE161" i="3" s="1"/>
  <c r="AE162" i="3" s="1"/>
  <c r="AE163" i="3" s="1"/>
  <c r="AE164" i="3" s="1"/>
  <c r="AE165" i="3" s="1"/>
  <c r="AE166" i="3" s="1"/>
  <c r="AE167" i="3" s="1"/>
  <c r="AE168" i="3" s="1"/>
  <c r="AE169" i="3" s="1"/>
  <c r="AE170" i="3" s="1"/>
  <c r="AE171" i="3" s="1"/>
  <c r="AE172" i="3" s="1"/>
  <c r="AE173" i="3" s="1"/>
  <c r="AE174" i="3" s="1"/>
  <c r="AE175" i="3" s="1"/>
  <c r="AE176" i="3" s="1"/>
  <c r="AE177" i="3" s="1"/>
  <c r="AE178" i="3" s="1"/>
  <c r="AE179" i="3" s="1"/>
  <c r="AE180" i="3" s="1"/>
  <c r="AE181" i="3" s="1"/>
  <c r="AE182" i="3" s="1"/>
  <c r="AE183" i="3" s="1"/>
  <c r="AE184" i="3" s="1"/>
  <c r="AE185" i="3" s="1"/>
  <c r="AE186" i="3" s="1"/>
  <c r="AE187" i="3" s="1"/>
  <c r="AE188" i="3" s="1"/>
  <c r="AE189" i="3" s="1"/>
  <c r="AE190" i="3" s="1"/>
  <c r="AE191" i="3" s="1"/>
  <c r="AE192" i="3" s="1"/>
  <c r="AE193" i="3" s="1"/>
  <c r="AE194" i="3" s="1"/>
  <c r="AE195" i="3" s="1"/>
  <c r="AD3" i="3"/>
  <c r="AC3" i="3"/>
  <c r="AC4" i="3" s="1"/>
  <c r="AC5" i="3" s="1"/>
  <c r="AC6" i="3" s="1"/>
  <c r="AC7" i="3" s="1"/>
  <c r="AC8" i="3" s="1"/>
  <c r="AC9" i="3" s="1"/>
  <c r="AC10" i="3" s="1"/>
  <c r="AC11" i="3" s="1"/>
  <c r="AC12" i="3" s="1"/>
  <c r="AC13" i="3" s="1"/>
  <c r="AC14" i="3" s="1"/>
  <c r="AC15" i="3" s="1"/>
  <c r="AC16" i="3" s="1"/>
  <c r="AC17" i="3" s="1"/>
  <c r="AC18" i="3" s="1"/>
  <c r="AC19" i="3" s="1"/>
  <c r="AC20" i="3" s="1"/>
  <c r="AC21" i="3" s="1"/>
  <c r="AC22" i="3" s="1"/>
  <c r="AC23" i="3" s="1"/>
  <c r="AC24" i="3" s="1"/>
  <c r="AC25" i="3" s="1"/>
  <c r="AC26" i="3" s="1"/>
  <c r="AC27" i="3" s="1"/>
  <c r="AC28" i="3" s="1"/>
  <c r="AC29" i="3" s="1"/>
  <c r="AC30" i="3" s="1"/>
  <c r="AC31" i="3" s="1"/>
  <c r="AC32" i="3" s="1"/>
  <c r="AC33" i="3" s="1"/>
  <c r="AC34" i="3" s="1"/>
  <c r="AC35" i="3" s="1"/>
  <c r="AC36" i="3" s="1"/>
  <c r="AC37" i="3" s="1"/>
  <c r="AC38" i="3" s="1"/>
  <c r="AC39" i="3" s="1"/>
  <c r="AC40" i="3" s="1"/>
  <c r="AC41" i="3" s="1"/>
  <c r="AC42" i="3" s="1"/>
  <c r="AC43" i="3" s="1"/>
  <c r="AC44" i="3" s="1"/>
  <c r="AC45" i="3" s="1"/>
  <c r="AC46" i="3" s="1"/>
  <c r="AC47" i="3" s="1"/>
  <c r="AC48" i="3" s="1"/>
  <c r="AC49" i="3" s="1"/>
  <c r="AC50" i="3" s="1"/>
  <c r="AC51" i="3" s="1"/>
  <c r="AC52" i="3" s="1"/>
  <c r="AC53" i="3" s="1"/>
  <c r="AC54" i="3" s="1"/>
  <c r="AC55" i="3" s="1"/>
  <c r="AC56" i="3" s="1"/>
  <c r="AC57" i="3" s="1"/>
  <c r="AC58" i="3" s="1"/>
  <c r="AC59" i="3" s="1"/>
  <c r="AC60" i="3" s="1"/>
  <c r="AC61" i="3" s="1"/>
  <c r="AC62" i="3" s="1"/>
  <c r="AC63" i="3" s="1"/>
  <c r="AC64" i="3" s="1"/>
  <c r="AC65" i="3" s="1"/>
  <c r="AC66" i="3" s="1"/>
  <c r="AC67" i="3" s="1"/>
  <c r="AC68" i="3" s="1"/>
  <c r="AC69" i="3" s="1"/>
  <c r="AC70" i="3" s="1"/>
  <c r="AC71" i="3" s="1"/>
  <c r="AC72" i="3" s="1"/>
  <c r="AC73" i="3" s="1"/>
  <c r="AC74" i="3" s="1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AC105" i="3" s="1"/>
  <c r="AC106" i="3" s="1"/>
  <c r="AC107" i="3" s="1"/>
  <c r="AC108" i="3" s="1"/>
  <c r="AC109" i="3" s="1"/>
  <c r="AC110" i="3" s="1"/>
  <c r="AC111" i="3" s="1"/>
  <c r="AC112" i="3" s="1"/>
  <c r="AC113" i="3" s="1"/>
  <c r="AC114" i="3" s="1"/>
  <c r="AC115" i="3" s="1"/>
  <c r="AC116" i="3" s="1"/>
  <c r="AC117" i="3" s="1"/>
  <c r="AC118" i="3" s="1"/>
  <c r="AC119" i="3" s="1"/>
  <c r="AC120" i="3" s="1"/>
  <c r="AC121" i="3" s="1"/>
  <c r="AC122" i="3" s="1"/>
  <c r="AC123" i="3" s="1"/>
  <c r="AC124" i="3" s="1"/>
  <c r="AC125" i="3" s="1"/>
  <c r="AC126" i="3" s="1"/>
  <c r="AC127" i="3" s="1"/>
  <c r="AC128" i="3" s="1"/>
  <c r="AC129" i="3" s="1"/>
  <c r="AC130" i="3" s="1"/>
  <c r="AC131" i="3" s="1"/>
  <c r="AC132" i="3" s="1"/>
  <c r="AC133" i="3" s="1"/>
  <c r="AC134" i="3" s="1"/>
  <c r="AC135" i="3" s="1"/>
  <c r="AC136" i="3" s="1"/>
  <c r="AC137" i="3" s="1"/>
  <c r="AC138" i="3" s="1"/>
  <c r="AC139" i="3" s="1"/>
  <c r="AC140" i="3" s="1"/>
  <c r="AC141" i="3" s="1"/>
  <c r="AC142" i="3" s="1"/>
  <c r="AC143" i="3" s="1"/>
  <c r="AC144" i="3" s="1"/>
  <c r="AC145" i="3" s="1"/>
  <c r="AC146" i="3" s="1"/>
  <c r="AC147" i="3" s="1"/>
  <c r="AC148" i="3" s="1"/>
  <c r="AC149" i="3" s="1"/>
  <c r="AC150" i="3" s="1"/>
  <c r="AC151" i="3" s="1"/>
  <c r="AC152" i="3" s="1"/>
  <c r="AC153" i="3" s="1"/>
  <c r="AC154" i="3" s="1"/>
  <c r="AC155" i="3" s="1"/>
  <c r="AC156" i="3" s="1"/>
  <c r="AC157" i="3" s="1"/>
  <c r="AC158" i="3" s="1"/>
  <c r="AC159" i="3" s="1"/>
  <c r="AC160" i="3" s="1"/>
  <c r="AC161" i="3" s="1"/>
  <c r="AC162" i="3" s="1"/>
  <c r="AC163" i="3" s="1"/>
  <c r="AC164" i="3" s="1"/>
  <c r="AC165" i="3" s="1"/>
  <c r="AC166" i="3" s="1"/>
  <c r="AC167" i="3" s="1"/>
  <c r="AC168" i="3" s="1"/>
  <c r="AC169" i="3" s="1"/>
  <c r="AC170" i="3" s="1"/>
  <c r="AC171" i="3" s="1"/>
  <c r="AC172" i="3" s="1"/>
  <c r="AC173" i="3" s="1"/>
  <c r="AC174" i="3" s="1"/>
  <c r="AC175" i="3" s="1"/>
  <c r="AC176" i="3" s="1"/>
  <c r="AC177" i="3" s="1"/>
  <c r="AC178" i="3" s="1"/>
  <c r="AC179" i="3" s="1"/>
  <c r="AC180" i="3" s="1"/>
  <c r="AC181" i="3" s="1"/>
  <c r="AC182" i="3" s="1"/>
  <c r="AC183" i="3" s="1"/>
  <c r="AC184" i="3" s="1"/>
  <c r="AC185" i="3" s="1"/>
  <c r="AC186" i="3" s="1"/>
  <c r="AC187" i="3" s="1"/>
  <c r="AC188" i="3" s="1"/>
  <c r="AC189" i="3" s="1"/>
  <c r="AC190" i="3" s="1"/>
  <c r="AC191" i="3" s="1"/>
  <c r="AC192" i="3" s="1"/>
  <c r="AC193" i="3" s="1"/>
  <c r="AC194" i="3" s="1"/>
  <c r="AC195" i="3" s="1"/>
  <c r="AB3" i="3"/>
  <c r="AA3" i="3"/>
  <c r="AA4" i="3" s="1"/>
  <c r="AA5" i="3" s="1"/>
  <c r="AA6" i="3" s="1"/>
  <c r="AA7" i="3" s="1"/>
  <c r="AA8" i="3" s="1"/>
  <c r="AA9" i="3" s="1"/>
  <c r="AA10" i="3" s="1"/>
  <c r="AA11" i="3" s="1"/>
  <c r="AA12" i="3" s="1"/>
  <c r="AA13" i="3" s="1"/>
  <c r="AA14" i="3" s="1"/>
  <c r="AA15" i="3" s="1"/>
  <c r="AA16" i="3" s="1"/>
  <c r="AA17" i="3" s="1"/>
  <c r="AA18" i="3" s="1"/>
  <c r="AA19" i="3" s="1"/>
  <c r="AA20" i="3" s="1"/>
  <c r="AA21" i="3" s="1"/>
  <c r="AA22" i="3" s="1"/>
  <c r="AA23" i="3" s="1"/>
  <c r="AA24" i="3" s="1"/>
  <c r="AA25" i="3" s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  <c r="AA44" i="3" s="1"/>
  <c r="AA45" i="3" s="1"/>
  <c r="AA46" i="3" s="1"/>
  <c r="AA47" i="3" s="1"/>
  <c r="AA48" i="3" s="1"/>
  <c r="AA49" i="3" s="1"/>
  <c r="AA50" i="3" s="1"/>
  <c r="AA51" i="3" s="1"/>
  <c r="AA52" i="3" s="1"/>
  <c r="AA53" i="3" s="1"/>
  <c r="AA54" i="3" s="1"/>
  <c r="AA55" i="3" s="1"/>
  <c r="AA56" i="3" s="1"/>
  <c r="AA57" i="3" s="1"/>
  <c r="AA58" i="3" s="1"/>
  <c r="AA59" i="3" s="1"/>
  <c r="AA60" i="3" s="1"/>
  <c r="AA61" i="3" s="1"/>
  <c r="AA62" i="3" s="1"/>
  <c r="AA63" i="3" s="1"/>
  <c r="AA64" i="3" s="1"/>
  <c r="AA65" i="3" s="1"/>
  <c r="AA66" i="3" s="1"/>
  <c r="AA67" i="3" s="1"/>
  <c r="AA68" i="3" s="1"/>
  <c r="AA69" i="3" s="1"/>
  <c r="AA70" i="3" s="1"/>
  <c r="AA71" i="3" s="1"/>
  <c r="AA72" i="3" s="1"/>
  <c r="AA73" i="3" s="1"/>
  <c r="AA74" i="3" s="1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AA105" i="3" s="1"/>
  <c r="AA106" i="3" s="1"/>
  <c r="AA107" i="3" s="1"/>
  <c r="AA108" i="3" s="1"/>
  <c r="AA109" i="3" s="1"/>
  <c r="AA110" i="3" s="1"/>
  <c r="AA111" i="3" s="1"/>
  <c r="AA112" i="3" s="1"/>
  <c r="AA113" i="3" s="1"/>
  <c r="AA114" i="3" s="1"/>
  <c r="AA115" i="3" s="1"/>
  <c r="AA116" i="3" s="1"/>
  <c r="AA117" i="3" s="1"/>
  <c r="AA118" i="3" s="1"/>
  <c r="AA119" i="3" s="1"/>
  <c r="AA120" i="3" s="1"/>
  <c r="AA121" i="3" s="1"/>
  <c r="AA122" i="3" s="1"/>
  <c r="AA123" i="3" s="1"/>
  <c r="AA124" i="3" s="1"/>
  <c r="AA125" i="3" s="1"/>
  <c r="AA126" i="3" s="1"/>
  <c r="AA127" i="3" s="1"/>
  <c r="AA128" i="3" s="1"/>
  <c r="AA129" i="3" s="1"/>
  <c r="AA130" i="3" s="1"/>
  <c r="AA131" i="3" s="1"/>
  <c r="AA132" i="3" s="1"/>
  <c r="AA133" i="3" s="1"/>
  <c r="AA134" i="3" s="1"/>
  <c r="AA135" i="3" s="1"/>
  <c r="AA136" i="3" s="1"/>
  <c r="AA137" i="3" s="1"/>
  <c r="AA138" i="3" s="1"/>
  <c r="AA139" i="3" s="1"/>
  <c r="AA140" i="3" s="1"/>
  <c r="AA141" i="3" s="1"/>
  <c r="AA142" i="3" s="1"/>
  <c r="AA143" i="3" s="1"/>
  <c r="AA144" i="3" s="1"/>
  <c r="AA145" i="3" s="1"/>
  <c r="AA146" i="3" s="1"/>
  <c r="AA147" i="3" s="1"/>
  <c r="AA148" i="3" s="1"/>
  <c r="AA149" i="3" s="1"/>
  <c r="AA150" i="3" s="1"/>
  <c r="AA151" i="3" s="1"/>
  <c r="AA152" i="3" s="1"/>
  <c r="AA153" i="3" s="1"/>
  <c r="AA154" i="3" s="1"/>
  <c r="AA155" i="3" s="1"/>
  <c r="AA156" i="3" s="1"/>
  <c r="AA157" i="3" s="1"/>
  <c r="AA158" i="3" s="1"/>
  <c r="AA159" i="3" s="1"/>
  <c r="AA160" i="3" s="1"/>
  <c r="AA161" i="3" s="1"/>
  <c r="AA162" i="3" s="1"/>
  <c r="AA163" i="3" s="1"/>
  <c r="AA164" i="3" s="1"/>
  <c r="AA165" i="3" s="1"/>
  <c r="AA166" i="3" s="1"/>
  <c r="AA167" i="3" s="1"/>
  <c r="AA168" i="3" s="1"/>
  <c r="AA169" i="3" s="1"/>
  <c r="AA170" i="3" s="1"/>
  <c r="AA171" i="3" s="1"/>
  <c r="AA172" i="3" s="1"/>
  <c r="AA173" i="3" s="1"/>
  <c r="AA174" i="3" s="1"/>
  <c r="AA175" i="3" s="1"/>
  <c r="AA176" i="3" s="1"/>
  <c r="AA177" i="3" s="1"/>
  <c r="AA178" i="3" s="1"/>
  <c r="AA179" i="3" s="1"/>
  <c r="AA180" i="3" s="1"/>
  <c r="AA181" i="3" s="1"/>
  <c r="AA182" i="3" s="1"/>
  <c r="AA183" i="3" s="1"/>
  <c r="AA184" i="3" s="1"/>
  <c r="AA185" i="3" s="1"/>
  <c r="AA186" i="3" s="1"/>
  <c r="AA187" i="3" s="1"/>
  <c r="AA188" i="3" s="1"/>
  <c r="AA189" i="3" s="1"/>
  <c r="AA190" i="3" s="1"/>
  <c r="AA191" i="3" s="1"/>
  <c r="AA192" i="3" s="1"/>
  <c r="AA193" i="3" s="1"/>
  <c r="AA194" i="3" s="1"/>
  <c r="AA195" i="3" s="1"/>
  <c r="Z3" i="3"/>
  <c r="Y3" i="3"/>
  <c r="Y4" i="3" s="1"/>
  <c r="Y5" i="3" s="1"/>
  <c r="Y6" i="3" s="1"/>
  <c r="Y7" i="3" s="1"/>
  <c r="Y8" i="3" s="1"/>
  <c r="Y9" i="3" s="1"/>
  <c r="Y10" i="3" s="1"/>
  <c r="Y11" i="3" s="1"/>
  <c r="Y12" i="3" s="1"/>
  <c r="Y13" i="3" s="1"/>
  <c r="Y14" i="3" s="1"/>
  <c r="Y15" i="3" s="1"/>
  <c r="Y16" i="3" s="1"/>
  <c r="Y17" i="3" s="1"/>
  <c r="Y18" i="3" s="1"/>
  <c r="Y19" i="3" s="1"/>
  <c r="Y20" i="3" s="1"/>
  <c r="Y21" i="3" s="1"/>
  <c r="Y22" i="3" s="1"/>
  <c r="Y23" i="3" s="1"/>
  <c r="Y24" i="3" s="1"/>
  <c r="Y25" i="3" s="1"/>
  <c r="Y26" i="3" s="1"/>
  <c r="Y27" i="3" s="1"/>
  <c r="Y28" i="3" s="1"/>
  <c r="Y29" i="3" s="1"/>
  <c r="Y30" i="3" s="1"/>
  <c r="Y31" i="3" s="1"/>
  <c r="Y32" i="3" s="1"/>
  <c r="Y33" i="3" s="1"/>
  <c r="Y34" i="3" s="1"/>
  <c r="Y35" i="3" s="1"/>
  <c r="Y36" i="3" s="1"/>
  <c r="Y37" i="3" s="1"/>
  <c r="Y38" i="3" s="1"/>
  <c r="Y39" i="3" s="1"/>
  <c r="Y40" i="3" s="1"/>
  <c r="Y41" i="3" s="1"/>
  <c r="Y42" i="3" s="1"/>
  <c r="Y43" i="3" s="1"/>
  <c r="Y44" i="3" s="1"/>
  <c r="Y45" i="3" s="1"/>
  <c r="Y46" i="3" s="1"/>
  <c r="Y47" i="3" s="1"/>
  <c r="Y48" i="3" s="1"/>
  <c r="Y49" i="3" s="1"/>
  <c r="Y50" i="3" s="1"/>
  <c r="Y51" i="3" s="1"/>
  <c r="Y52" i="3" s="1"/>
  <c r="Y53" i="3" s="1"/>
  <c r="Y54" i="3" s="1"/>
  <c r="Y55" i="3" s="1"/>
  <c r="Y56" i="3" s="1"/>
  <c r="Y57" i="3" s="1"/>
  <c r="Y58" i="3" s="1"/>
  <c r="Y59" i="3" s="1"/>
  <c r="Y60" i="3" s="1"/>
  <c r="Y61" i="3" s="1"/>
  <c r="Y62" i="3" s="1"/>
  <c r="Y63" i="3" s="1"/>
  <c r="Y64" i="3" s="1"/>
  <c r="Y65" i="3" s="1"/>
  <c r="Y66" i="3" s="1"/>
  <c r="Y67" i="3" s="1"/>
  <c r="Y68" i="3" s="1"/>
  <c r="Y69" i="3" s="1"/>
  <c r="Y70" i="3" s="1"/>
  <c r="Y71" i="3" s="1"/>
  <c r="Y72" i="3" s="1"/>
  <c r="Y73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Y105" i="3" s="1"/>
  <c r="Y106" i="3" s="1"/>
  <c r="Y107" i="3" s="1"/>
  <c r="Y108" i="3" s="1"/>
  <c r="Y109" i="3" s="1"/>
  <c r="Y110" i="3" s="1"/>
  <c r="Y111" i="3" s="1"/>
  <c r="Y112" i="3" s="1"/>
  <c r="Y113" i="3" s="1"/>
  <c r="Y114" i="3" s="1"/>
  <c r="Y115" i="3" s="1"/>
  <c r="Y116" i="3" s="1"/>
  <c r="Y117" i="3" s="1"/>
  <c r="Y118" i="3" s="1"/>
  <c r="Y119" i="3" s="1"/>
  <c r="Y120" i="3" s="1"/>
  <c r="Y121" i="3" s="1"/>
  <c r="Y122" i="3" s="1"/>
  <c r="Y123" i="3" s="1"/>
  <c r="Y124" i="3" s="1"/>
  <c r="Y125" i="3" s="1"/>
  <c r="Y126" i="3" s="1"/>
  <c r="Y127" i="3" s="1"/>
  <c r="Y128" i="3" s="1"/>
  <c r="Y129" i="3" s="1"/>
  <c r="Y130" i="3" s="1"/>
  <c r="Y131" i="3" s="1"/>
  <c r="Y132" i="3" s="1"/>
  <c r="Y133" i="3" s="1"/>
  <c r="Y134" i="3" s="1"/>
  <c r="Y135" i="3" s="1"/>
  <c r="Y136" i="3" s="1"/>
  <c r="Y137" i="3" s="1"/>
  <c r="Y138" i="3" s="1"/>
  <c r="Y139" i="3" s="1"/>
  <c r="Y140" i="3" s="1"/>
  <c r="Y141" i="3" s="1"/>
  <c r="Y142" i="3" s="1"/>
  <c r="Y143" i="3" s="1"/>
  <c r="Y144" i="3" s="1"/>
  <c r="Y145" i="3" s="1"/>
  <c r="Y146" i="3" s="1"/>
  <c r="Y147" i="3" s="1"/>
  <c r="Y148" i="3" s="1"/>
  <c r="Y149" i="3" s="1"/>
  <c r="Y150" i="3" s="1"/>
  <c r="Y151" i="3" s="1"/>
  <c r="Y152" i="3" s="1"/>
  <c r="Y153" i="3" s="1"/>
  <c r="Y154" i="3" s="1"/>
  <c r="Y155" i="3" s="1"/>
  <c r="Y156" i="3" s="1"/>
  <c r="Y157" i="3" s="1"/>
  <c r="Y158" i="3" s="1"/>
  <c r="Y159" i="3" s="1"/>
  <c r="Y160" i="3" s="1"/>
  <c r="Y161" i="3" s="1"/>
  <c r="Y162" i="3" s="1"/>
  <c r="Y163" i="3" s="1"/>
  <c r="Y164" i="3" s="1"/>
  <c r="Y165" i="3" s="1"/>
  <c r="Y166" i="3" s="1"/>
  <c r="Y167" i="3" s="1"/>
  <c r="Y168" i="3" s="1"/>
  <c r="Y169" i="3" s="1"/>
  <c r="Y170" i="3" s="1"/>
  <c r="Y171" i="3" s="1"/>
  <c r="Y172" i="3" s="1"/>
  <c r="Y173" i="3" s="1"/>
  <c r="Y174" i="3" s="1"/>
  <c r="Y175" i="3" s="1"/>
  <c r="Y176" i="3" s="1"/>
  <c r="Y177" i="3" s="1"/>
  <c r="Y178" i="3" s="1"/>
  <c r="Y179" i="3" s="1"/>
  <c r="Y180" i="3" s="1"/>
  <c r="Y181" i="3" s="1"/>
  <c r="Y182" i="3" s="1"/>
  <c r="Y183" i="3" s="1"/>
  <c r="Y184" i="3" s="1"/>
  <c r="Y185" i="3" s="1"/>
  <c r="Y186" i="3" s="1"/>
  <c r="Y187" i="3" s="1"/>
  <c r="Y188" i="3" s="1"/>
  <c r="Y189" i="3" s="1"/>
  <c r="Y190" i="3" s="1"/>
  <c r="Y191" i="3" s="1"/>
  <c r="Y192" i="3" s="1"/>
  <c r="Y193" i="3" s="1"/>
  <c r="Y194" i="3" s="1"/>
  <c r="Y195" i="3" s="1"/>
  <c r="X3" i="3"/>
  <c r="W3" i="3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W105" i="3" s="1"/>
  <c r="W106" i="3" s="1"/>
  <c r="W107" i="3" s="1"/>
  <c r="W108" i="3" s="1"/>
  <c r="W109" i="3" s="1"/>
  <c r="W110" i="3" s="1"/>
  <c r="W111" i="3" s="1"/>
  <c r="W112" i="3" s="1"/>
  <c r="W113" i="3" s="1"/>
  <c r="W114" i="3" s="1"/>
  <c r="W115" i="3" s="1"/>
  <c r="W116" i="3" s="1"/>
  <c r="W117" i="3" s="1"/>
  <c r="W118" i="3" s="1"/>
  <c r="W119" i="3" s="1"/>
  <c r="W120" i="3" s="1"/>
  <c r="W121" i="3" s="1"/>
  <c r="W122" i="3" s="1"/>
  <c r="W123" i="3" s="1"/>
  <c r="W124" i="3" s="1"/>
  <c r="W125" i="3" s="1"/>
  <c r="W126" i="3" s="1"/>
  <c r="W127" i="3" s="1"/>
  <c r="W128" i="3" s="1"/>
  <c r="W129" i="3" s="1"/>
  <c r="W130" i="3" s="1"/>
  <c r="W131" i="3" s="1"/>
  <c r="W132" i="3" s="1"/>
  <c r="W133" i="3" s="1"/>
  <c r="W134" i="3" s="1"/>
  <c r="W135" i="3" s="1"/>
  <c r="W136" i="3" s="1"/>
  <c r="W137" i="3" s="1"/>
  <c r="W138" i="3" s="1"/>
  <c r="W139" i="3" s="1"/>
  <c r="W140" i="3" s="1"/>
  <c r="W141" i="3" s="1"/>
  <c r="W142" i="3" s="1"/>
  <c r="W143" i="3" s="1"/>
  <c r="W144" i="3" s="1"/>
  <c r="W145" i="3" s="1"/>
  <c r="W146" i="3" s="1"/>
  <c r="W147" i="3" s="1"/>
  <c r="W148" i="3" s="1"/>
  <c r="W149" i="3" s="1"/>
  <c r="W150" i="3" s="1"/>
  <c r="W151" i="3" s="1"/>
  <c r="W152" i="3" s="1"/>
  <c r="W153" i="3" s="1"/>
  <c r="W154" i="3" s="1"/>
  <c r="W155" i="3" s="1"/>
  <c r="W156" i="3" s="1"/>
  <c r="W157" i="3" s="1"/>
  <c r="W158" i="3" s="1"/>
  <c r="W159" i="3" s="1"/>
  <c r="W160" i="3" s="1"/>
  <c r="W161" i="3" s="1"/>
  <c r="W162" i="3" s="1"/>
  <c r="W163" i="3" s="1"/>
  <c r="W164" i="3" s="1"/>
  <c r="W165" i="3" s="1"/>
  <c r="W166" i="3" s="1"/>
  <c r="W167" i="3" s="1"/>
  <c r="W168" i="3" s="1"/>
  <c r="W169" i="3" s="1"/>
  <c r="W170" i="3" s="1"/>
  <c r="W171" i="3" s="1"/>
  <c r="W172" i="3" s="1"/>
  <c r="W173" i="3" s="1"/>
  <c r="W174" i="3" s="1"/>
  <c r="W175" i="3" s="1"/>
  <c r="W176" i="3" s="1"/>
  <c r="W177" i="3" s="1"/>
  <c r="W178" i="3" s="1"/>
  <c r="W179" i="3" s="1"/>
  <c r="W180" i="3" s="1"/>
  <c r="W181" i="3" s="1"/>
  <c r="W182" i="3" s="1"/>
  <c r="W183" i="3" s="1"/>
  <c r="W184" i="3" s="1"/>
  <c r="W185" i="3" s="1"/>
  <c r="W186" i="3" s="1"/>
  <c r="W187" i="3" s="1"/>
  <c r="W188" i="3" s="1"/>
  <c r="W189" i="3" s="1"/>
  <c r="W190" i="3" s="1"/>
  <c r="W191" i="3" s="1"/>
  <c r="W192" i="3" s="1"/>
  <c r="W193" i="3" s="1"/>
  <c r="W194" i="3" s="1"/>
  <c r="W195" i="3" s="1"/>
  <c r="V3" i="3"/>
  <c r="U3" i="3"/>
  <c r="U4" i="3" s="1"/>
  <c r="U5" i="3" s="1"/>
  <c r="U6" i="3" s="1"/>
  <c r="U7" i="3" s="1"/>
  <c r="U8" i="3" s="1"/>
  <c r="U9" i="3" s="1"/>
  <c r="U10" i="3" s="1"/>
  <c r="U11" i="3" s="1"/>
  <c r="U12" i="3" s="1"/>
  <c r="U13" i="3" s="1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U32" i="3" s="1"/>
  <c r="U33" i="3" s="1"/>
  <c r="U34" i="3" s="1"/>
  <c r="U35" i="3" s="1"/>
  <c r="U36" i="3" s="1"/>
  <c r="U37" i="3" s="1"/>
  <c r="U38" i="3" s="1"/>
  <c r="U39" i="3" s="1"/>
  <c r="U40" i="3" s="1"/>
  <c r="U41" i="3" s="1"/>
  <c r="U42" i="3" s="1"/>
  <c r="U43" i="3" s="1"/>
  <c r="U44" i="3" s="1"/>
  <c r="U45" i="3" s="1"/>
  <c r="U46" i="3" s="1"/>
  <c r="U47" i="3" s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U70" i="3" s="1"/>
  <c r="U71" i="3" s="1"/>
  <c r="U72" i="3" s="1"/>
  <c r="U73" i="3" s="1"/>
  <c r="U74" i="3" s="1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U105" i="3" s="1"/>
  <c r="U106" i="3" s="1"/>
  <c r="U107" i="3" s="1"/>
  <c r="U108" i="3" s="1"/>
  <c r="U109" i="3" s="1"/>
  <c r="U110" i="3" s="1"/>
  <c r="U111" i="3" s="1"/>
  <c r="U112" i="3" s="1"/>
  <c r="U113" i="3" s="1"/>
  <c r="U114" i="3" s="1"/>
  <c r="U115" i="3" s="1"/>
  <c r="U116" i="3" s="1"/>
  <c r="U117" i="3" s="1"/>
  <c r="U118" i="3" s="1"/>
  <c r="U119" i="3" s="1"/>
  <c r="U120" i="3" s="1"/>
  <c r="U121" i="3" s="1"/>
  <c r="U122" i="3" s="1"/>
  <c r="U123" i="3" s="1"/>
  <c r="U124" i="3" s="1"/>
  <c r="U125" i="3" s="1"/>
  <c r="U126" i="3" s="1"/>
  <c r="U127" i="3" s="1"/>
  <c r="U128" i="3" s="1"/>
  <c r="U129" i="3" s="1"/>
  <c r="U130" i="3" s="1"/>
  <c r="U131" i="3" s="1"/>
  <c r="U132" i="3" s="1"/>
  <c r="U133" i="3" s="1"/>
  <c r="U134" i="3" s="1"/>
  <c r="U135" i="3" s="1"/>
  <c r="U136" i="3" s="1"/>
  <c r="U137" i="3" s="1"/>
  <c r="U138" i="3" s="1"/>
  <c r="U139" i="3" s="1"/>
  <c r="U140" i="3" s="1"/>
  <c r="U141" i="3" s="1"/>
  <c r="U142" i="3" s="1"/>
  <c r="U143" i="3" s="1"/>
  <c r="U144" i="3" s="1"/>
  <c r="U145" i="3" s="1"/>
  <c r="U146" i="3" s="1"/>
  <c r="U147" i="3" s="1"/>
  <c r="U148" i="3" s="1"/>
  <c r="U149" i="3" s="1"/>
  <c r="U150" i="3" s="1"/>
  <c r="U151" i="3" s="1"/>
  <c r="U152" i="3" s="1"/>
  <c r="U153" i="3" s="1"/>
  <c r="U154" i="3" s="1"/>
  <c r="U155" i="3" s="1"/>
  <c r="U156" i="3" s="1"/>
  <c r="U157" i="3" s="1"/>
  <c r="U158" i="3" s="1"/>
  <c r="U159" i="3" s="1"/>
  <c r="U160" i="3" s="1"/>
  <c r="U161" i="3" s="1"/>
  <c r="U162" i="3" s="1"/>
  <c r="U163" i="3" s="1"/>
  <c r="U164" i="3" s="1"/>
  <c r="U165" i="3" s="1"/>
  <c r="U166" i="3" s="1"/>
  <c r="U167" i="3" s="1"/>
  <c r="U168" i="3" s="1"/>
  <c r="U169" i="3" s="1"/>
  <c r="U170" i="3" s="1"/>
  <c r="U171" i="3" s="1"/>
  <c r="U172" i="3" s="1"/>
  <c r="U173" i="3" s="1"/>
  <c r="U174" i="3" s="1"/>
  <c r="U175" i="3" s="1"/>
  <c r="U176" i="3" s="1"/>
  <c r="U177" i="3" s="1"/>
  <c r="U178" i="3" s="1"/>
  <c r="U179" i="3" s="1"/>
  <c r="U180" i="3" s="1"/>
  <c r="U181" i="3" s="1"/>
  <c r="U182" i="3" s="1"/>
  <c r="U183" i="3" s="1"/>
  <c r="U184" i="3" s="1"/>
  <c r="U185" i="3" s="1"/>
  <c r="U186" i="3" s="1"/>
  <c r="U187" i="3" s="1"/>
  <c r="U188" i="3" s="1"/>
  <c r="U189" i="3" s="1"/>
  <c r="U190" i="3" s="1"/>
  <c r="U191" i="3" s="1"/>
  <c r="U192" i="3" s="1"/>
  <c r="U193" i="3" s="1"/>
  <c r="U194" i="3" s="1"/>
  <c r="U195" i="3" s="1"/>
  <c r="T3" i="3"/>
  <c r="S3" i="3"/>
  <c r="S4" i="3" s="1"/>
  <c r="S5" i="3" s="1"/>
  <c r="S6" i="3" s="1"/>
  <c r="S7" i="3" s="1"/>
  <c r="S8" i="3" s="1"/>
  <c r="S9" i="3" s="1"/>
  <c r="S10" i="3" s="1"/>
  <c r="S11" i="3" s="1"/>
  <c r="S12" i="3" s="1"/>
  <c r="S13" i="3" s="1"/>
  <c r="S14" i="3" s="1"/>
  <c r="S15" i="3" s="1"/>
  <c r="S16" i="3" s="1"/>
  <c r="S17" i="3" s="1"/>
  <c r="S18" i="3" s="1"/>
  <c r="S19" i="3" s="1"/>
  <c r="S20" i="3" s="1"/>
  <c r="S21" i="3" s="1"/>
  <c r="S22" i="3" s="1"/>
  <c r="S23" i="3" s="1"/>
  <c r="S24" i="3" s="1"/>
  <c r="S25" i="3" s="1"/>
  <c r="S26" i="3" s="1"/>
  <c r="S27" i="3" s="1"/>
  <c r="S28" i="3" s="1"/>
  <c r="S29" i="3" s="1"/>
  <c r="S30" i="3" s="1"/>
  <c r="S31" i="3" s="1"/>
  <c r="S32" i="3" s="1"/>
  <c r="S33" i="3" s="1"/>
  <c r="S34" i="3" s="1"/>
  <c r="S35" i="3" s="1"/>
  <c r="S36" i="3" s="1"/>
  <c r="S37" i="3" s="1"/>
  <c r="S38" i="3" s="1"/>
  <c r="S39" i="3" s="1"/>
  <c r="S40" i="3" s="1"/>
  <c r="S41" i="3" s="1"/>
  <c r="S42" i="3" s="1"/>
  <c r="S43" i="3" s="1"/>
  <c r="S44" i="3" s="1"/>
  <c r="S45" i="3" s="1"/>
  <c r="S46" i="3" s="1"/>
  <c r="S47" i="3" s="1"/>
  <c r="S48" i="3" s="1"/>
  <c r="S49" i="3" s="1"/>
  <c r="S50" i="3" s="1"/>
  <c r="S51" i="3" s="1"/>
  <c r="S52" i="3" s="1"/>
  <c r="S53" i="3" s="1"/>
  <c r="S54" i="3" s="1"/>
  <c r="S55" i="3" s="1"/>
  <c r="S56" i="3" s="1"/>
  <c r="S57" i="3" s="1"/>
  <c r="S58" i="3" s="1"/>
  <c r="S59" i="3" s="1"/>
  <c r="S60" i="3" s="1"/>
  <c r="S61" i="3" s="1"/>
  <c r="S62" i="3" s="1"/>
  <c r="S63" i="3" s="1"/>
  <c r="S64" i="3" s="1"/>
  <c r="S65" i="3" s="1"/>
  <c r="S66" i="3" s="1"/>
  <c r="S67" i="3" s="1"/>
  <c r="S68" i="3" s="1"/>
  <c r="S69" i="3" s="1"/>
  <c r="S70" i="3" s="1"/>
  <c r="S71" i="3" s="1"/>
  <c r="S72" i="3" s="1"/>
  <c r="S73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S105" i="3" s="1"/>
  <c r="S106" i="3" s="1"/>
  <c r="S107" i="3" s="1"/>
  <c r="S108" i="3" s="1"/>
  <c r="S109" i="3" s="1"/>
  <c r="S110" i="3" s="1"/>
  <c r="S111" i="3" s="1"/>
  <c r="S112" i="3" s="1"/>
  <c r="S113" i="3" s="1"/>
  <c r="S114" i="3" s="1"/>
  <c r="S115" i="3" s="1"/>
  <c r="S116" i="3" s="1"/>
  <c r="S117" i="3" s="1"/>
  <c r="S118" i="3" s="1"/>
  <c r="S119" i="3" s="1"/>
  <c r="S120" i="3" s="1"/>
  <c r="S121" i="3" s="1"/>
  <c r="S122" i="3" s="1"/>
  <c r="S123" i="3" s="1"/>
  <c r="S124" i="3" s="1"/>
  <c r="S125" i="3" s="1"/>
  <c r="S126" i="3" s="1"/>
  <c r="S127" i="3" s="1"/>
  <c r="S128" i="3" s="1"/>
  <c r="S129" i="3" s="1"/>
  <c r="S130" i="3" s="1"/>
  <c r="S131" i="3" s="1"/>
  <c r="S132" i="3" s="1"/>
  <c r="S133" i="3" s="1"/>
  <c r="S134" i="3" s="1"/>
  <c r="S135" i="3" s="1"/>
  <c r="S136" i="3" s="1"/>
  <c r="S137" i="3" s="1"/>
  <c r="S138" i="3" s="1"/>
  <c r="S139" i="3" s="1"/>
  <c r="S140" i="3" s="1"/>
  <c r="S141" i="3" s="1"/>
  <c r="S142" i="3" s="1"/>
  <c r="S143" i="3" s="1"/>
  <c r="S144" i="3" s="1"/>
  <c r="S145" i="3" s="1"/>
  <c r="S146" i="3" s="1"/>
  <c r="S147" i="3" s="1"/>
  <c r="S148" i="3" s="1"/>
  <c r="S149" i="3" s="1"/>
  <c r="S150" i="3" s="1"/>
  <c r="S151" i="3" s="1"/>
  <c r="S152" i="3" s="1"/>
  <c r="S153" i="3" s="1"/>
  <c r="S154" i="3" s="1"/>
  <c r="S155" i="3" s="1"/>
  <c r="S156" i="3" s="1"/>
  <c r="S157" i="3" s="1"/>
  <c r="S158" i="3" s="1"/>
  <c r="S159" i="3" s="1"/>
  <c r="S160" i="3" s="1"/>
  <c r="S161" i="3" s="1"/>
  <c r="S162" i="3" s="1"/>
  <c r="S163" i="3" s="1"/>
  <c r="S164" i="3" s="1"/>
  <c r="S165" i="3" s="1"/>
  <c r="S166" i="3" s="1"/>
  <c r="S167" i="3" s="1"/>
  <c r="S168" i="3" s="1"/>
  <c r="S169" i="3" s="1"/>
  <c r="S170" i="3" s="1"/>
  <c r="S171" i="3" s="1"/>
  <c r="S172" i="3" s="1"/>
  <c r="S173" i="3" s="1"/>
  <c r="S174" i="3" s="1"/>
  <c r="S175" i="3" s="1"/>
  <c r="S176" i="3" s="1"/>
  <c r="S177" i="3" s="1"/>
  <c r="S178" i="3" s="1"/>
  <c r="S179" i="3" s="1"/>
  <c r="S180" i="3" s="1"/>
  <c r="S181" i="3" s="1"/>
  <c r="S182" i="3" s="1"/>
  <c r="S183" i="3" s="1"/>
  <c r="S184" i="3" s="1"/>
  <c r="S185" i="3" s="1"/>
  <c r="S186" i="3" s="1"/>
  <c r="S187" i="3" s="1"/>
  <c r="S188" i="3" s="1"/>
  <c r="S189" i="3" s="1"/>
  <c r="S190" i="3" s="1"/>
  <c r="S191" i="3" s="1"/>
  <c r="S192" i="3" s="1"/>
  <c r="S193" i="3" s="1"/>
  <c r="S194" i="3" s="1"/>
  <c r="S195" i="3" s="1"/>
  <c r="R3" i="3"/>
  <c r="Q3" i="3"/>
  <c r="Q4" i="3" s="1"/>
  <c r="Q5" i="3" s="1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Q20" i="3" s="1"/>
  <c r="Q21" i="3" s="1"/>
  <c r="Q22" i="3" s="1"/>
  <c r="Q23" i="3" s="1"/>
  <c r="Q24" i="3" s="1"/>
  <c r="Q25" i="3" s="1"/>
  <c r="Q26" i="3" s="1"/>
  <c r="Q27" i="3" s="1"/>
  <c r="Q28" i="3" s="1"/>
  <c r="Q29" i="3" s="1"/>
  <c r="Q30" i="3" s="1"/>
  <c r="Q31" i="3" s="1"/>
  <c r="Q32" i="3" s="1"/>
  <c r="Q33" i="3" s="1"/>
  <c r="Q34" i="3" s="1"/>
  <c r="Q35" i="3" s="1"/>
  <c r="Q36" i="3" s="1"/>
  <c r="Q37" i="3" s="1"/>
  <c r="Q38" i="3" s="1"/>
  <c r="Q39" i="3" s="1"/>
  <c r="Q40" i="3" s="1"/>
  <c r="Q41" i="3" s="1"/>
  <c r="Q42" i="3" s="1"/>
  <c r="Q43" i="3" s="1"/>
  <c r="Q44" i="3" s="1"/>
  <c r="Q45" i="3" s="1"/>
  <c r="Q46" i="3" s="1"/>
  <c r="Q47" i="3" s="1"/>
  <c r="Q48" i="3" s="1"/>
  <c r="Q49" i="3" s="1"/>
  <c r="Q50" i="3" s="1"/>
  <c r="Q51" i="3" s="1"/>
  <c r="Q52" i="3" s="1"/>
  <c r="Q53" i="3" s="1"/>
  <c r="Q54" i="3" s="1"/>
  <c r="Q55" i="3" s="1"/>
  <c r="Q56" i="3" s="1"/>
  <c r="Q57" i="3" s="1"/>
  <c r="Q58" i="3" s="1"/>
  <c r="Q59" i="3" s="1"/>
  <c r="Q60" i="3" s="1"/>
  <c r="Q61" i="3" s="1"/>
  <c r="Q62" i="3" s="1"/>
  <c r="Q63" i="3" s="1"/>
  <c r="Q64" i="3" s="1"/>
  <c r="Q65" i="3" s="1"/>
  <c r="Q66" i="3" s="1"/>
  <c r="Q67" i="3" s="1"/>
  <c r="Q68" i="3" s="1"/>
  <c r="Q69" i="3" s="1"/>
  <c r="Q70" i="3" s="1"/>
  <c r="Q71" i="3" s="1"/>
  <c r="Q72" i="3" s="1"/>
  <c r="Q73" i="3" s="1"/>
  <c r="Q74" i="3" s="1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Q105" i="3" s="1"/>
  <c r="Q106" i="3" s="1"/>
  <c r="Q107" i="3" s="1"/>
  <c r="Q108" i="3" s="1"/>
  <c r="Q109" i="3" s="1"/>
  <c r="Q110" i="3" s="1"/>
  <c r="Q111" i="3" s="1"/>
  <c r="Q112" i="3" s="1"/>
  <c r="Q113" i="3" s="1"/>
  <c r="Q114" i="3" s="1"/>
  <c r="Q115" i="3" s="1"/>
  <c r="Q116" i="3" s="1"/>
  <c r="Q117" i="3" s="1"/>
  <c r="Q118" i="3" s="1"/>
  <c r="Q119" i="3" s="1"/>
  <c r="Q120" i="3" s="1"/>
  <c r="Q121" i="3" s="1"/>
  <c r="Q122" i="3" s="1"/>
  <c r="Q123" i="3" s="1"/>
  <c r="Q124" i="3" s="1"/>
  <c r="Q125" i="3" s="1"/>
  <c r="Q126" i="3" s="1"/>
  <c r="Q127" i="3" s="1"/>
  <c r="Q128" i="3" s="1"/>
  <c r="Q129" i="3" s="1"/>
  <c r="Q130" i="3" s="1"/>
  <c r="Q131" i="3" s="1"/>
  <c r="Q132" i="3" s="1"/>
  <c r="Q133" i="3" s="1"/>
  <c r="Q134" i="3" s="1"/>
  <c r="Q135" i="3" s="1"/>
  <c r="Q136" i="3" s="1"/>
  <c r="Q137" i="3" s="1"/>
  <c r="Q138" i="3" s="1"/>
  <c r="Q139" i="3" s="1"/>
  <c r="Q140" i="3" s="1"/>
  <c r="Q141" i="3" s="1"/>
  <c r="Q142" i="3" s="1"/>
  <c r="Q143" i="3" s="1"/>
  <c r="Q144" i="3" s="1"/>
  <c r="Q145" i="3" s="1"/>
  <c r="Q146" i="3" s="1"/>
  <c r="Q147" i="3" s="1"/>
  <c r="Q148" i="3" s="1"/>
  <c r="Q149" i="3" s="1"/>
  <c r="Q150" i="3" s="1"/>
  <c r="Q151" i="3" s="1"/>
  <c r="Q152" i="3" s="1"/>
  <c r="Q153" i="3" s="1"/>
  <c r="Q154" i="3" s="1"/>
  <c r="Q155" i="3" s="1"/>
  <c r="Q156" i="3" s="1"/>
  <c r="Q157" i="3" s="1"/>
  <c r="Q158" i="3" s="1"/>
  <c r="Q159" i="3" s="1"/>
  <c r="Q160" i="3" s="1"/>
  <c r="Q161" i="3" s="1"/>
  <c r="Q162" i="3" s="1"/>
  <c r="Q163" i="3" s="1"/>
  <c r="Q164" i="3" s="1"/>
  <c r="Q165" i="3" s="1"/>
  <c r="Q166" i="3" s="1"/>
  <c r="Q167" i="3" s="1"/>
  <c r="Q168" i="3" s="1"/>
  <c r="Q169" i="3" s="1"/>
  <c r="Q170" i="3" s="1"/>
  <c r="Q171" i="3" s="1"/>
  <c r="Q172" i="3" s="1"/>
  <c r="Q173" i="3" s="1"/>
  <c r="Q174" i="3" s="1"/>
  <c r="Q175" i="3" s="1"/>
  <c r="Q176" i="3" s="1"/>
  <c r="Q177" i="3" s="1"/>
  <c r="Q178" i="3" s="1"/>
  <c r="Q179" i="3" s="1"/>
  <c r="Q180" i="3" s="1"/>
  <c r="Q181" i="3" s="1"/>
  <c r="Q182" i="3" s="1"/>
  <c r="Q183" i="3" s="1"/>
  <c r="Q184" i="3" s="1"/>
  <c r="Q185" i="3" s="1"/>
  <c r="Q186" i="3" s="1"/>
  <c r="Q187" i="3" s="1"/>
  <c r="Q188" i="3" s="1"/>
  <c r="Q189" i="3" s="1"/>
  <c r="Q190" i="3" s="1"/>
  <c r="Q191" i="3" s="1"/>
  <c r="Q192" i="3" s="1"/>
  <c r="Q193" i="3" s="1"/>
  <c r="Q194" i="3" s="1"/>
  <c r="Q195" i="3" s="1"/>
  <c r="P3" i="3"/>
  <c r="O3" i="3"/>
  <c r="O4" i="3" s="1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O32" i="3" s="1"/>
  <c r="O33" i="3" s="1"/>
  <c r="O34" i="3" s="1"/>
  <c r="O35" i="3" s="1"/>
  <c r="O36" i="3" s="1"/>
  <c r="O37" i="3" s="1"/>
  <c r="O38" i="3" s="1"/>
  <c r="O39" i="3" s="1"/>
  <c r="O40" i="3" s="1"/>
  <c r="O41" i="3" s="1"/>
  <c r="O42" i="3" s="1"/>
  <c r="O43" i="3" s="1"/>
  <c r="O44" i="3" s="1"/>
  <c r="O45" i="3" s="1"/>
  <c r="O46" i="3" s="1"/>
  <c r="O47" i="3" s="1"/>
  <c r="O48" i="3" s="1"/>
  <c r="O49" i="3" s="1"/>
  <c r="O50" i="3" s="1"/>
  <c r="O51" i="3" s="1"/>
  <c r="O52" i="3" s="1"/>
  <c r="O53" i="3" s="1"/>
  <c r="O54" i="3" s="1"/>
  <c r="O55" i="3" s="1"/>
  <c r="O56" i="3" s="1"/>
  <c r="O57" i="3" s="1"/>
  <c r="O58" i="3" s="1"/>
  <c r="O59" i="3" s="1"/>
  <c r="O60" i="3" s="1"/>
  <c r="O61" i="3" s="1"/>
  <c r="O62" i="3" s="1"/>
  <c r="O63" i="3" s="1"/>
  <c r="O64" i="3" s="1"/>
  <c r="O65" i="3" s="1"/>
  <c r="O66" i="3" s="1"/>
  <c r="O67" i="3" s="1"/>
  <c r="O68" i="3" s="1"/>
  <c r="O69" i="3" s="1"/>
  <c r="O70" i="3" s="1"/>
  <c r="O71" i="3" s="1"/>
  <c r="O72" i="3" s="1"/>
  <c r="O73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O105" i="3" s="1"/>
  <c r="O106" i="3" s="1"/>
  <c r="O107" i="3" s="1"/>
  <c r="O108" i="3" s="1"/>
  <c r="O109" i="3" s="1"/>
  <c r="O110" i="3" s="1"/>
  <c r="O111" i="3" s="1"/>
  <c r="O112" i="3" s="1"/>
  <c r="O113" i="3" s="1"/>
  <c r="O114" i="3" s="1"/>
  <c r="O115" i="3" s="1"/>
  <c r="O116" i="3" s="1"/>
  <c r="O117" i="3" s="1"/>
  <c r="O118" i="3" s="1"/>
  <c r="O119" i="3" s="1"/>
  <c r="O120" i="3" s="1"/>
  <c r="O121" i="3" s="1"/>
  <c r="O122" i="3" s="1"/>
  <c r="O123" i="3" s="1"/>
  <c r="O124" i="3" s="1"/>
  <c r="O125" i="3" s="1"/>
  <c r="O126" i="3" s="1"/>
  <c r="O127" i="3" s="1"/>
  <c r="O128" i="3" s="1"/>
  <c r="O129" i="3" s="1"/>
  <c r="O130" i="3" s="1"/>
  <c r="O131" i="3" s="1"/>
  <c r="O132" i="3" s="1"/>
  <c r="O133" i="3" s="1"/>
  <c r="O134" i="3" s="1"/>
  <c r="O135" i="3" s="1"/>
  <c r="O136" i="3" s="1"/>
  <c r="O137" i="3" s="1"/>
  <c r="O138" i="3" s="1"/>
  <c r="O139" i="3" s="1"/>
  <c r="O140" i="3" s="1"/>
  <c r="O141" i="3" s="1"/>
  <c r="O142" i="3" s="1"/>
  <c r="O143" i="3" s="1"/>
  <c r="O144" i="3" s="1"/>
  <c r="O145" i="3" s="1"/>
  <c r="O146" i="3" s="1"/>
  <c r="O147" i="3" s="1"/>
  <c r="O148" i="3" s="1"/>
  <c r="O149" i="3" s="1"/>
  <c r="O150" i="3" s="1"/>
  <c r="O151" i="3" s="1"/>
  <c r="O152" i="3" s="1"/>
  <c r="O153" i="3" s="1"/>
  <c r="O154" i="3" s="1"/>
  <c r="O155" i="3" s="1"/>
  <c r="O156" i="3" s="1"/>
  <c r="O157" i="3" s="1"/>
  <c r="O158" i="3" s="1"/>
  <c r="O159" i="3" s="1"/>
  <c r="O160" i="3" s="1"/>
  <c r="O161" i="3" s="1"/>
  <c r="O162" i="3" s="1"/>
  <c r="O163" i="3" s="1"/>
  <c r="O164" i="3" s="1"/>
  <c r="O165" i="3" s="1"/>
  <c r="O166" i="3" s="1"/>
  <c r="O167" i="3" s="1"/>
  <c r="O168" i="3" s="1"/>
  <c r="O169" i="3" s="1"/>
  <c r="O170" i="3" s="1"/>
  <c r="O171" i="3" s="1"/>
  <c r="O172" i="3" s="1"/>
  <c r="O173" i="3" s="1"/>
  <c r="O174" i="3" s="1"/>
  <c r="O175" i="3" s="1"/>
  <c r="O176" i="3" s="1"/>
  <c r="O177" i="3" s="1"/>
  <c r="O178" i="3" s="1"/>
  <c r="O179" i="3" s="1"/>
  <c r="O180" i="3" s="1"/>
  <c r="O181" i="3" s="1"/>
  <c r="O182" i="3" s="1"/>
  <c r="O183" i="3" s="1"/>
  <c r="O184" i="3" s="1"/>
  <c r="O185" i="3" s="1"/>
  <c r="O186" i="3" s="1"/>
  <c r="O187" i="3" s="1"/>
  <c r="O188" i="3" s="1"/>
  <c r="O189" i="3" s="1"/>
  <c r="O190" i="3" s="1"/>
  <c r="O191" i="3" s="1"/>
  <c r="O192" i="3" s="1"/>
  <c r="O193" i="3" s="1"/>
  <c r="O194" i="3" s="1"/>
  <c r="O195" i="3" s="1"/>
  <c r="N3" i="3"/>
  <c r="M3" i="3"/>
  <c r="M4" i="3" s="1"/>
  <c r="M5" i="3" s="1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M26" i="3" s="1"/>
  <c r="M27" i="3" s="1"/>
  <c r="M28" i="3" s="1"/>
  <c r="M29" i="3" s="1"/>
  <c r="M30" i="3" s="1"/>
  <c r="M31" i="3" s="1"/>
  <c r="M32" i="3" s="1"/>
  <c r="M33" i="3" s="1"/>
  <c r="M34" i="3" s="1"/>
  <c r="M35" i="3" s="1"/>
  <c r="M36" i="3" s="1"/>
  <c r="M37" i="3" s="1"/>
  <c r="M38" i="3" s="1"/>
  <c r="M39" i="3" s="1"/>
  <c r="M40" i="3" s="1"/>
  <c r="M41" i="3" s="1"/>
  <c r="M42" i="3" s="1"/>
  <c r="M43" i="3" s="1"/>
  <c r="M44" i="3" s="1"/>
  <c r="M45" i="3" s="1"/>
  <c r="M46" i="3" s="1"/>
  <c r="M47" i="3" s="1"/>
  <c r="M48" i="3" s="1"/>
  <c r="M49" i="3" s="1"/>
  <c r="M50" i="3" s="1"/>
  <c r="M51" i="3" s="1"/>
  <c r="M52" i="3" s="1"/>
  <c r="M53" i="3" s="1"/>
  <c r="M54" i="3" s="1"/>
  <c r="M55" i="3" s="1"/>
  <c r="M56" i="3" s="1"/>
  <c r="M57" i="3" s="1"/>
  <c r="M58" i="3" s="1"/>
  <c r="M59" i="3" s="1"/>
  <c r="M60" i="3" s="1"/>
  <c r="M61" i="3" s="1"/>
  <c r="M62" i="3" s="1"/>
  <c r="M63" i="3" s="1"/>
  <c r="M64" i="3" s="1"/>
  <c r="M65" i="3" s="1"/>
  <c r="M66" i="3" s="1"/>
  <c r="M67" i="3" s="1"/>
  <c r="M68" i="3" s="1"/>
  <c r="M69" i="3" s="1"/>
  <c r="M70" i="3" s="1"/>
  <c r="M71" i="3" s="1"/>
  <c r="M72" i="3" s="1"/>
  <c r="M73" i="3" s="1"/>
  <c r="M74" i="3" s="1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M105" i="3" s="1"/>
  <c r="M106" i="3" s="1"/>
  <c r="M107" i="3" s="1"/>
  <c r="M108" i="3" s="1"/>
  <c r="M109" i="3" s="1"/>
  <c r="M110" i="3" s="1"/>
  <c r="M111" i="3" s="1"/>
  <c r="M112" i="3" s="1"/>
  <c r="M113" i="3" s="1"/>
  <c r="M114" i="3" s="1"/>
  <c r="M115" i="3" s="1"/>
  <c r="M116" i="3" s="1"/>
  <c r="M117" i="3" s="1"/>
  <c r="M118" i="3" s="1"/>
  <c r="M119" i="3" s="1"/>
  <c r="M120" i="3" s="1"/>
  <c r="M121" i="3" s="1"/>
  <c r="M122" i="3" s="1"/>
  <c r="M123" i="3" s="1"/>
  <c r="M124" i="3" s="1"/>
  <c r="M125" i="3" s="1"/>
  <c r="M126" i="3" s="1"/>
  <c r="M127" i="3" s="1"/>
  <c r="M128" i="3" s="1"/>
  <c r="M129" i="3" s="1"/>
  <c r="M130" i="3" s="1"/>
  <c r="M131" i="3" s="1"/>
  <c r="M132" i="3" s="1"/>
  <c r="M133" i="3" s="1"/>
  <c r="M134" i="3" s="1"/>
  <c r="M135" i="3" s="1"/>
  <c r="M136" i="3" s="1"/>
  <c r="M137" i="3" s="1"/>
  <c r="M138" i="3" s="1"/>
  <c r="M139" i="3" s="1"/>
  <c r="M140" i="3" s="1"/>
  <c r="M141" i="3" s="1"/>
  <c r="M142" i="3" s="1"/>
  <c r="M143" i="3" s="1"/>
  <c r="M144" i="3" s="1"/>
  <c r="M145" i="3" s="1"/>
  <c r="M146" i="3" s="1"/>
  <c r="M147" i="3" s="1"/>
  <c r="M148" i="3" s="1"/>
  <c r="M149" i="3" s="1"/>
  <c r="M150" i="3" s="1"/>
  <c r="M151" i="3" s="1"/>
  <c r="M152" i="3" s="1"/>
  <c r="M153" i="3" s="1"/>
  <c r="M154" i="3" s="1"/>
  <c r="M155" i="3" s="1"/>
  <c r="M156" i="3" s="1"/>
  <c r="M157" i="3" s="1"/>
  <c r="M158" i="3" s="1"/>
  <c r="M159" i="3" s="1"/>
  <c r="M160" i="3" s="1"/>
  <c r="M161" i="3" s="1"/>
  <c r="M162" i="3" s="1"/>
  <c r="M163" i="3" s="1"/>
  <c r="M164" i="3" s="1"/>
  <c r="M165" i="3" s="1"/>
  <c r="M166" i="3" s="1"/>
  <c r="M167" i="3" s="1"/>
  <c r="M168" i="3" s="1"/>
  <c r="M169" i="3" s="1"/>
  <c r="M170" i="3" s="1"/>
  <c r="M171" i="3" s="1"/>
  <c r="M172" i="3" s="1"/>
  <c r="M173" i="3" s="1"/>
  <c r="M174" i="3" s="1"/>
  <c r="M175" i="3" s="1"/>
  <c r="M176" i="3" s="1"/>
  <c r="M177" i="3" s="1"/>
  <c r="M178" i="3" s="1"/>
  <c r="M179" i="3" s="1"/>
  <c r="M180" i="3" s="1"/>
  <c r="M181" i="3" s="1"/>
  <c r="M182" i="3" s="1"/>
  <c r="M183" i="3" s="1"/>
  <c r="M184" i="3" s="1"/>
  <c r="M185" i="3" s="1"/>
  <c r="M186" i="3" s="1"/>
  <c r="M187" i="3" s="1"/>
  <c r="M188" i="3" s="1"/>
  <c r="M189" i="3" s="1"/>
  <c r="M190" i="3" s="1"/>
  <c r="M191" i="3" s="1"/>
  <c r="M192" i="3" s="1"/>
  <c r="M193" i="3" s="1"/>
  <c r="M194" i="3" s="1"/>
  <c r="M195" i="3" s="1"/>
  <c r="L3" i="3"/>
  <c r="K3" i="3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K43" i="3" s="1"/>
  <c r="K44" i="3" s="1"/>
  <c r="K45" i="3" s="1"/>
  <c r="K46" i="3" s="1"/>
  <c r="K47" i="3" s="1"/>
  <c r="K48" i="3" s="1"/>
  <c r="K49" i="3" s="1"/>
  <c r="K50" i="3" s="1"/>
  <c r="K51" i="3" s="1"/>
  <c r="K52" i="3" s="1"/>
  <c r="K53" i="3" s="1"/>
  <c r="K54" i="3" s="1"/>
  <c r="K55" i="3" s="1"/>
  <c r="K56" i="3" s="1"/>
  <c r="K57" i="3" s="1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K71" i="3" s="1"/>
  <c r="K72" i="3" s="1"/>
  <c r="K73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K105" i="3" s="1"/>
  <c r="K106" i="3" s="1"/>
  <c r="K107" i="3" s="1"/>
  <c r="K108" i="3" s="1"/>
  <c r="K109" i="3" s="1"/>
  <c r="K110" i="3" s="1"/>
  <c r="K111" i="3" s="1"/>
  <c r="K112" i="3" s="1"/>
  <c r="K113" i="3" s="1"/>
  <c r="K114" i="3" s="1"/>
  <c r="K115" i="3" s="1"/>
  <c r="K116" i="3" s="1"/>
  <c r="K117" i="3" s="1"/>
  <c r="K118" i="3" s="1"/>
  <c r="K119" i="3" s="1"/>
  <c r="K120" i="3" s="1"/>
  <c r="K121" i="3" s="1"/>
  <c r="K122" i="3" s="1"/>
  <c r="K123" i="3" s="1"/>
  <c r="K124" i="3" s="1"/>
  <c r="K125" i="3" s="1"/>
  <c r="K126" i="3" s="1"/>
  <c r="K127" i="3" s="1"/>
  <c r="K128" i="3" s="1"/>
  <c r="K129" i="3" s="1"/>
  <c r="K130" i="3" s="1"/>
  <c r="K131" i="3" s="1"/>
  <c r="K132" i="3" s="1"/>
  <c r="K133" i="3" s="1"/>
  <c r="K134" i="3" s="1"/>
  <c r="K135" i="3" s="1"/>
  <c r="K136" i="3" s="1"/>
  <c r="K137" i="3" s="1"/>
  <c r="K138" i="3" s="1"/>
  <c r="K139" i="3" s="1"/>
  <c r="K140" i="3" s="1"/>
  <c r="K141" i="3" s="1"/>
  <c r="K142" i="3" s="1"/>
  <c r="K143" i="3" s="1"/>
  <c r="K144" i="3" s="1"/>
  <c r="K145" i="3" s="1"/>
  <c r="K146" i="3" s="1"/>
  <c r="K147" i="3" s="1"/>
  <c r="K148" i="3" s="1"/>
  <c r="K149" i="3" s="1"/>
  <c r="K150" i="3" s="1"/>
  <c r="K151" i="3" s="1"/>
  <c r="K152" i="3" s="1"/>
  <c r="K153" i="3" s="1"/>
  <c r="K154" i="3" s="1"/>
  <c r="K155" i="3" s="1"/>
  <c r="K156" i="3" s="1"/>
  <c r="K157" i="3" s="1"/>
  <c r="K158" i="3" s="1"/>
  <c r="K159" i="3" s="1"/>
  <c r="K160" i="3" s="1"/>
  <c r="K161" i="3" s="1"/>
  <c r="K162" i="3" s="1"/>
  <c r="K163" i="3" s="1"/>
  <c r="K164" i="3" s="1"/>
  <c r="K165" i="3" s="1"/>
  <c r="K166" i="3" s="1"/>
  <c r="K167" i="3" s="1"/>
  <c r="K168" i="3" s="1"/>
  <c r="K169" i="3" s="1"/>
  <c r="K170" i="3" s="1"/>
  <c r="K171" i="3" s="1"/>
  <c r="K172" i="3" s="1"/>
  <c r="K173" i="3" s="1"/>
  <c r="K174" i="3" s="1"/>
  <c r="K175" i="3" s="1"/>
  <c r="K176" i="3" s="1"/>
  <c r="K177" i="3" s="1"/>
  <c r="K178" i="3" s="1"/>
  <c r="K179" i="3" s="1"/>
  <c r="K180" i="3" s="1"/>
  <c r="K181" i="3" s="1"/>
  <c r="K182" i="3" s="1"/>
  <c r="K183" i="3" s="1"/>
  <c r="K184" i="3" s="1"/>
  <c r="K185" i="3" s="1"/>
  <c r="K186" i="3" s="1"/>
  <c r="K187" i="3" s="1"/>
  <c r="K188" i="3" s="1"/>
  <c r="K189" i="3" s="1"/>
  <c r="K190" i="3" s="1"/>
  <c r="K191" i="3" s="1"/>
  <c r="K192" i="3" s="1"/>
  <c r="K193" i="3" s="1"/>
  <c r="K194" i="3" s="1"/>
  <c r="K195" i="3" s="1"/>
  <c r="J3" i="3"/>
  <c r="I3" i="3"/>
  <c r="I4" i="3" s="1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68" i="3" s="1"/>
  <c r="I69" i="3" s="1"/>
  <c r="I70" i="3" s="1"/>
  <c r="I71" i="3" s="1"/>
  <c r="I72" i="3" s="1"/>
  <c r="I73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I105" i="3" s="1"/>
  <c r="I106" i="3" s="1"/>
  <c r="I107" i="3" s="1"/>
  <c r="I108" i="3" s="1"/>
  <c r="I109" i="3" s="1"/>
  <c r="I110" i="3" s="1"/>
  <c r="I111" i="3" s="1"/>
  <c r="I112" i="3" s="1"/>
  <c r="I113" i="3" s="1"/>
  <c r="I114" i="3" s="1"/>
  <c r="I115" i="3" s="1"/>
  <c r="I116" i="3" s="1"/>
  <c r="I117" i="3" s="1"/>
  <c r="I118" i="3" s="1"/>
  <c r="I119" i="3" s="1"/>
  <c r="I120" i="3" s="1"/>
  <c r="I121" i="3" s="1"/>
  <c r="I122" i="3" s="1"/>
  <c r="I123" i="3" s="1"/>
  <c r="I124" i="3" s="1"/>
  <c r="I125" i="3" s="1"/>
  <c r="I126" i="3" s="1"/>
  <c r="I127" i="3" s="1"/>
  <c r="I128" i="3" s="1"/>
  <c r="I129" i="3" s="1"/>
  <c r="I130" i="3" s="1"/>
  <c r="I131" i="3" s="1"/>
  <c r="I132" i="3" s="1"/>
  <c r="I133" i="3" s="1"/>
  <c r="I134" i="3" s="1"/>
  <c r="I135" i="3" s="1"/>
  <c r="I136" i="3" s="1"/>
  <c r="I137" i="3" s="1"/>
  <c r="I138" i="3" s="1"/>
  <c r="I139" i="3" s="1"/>
  <c r="I140" i="3" s="1"/>
  <c r="I141" i="3" s="1"/>
  <c r="I142" i="3" s="1"/>
  <c r="I143" i="3" s="1"/>
  <c r="I144" i="3" s="1"/>
  <c r="I145" i="3" s="1"/>
  <c r="I146" i="3" s="1"/>
  <c r="I147" i="3" s="1"/>
  <c r="I148" i="3" s="1"/>
  <c r="I149" i="3" s="1"/>
  <c r="I150" i="3" s="1"/>
  <c r="I151" i="3" s="1"/>
  <c r="I152" i="3" s="1"/>
  <c r="I153" i="3" s="1"/>
  <c r="I154" i="3" s="1"/>
  <c r="I155" i="3" s="1"/>
  <c r="I156" i="3" s="1"/>
  <c r="I157" i="3" s="1"/>
  <c r="I158" i="3" s="1"/>
  <c r="I159" i="3" s="1"/>
  <c r="I160" i="3" s="1"/>
  <c r="I161" i="3" s="1"/>
  <c r="I162" i="3" s="1"/>
  <c r="I163" i="3" s="1"/>
  <c r="I164" i="3" s="1"/>
  <c r="I165" i="3" s="1"/>
  <c r="I166" i="3" s="1"/>
  <c r="I167" i="3" s="1"/>
  <c r="I168" i="3" s="1"/>
  <c r="I169" i="3" s="1"/>
  <c r="I170" i="3" s="1"/>
  <c r="I171" i="3" s="1"/>
  <c r="I172" i="3" s="1"/>
  <c r="I173" i="3" s="1"/>
  <c r="I174" i="3" s="1"/>
  <c r="I175" i="3" s="1"/>
  <c r="I176" i="3" s="1"/>
  <c r="I177" i="3" s="1"/>
  <c r="I178" i="3" s="1"/>
  <c r="I179" i="3" s="1"/>
  <c r="I180" i="3" s="1"/>
  <c r="I181" i="3" s="1"/>
  <c r="I182" i="3" s="1"/>
  <c r="I183" i="3" s="1"/>
  <c r="I184" i="3" s="1"/>
  <c r="I185" i="3" s="1"/>
  <c r="I186" i="3" s="1"/>
  <c r="I187" i="3" s="1"/>
  <c r="I188" i="3" s="1"/>
  <c r="I189" i="3" s="1"/>
  <c r="I190" i="3" s="1"/>
  <c r="I191" i="3" s="1"/>
  <c r="I192" i="3" s="1"/>
  <c r="I193" i="3" s="1"/>
  <c r="I194" i="3" s="1"/>
  <c r="I195" i="3" s="1"/>
  <c r="H3" i="3"/>
  <c r="G3" i="3"/>
  <c r="G4" i="3" s="1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F3" i="3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E103" i="3" s="1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E134" i="3" s="1"/>
  <c r="E135" i="3" s="1"/>
  <c r="E136" i="3" s="1"/>
  <c r="E137" i="3" s="1"/>
  <c r="E138" i="3" s="1"/>
  <c r="E139" i="3" s="1"/>
  <c r="E140" i="3" s="1"/>
  <c r="E141" i="3" s="1"/>
  <c r="E142" i="3" s="1"/>
  <c r="E143" i="3" s="1"/>
  <c r="E144" i="3" s="1"/>
  <c r="E145" i="3" s="1"/>
  <c r="E146" i="3" s="1"/>
  <c r="E147" i="3" s="1"/>
  <c r="E148" i="3" s="1"/>
  <c r="E149" i="3" s="1"/>
  <c r="E150" i="3" s="1"/>
  <c r="E151" i="3" s="1"/>
  <c r="E152" i="3" s="1"/>
  <c r="E153" i="3" s="1"/>
  <c r="E154" i="3" s="1"/>
  <c r="E155" i="3" s="1"/>
  <c r="E156" i="3" s="1"/>
  <c r="E157" i="3" s="1"/>
  <c r="E158" i="3" s="1"/>
  <c r="E159" i="3" s="1"/>
  <c r="E160" i="3" s="1"/>
  <c r="E161" i="3" s="1"/>
  <c r="E162" i="3" s="1"/>
  <c r="E163" i="3" s="1"/>
  <c r="E164" i="3" s="1"/>
  <c r="E165" i="3" s="1"/>
  <c r="E166" i="3" s="1"/>
  <c r="E167" i="3" s="1"/>
  <c r="E168" i="3" s="1"/>
  <c r="E169" i="3" s="1"/>
  <c r="E170" i="3" s="1"/>
  <c r="E171" i="3" s="1"/>
  <c r="E172" i="3" s="1"/>
  <c r="E173" i="3" s="1"/>
  <c r="E174" i="3" s="1"/>
  <c r="E175" i="3" s="1"/>
  <c r="E176" i="3" s="1"/>
  <c r="E177" i="3" s="1"/>
  <c r="E178" i="3" s="1"/>
  <c r="E179" i="3" s="1"/>
  <c r="E180" i="3" s="1"/>
  <c r="E181" i="3" s="1"/>
  <c r="E182" i="3" s="1"/>
  <c r="E183" i="3" s="1"/>
  <c r="E184" i="3" s="1"/>
  <c r="E185" i="3" s="1"/>
  <c r="E186" i="3" s="1"/>
  <c r="E187" i="3" s="1"/>
  <c r="E188" i="3" s="1"/>
  <c r="E189" i="3" s="1"/>
  <c r="E190" i="3" s="1"/>
  <c r="E191" i="3" s="1"/>
  <c r="E192" i="3" s="1"/>
  <c r="E193" i="3" s="1"/>
  <c r="E194" i="3" s="1"/>
  <c r="E195" i="3" s="1"/>
  <c r="D3" i="3"/>
  <c r="C3" i="3"/>
  <c r="C4" i="3" s="1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B3" i="3"/>
  <c r="C2" i="22"/>
  <c r="D2" i="22"/>
  <c r="C3" i="22"/>
  <c r="D3" i="22"/>
  <c r="C4" i="22"/>
  <c r="D4" i="22"/>
  <c r="C5" i="22"/>
  <c r="D5" i="22"/>
  <c r="C6" i="22"/>
  <c r="D6" i="22"/>
  <c r="C7" i="22"/>
  <c r="D7" i="22"/>
  <c r="C8" i="22"/>
  <c r="D8" i="22"/>
  <c r="C9" i="22"/>
  <c r="D9" i="22"/>
  <c r="C10" i="22"/>
  <c r="D10" i="22"/>
  <c r="C11" i="22"/>
  <c r="D11" i="22"/>
  <c r="C12" i="22"/>
  <c r="D12" i="22"/>
  <c r="C13" i="22"/>
  <c r="D13" i="22"/>
  <c r="C14" i="22"/>
  <c r="D14" i="22"/>
  <c r="C15" i="22"/>
  <c r="D15" i="22"/>
  <c r="C16" i="22"/>
  <c r="D16" i="22"/>
  <c r="C17" i="22"/>
  <c r="D17" i="22"/>
  <c r="C18" i="22"/>
  <c r="D18" i="22"/>
  <c r="C19" i="22"/>
  <c r="D19" i="22"/>
  <c r="C20" i="22"/>
  <c r="D20" i="22"/>
  <c r="C21" i="22"/>
  <c r="D21" i="22"/>
  <c r="C22" i="22"/>
  <c r="D22" i="22"/>
  <c r="C23" i="22"/>
  <c r="D23" i="22"/>
  <c r="C24" i="22"/>
  <c r="D24" i="22"/>
  <c r="C25" i="22"/>
  <c r="D25" i="22"/>
  <c r="C26" i="22"/>
  <c r="D26" i="22"/>
  <c r="C27" i="22"/>
  <c r="D27" i="22"/>
  <c r="C28" i="22"/>
  <c r="D28" i="22"/>
  <c r="C29" i="22"/>
  <c r="D29" i="22"/>
  <c r="C30" i="22"/>
  <c r="D30" i="22"/>
  <c r="C31" i="22"/>
  <c r="D31" i="22"/>
  <c r="C32" i="22"/>
  <c r="D32" i="22"/>
  <c r="C33" i="22"/>
  <c r="D33" i="22"/>
  <c r="C34" i="22"/>
  <c r="D34" i="22"/>
  <c r="C35" i="22"/>
  <c r="D35" i="22"/>
  <c r="C36" i="22"/>
  <c r="D36" i="22"/>
  <c r="C37" i="22"/>
  <c r="D37" i="22"/>
  <c r="C38" i="22"/>
  <c r="D38" i="22"/>
  <c r="C39" i="22"/>
  <c r="D39" i="22"/>
  <c r="C40" i="22"/>
  <c r="D40" i="22"/>
  <c r="C41" i="22"/>
  <c r="D41" i="22"/>
  <c r="C42" i="22"/>
  <c r="D42" i="22"/>
  <c r="C43" i="22"/>
  <c r="D43" i="22"/>
  <c r="C44" i="22"/>
  <c r="D44" i="22"/>
  <c r="C45" i="22"/>
  <c r="D45" i="22"/>
  <c r="C46" i="22"/>
  <c r="D46" i="22"/>
  <c r="C47" i="22"/>
  <c r="D47" i="22"/>
  <c r="C48" i="22"/>
  <c r="D48" i="22"/>
  <c r="C49" i="22"/>
  <c r="D49" i="22"/>
  <c r="C50" i="22"/>
  <c r="D50" i="22"/>
  <c r="C51" i="22"/>
  <c r="D51" i="22"/>
  <c r="C52" i="22"/>
  <c r="D52" i="22"/>
  <c r="C53" i="22"/>
  <c r="D53" i="22"/>
  <c r="C54" i="22"/>
  <c r="D54" i="22"/>
  <c r="C55" i="22"/>
  <c r="D55" i="22"/>
  <c r="C56" i="22"/>
  <c r="D56" i="22"/>
  <c r="C57" i="22"/>
  <c r="D57" i="22"/>
  <c r="C58" i="22"/>
  <c r="D58" i="22"/>
  <c r="C59" i="22"/>
  <c r="D59" i="22"/>
  <c r="C60" i="22"/>
  <c r="D60" i="22"/>
  <c r="C61" i="22"/>
  <c r="D61" i="22"/>
  <c r="C62" i="22"/>
  <c r="D62" i="22"/>
  <c r="C63" i="22"/>
  <c r="D63" i="22"/>
  <c r="C64" i="22"/>
  <c r="D64" i="22"/>
  <c r="C65" i="22"/>
  <c r="D65" i="22"/>
  <c r="C66" i="22"/>
  <c r="D66" i="22"/>
  <c r="C67" i="22"/>
  <c r="D67" i="22"/>
  <c r="C68" i="22"/>
  <c r="D68" i="22"/>
  <c r="C69" i="22"/>
  <c r="D69" i="22"/>
  <c r="C70" i="22"/>
  <c r="D70" i="22"/>
  <c r="C71" i="22"/>
  <c r="D71" i="22"/>
  <c r="C72" i="22"/>
  <c r="D72" i="22"/>
  <c r="C73" i="22"/>
  <c r="D73" i="22"/>
  <c r="C74" i="22"/>
  <c r="D74" i="22"/>
  <c r="C75" i="22"/>
  <c r="D75" i="22"/>
  <c r="C76" i="22"/>
  <c r="D76" i="22"/>
  <c r="C77" i="22"/>
  <c r="D77" i="22"/>
  <c r="C78" i="22"/>
  <c r="D78" i="22"/>
  <c r="C79" i="22"/>
  <c r="D79" i="22"/>
  <c r="C80" i="22"/>
  <c r="D80" i="22"/>
  <c r="C81" i="22"/>
  <c r="D81" i="22"/>
  <c r="C82" i="22"/>
  <c r="D82" i="22"/>
  <c r="C83" i="22"/>
  <c r="D83" i="22"/>
  <c r="C84" i="22"/>
  <c r="D84" i="22"/>
  <c r="C85" i="22"/>
  <c r="D85" i="22"/>
  <c r="C86" i="22"/>
  <c r="D86" i="22"/>
  <c r="C87" i="22"/>
  <c r="D87" i="22"/>
  <c r="C88" i="22"/>
  <c r="D88" i="22"/>
  <c r="C89" i="22"/>
  <c r="D89" i="22"/>
  <c r="C90" i="22"/>
  <c r="D90" i="22"/>
  <c r="C91" i="22"/>
  <c r="D91" i="22"/>
  <c r="C92" i="22"/>
  <c r="D92" i="22"/>
  <c r="C93" i="22"/>
  <c r="D93" i="22"/>
  <c r="C94" i="22"/>
  <c r="D94" i="22"/>
  <c r="C95" i="22"/>
  <c r="D95" i="22"/>
  <c r="C96" i="22"/>
  <c r="D96" i="22"/>
  <c r="C97" i="22"/>
  <c r="D97" i="22"/>
  <c r="C98" i="22"/>
  <c r="D98" i="22"/>
  <c r="C99" i="22"/>
  <c r="D99" i="22"/>
  <c r="C100" i="22"/>
  <c r="D100" i="22"/>
  <c r="C101" i="22"/>
  <c r="D101" i="22"/>
  <c r="C102" i="22"/>
  <c r="D102" i="22"/>
  <c r="C103" i="22"/>
  <c r="D103" i="22"/>
  <c r="C104" i="22"/>
  <c r="D104" i="22"/>
  <c r="C105" i="22"/>
  <c r="D105" i="22"/>
  <c r="C106" i="22"/>
  <c r="D106" i="22"/>
  <c r="C107" i="22"/>
  <c r="D107" i="22"/>
  <c r="C108" i="22"/>
  <c r="D108" i="22"/>
  <c r="C109" i="22"/>
  <c r="D109" i="22"/>
  <c r="C110" i="22"/>
  <c r="D110" i="22"/>
  <c r="C111" i="22"/>
  <c r="D111" i="22"/>
  <c r="C112" i="22"/>
  <c r="D112" i="22"/>
  <c r="C113" i="22"/>
  <c r="D113" i="22"/>
  <c r="C114" i="22"/>
  <c r="D114" i="22"/>
  <c r="C115" i="22"/>
  <c r="D115" i="22"/>
  <c r="C116" i="22"/>
  <c r="D116" i="22"/>
  <c r="C117" i="22"/>
  <c r="D117" i="22"/>
  <c r="C118" i="22"/>
  <c r="D118" i="22"/>
  <c r="C119" i="22"/>
  <c r="D119" i="22"/>
  <c r="C120" i="22"/>
  <c r="D120" i="22"/>
  <c r="C121" i="22"/>
  <c r="D121" i="22"/>
  <c r="C122" i="22"/>
  <c r="D122" i="22"/>
  <c r="C123" i="22"/>
  <c r="D123" i="22"/>
  <c r="C124" i="22"/>
  <c r="D124" i="22"/>
  <c r="C125" i="22"/>
  <c r="D125" i="22"/>
  <c r="C126" i="22"/>
  <c r="D126" i="22"/>
  <c r="C127" i="22"/>
  <c r="D127" i="22"/>
  <c r="C128" i="22"/>
  <c r="D128" i="22"/>
  <c r="C129" i="22"/>
  <c r="D129" i="22"/>
  <c r="C130" i="22"/>
  <c r="D130" i="22"/>
  <c r="C131" i="22"/>
  <c r="D131" i="22"/>
  <c r="C132" i="22"/>
  <c r="D132" i="22"/>
  <c r="C133" i="22"/>
  <c r="D133" i="22"/>
  <c r="C134" i="22"/>
  <c r="D134" i="22"/>
  <c r="C135" i="22"/>
  <c r="D135" i="22"/>
  <c r="C136" i="22"/>
  <c r="D136" i="22"/>
  <c r="C137" i="22"/>
  <c r="D137" i="22"/>
  <c r="C138" i="22"/>
  <c r="D138" i="22"/>
  <c r="C139" i="22"/>
  <c r="D139" i="22"/>
  <c r="C140" i="22"/>
  <c r="D140" i="22"/>
  <c r="C141" i="22"/>
  <c r="D141" i="22"/>
  <c r="C142" i="22"/>
  <c r="D142" i="22"/>
  <c r="C143" i="22"/>
  <c r="D143" i="22"/>
  <c r="C144" i="22"/>
  <c r="D144" i="22"/>
  <c r="C145" i="22"/>
  <c r="D145" i="22"/>
  <c r="C146" i="22"/>
  <c r="D146" i="22"/>
  <c r="C147" i="22"/>
  <c r="D147" i="22"/>
  <c r="C148" i="22"/>
  <c r="D148" i="22"/>
  <c r="C149" i="22"/>
  <c r="D149" i="22"/>
  <c r="C150" i="22"/>
  <c r="D150" i="22"/>
  <c r="C151" i="22"/>
  <c r="D151" i="22"/>
  <c r="C152" i="22"/>
  <c r="D152" i="22"/>
  <c r="C153" i="22"/>
  <c r="D153" i="22"/>
  <c r="C154" i="22"/>
  <c r="D154" i="22"/>
  <c r="C155" i="22"/>
  <c r="D155" i="22"/>
  <c r="C156" i="22"/>
  <c r="D156" i="22"/>
  <c r="C157" i="22"/>
  <c r="D157" i="22"/>
  <c r="C158" i="22"/>
  <c r="D158" i="22"/>
  <c r="C159" i="22"/>
  <c r="D159" i="22"/>
  <c r="C160" i="22"/>
  <c r="D160" i="22"/>
  <c r="C161" i="22"/>
  <c r="D161" i="22"/>
  <c r="C162" i="22"/>
  <c r="D162" i="22"/>
  <c r="C163" i="22"/>
  <c r="D163" i="22"/>
  <c r="C164" i="22"/>
  <c r="D164" i="22"/>
  <c r="C165" i="22"/>
  <c r="D165" i="22"/>
  <c r="C166" i="22"/>
  <c r="D166" i="22"/>
  <c r="C167" i="22"/>
  <c r="D167" i="22"/>
  <c r="C168" i="22"/>
  <c r="D168" i="22"/>
  <c r="C169" i="22"/>
  <c r="D169" i="22"/>
  <c r="C170" i="22"/>
  <c r="D170" i="22"/>
  <c r="C171" i="22"/>
  <c r="D171" i="22"/>
  <c r="C172" i="22"/>
  <c r="D172" i="22"/>
  <c r="C173" i="22"/>
  <c r="D173" i="22"/>
  <c r="C174" i="22"/>
  <c r="D174" i="22"/>
  <c r="C175" i="22"/>
  <c r="D175" i="22"/>
  <c r="C176" i="22"/>
  <c r="D176" i="22"/>
  <c r="C177" i="22"/>
  <c r="D177" i="22"/>
  <c r="C178" i="22"/>
  <c r="D178" i="22"/>
  <c r="C179" i="22"/>
  <c r="D179" i="22"/>
  <c r="C180" i="22"/>
  <c r="D180" i="22"/>
  <c r="C181" i="22"/>
  <c r="D181" i="22"/>
  <c r="C182" i="22"/>
  <c r="D182" i="22"/>
  <c r="C183" i="22"/>
  <c r="D183" i="22"/>
  <c r="C184" i="22"/>
  <c r="D184" i="22"/>
  <c r="C185" i="22"/>
  <c r="D185" i="22"/>
  <c r="C186" i="22"/>
  <c r="D186" i="22"/>
  <c r="C187" i="22"/>
  <c r="D187" i="22"/>
  <c r="C188" i="22"/>
  <c r="D188" i="22"/>
  <c r="C189" i="22"/>
  <c r="D189" i="22"/>
  <c r="C190" i="22"/>
  <c r="D190" i="22"/>
  <c r="C191" i="22"/>
  <c r="D191" i="22"/>
  <c r="C192" i="22"/>
  <c r="D192" i="22"/>
  <c r="C193" i="22"/>
  <c r="D193" i="22"/>
  <c r="C194" i="22"/>
  <c r="D194" i="22"/>
  <c r="C195" i="22"/>
  <c r="D195" i="22"/>
  <c r="C196" i="22"/>
  <c r="D196" i="22"/>
  <c r="C197" i="22"/>
  <c r="D197" i="22"/>
  <c r="C198" i="22"/>
  <c r="D198" i="22"/>
  <c r="C199" i="22"/>
  <c r="D199" i="22"/>
  <c r="C200" i="22"/>
  <c r="D200" i="22"/>
  <c r="C201" i="22"/>
  <c r="D201" i="22"/>
  <c r="C202" i="22"/>
  <c r="D202" i="22"/>
  <c r="C203" i="22"/>
  <c r="D203" i="22"/>
  <c r="C204" i="22"/>
  <c r="D204" i="22"/>
  <c r="C205" i="22"/>
  <c r="D205" i="22"/>
  <c r="C206" i="22"/>
  <c r="D206" i="22"/>
  <c r="C207" i="22"/>
  <c r="D207" i="22"/>
  <c r="C208" i="22"/>
  <c r="D208" i="22"/>
  <c r="C209" i="22"/>
  <c r="D209" i="22"/>
  <c r="C210" i="22"/>
  <c r="D210" i="22"/>
  <c r="C211" i="22"/>
  <c r="D211" i="22"/>
  <c r="C212" i="22"/>
  <c r="D212" i="22"/>
  <c r="C213" i="22"/>
  <c r="D213" i="22"/>
  <c r="C214" i="22"/>
  <c r="D214" i="22"/>
  <c r="C215" i="22"/>
  <c r="D215" i="22"/>
  <c r="C216" i="22"/>
  <c r="D216" i="22"/>
  <c r="C217" i="22"/>
  <c r="D217" i="22"/>
  <c r="C218" i="22"/>
  <c r="D218" i="22"/>
  <c r="C219" i="22"/>
  <c r="D219" i="22"/>
  <c r="C220" i="22"/>
  <c r="D220" i="22"/>
  <c r="C221" i="22"/>
  <c r="D221" i="22"/>
  <c r="C222" i="22"/>
  <c r="D222" i="22"/>
  <c r="C223" i="22"/>
  <c r="D223" i="22"/>
  <c r="C224" i="22"/>
  <c r="D224" i="22"/>
  <c r="C225" i="22"/>
  <c r="D225" i="22"/>
  <c r="C226" i="22"/>
  <c r="D226" i="22"/>
  <c r="C227" i="22"/>
  <c r="D227" i="22"/>
  <c r="C228" i="22"/>
  <c r="D228" i="22"/>
  <c r="C229" i="22"/>
  <c r="D229" i="22"/>
  <c r="C230" i="22"/>
  <c r="D230" i="22"/>
  <c r="C231" i="22"/>
  <c r="D231" i="22"/>
  <c r="C232" i="22"/>
  <c r="D232" i="22"/>
  <c r="C233" i="22"/>
  <c r="D233" i="22"/>
  <c r="C234" i="22"/>
  <c r="D234" i="22"/>
  <c r="C235" i="22"/>
  <c r="D235" i="22"/>
  <c r="C236" i="22"/>
  <c r="D236" i="22"/>
  <c r="C237" i="22"/>
  <c r="D237" i="22"/>
  <c r="C238" i="22"/>
  <c r="D238" i="22"/>
  <c r="C239" i="22"/>
  <c r="D239" i="22"/>
  <c r="C240" i="22"/>
  <c r="D240" i="22"/>
  <c r="C241" i="22"/>
  <c r="D241" i="22"/>
  <c r="C242" i="22"/>
  <c r="D242" i="22"/>
  <c r="C243" i="22"/>
  <c r="D243" i="22"/>
  <c r="C244" i="22"/>
  <c r="D244" i="22"/>
  <c r="C245" i="22"/>
  <c r="D245" i="22"/>
  <c r="C246" i="22"/>
  <c r="D246" i="22"/>
  <c r="C247" i="22"/>
  <c r="D247" i="22"/>
  <c r="C248" i="22"/>
  <c r="D248" i="22"/>
  <c r="C249" i="22"/>
  <c r="D249" i="22"/>
  <c r="C250" i="22"/>
  <c r="D250" i="22"/>
  <c r="C251" i="22"/>
  <c r="D251" i="22"/>
  <c r="C252" i="22"/>
  <c r="D252" i="22"/>
  <c r="C253" i="22"/>
  <c r="D253" i="22"/>
  <c r="C254" i="22"/>
  <c r="D254" i="22"/>
  <c r="C255" i="22"/>
  <c r="D255" i="22"/>
  <c r="C256" i="22"/>
  <c r="D256" i="22"/>
  <c r="C257" i="22"/>
  <c r="D257" i="22"/>
  <c r="C258" i="22"/>
  <c r="D258" i="22"/>
  <c r="C259" i="22"/>
  <c r="D259" i="22"/>
  <c r="C260" i="22"/>
  <c r="D260" i="22"/>
  <c r="C261" i="22"/>
  <c r="D261" i="22"/>
  <c r="C262" i="22"/>
  <c r="D262" i="22"/>
  <c r="C263" i="22"/>
  <c r="D263" i="22"/>
  <c r="C264" i="22"/>
  <c r="D264" i="22"/>
  <c r="C265" i="22"/>
  <c r="D265" i="22"/>
  <c r="C266" i="22"/>
  <c r="D266" i="22"/>
  <c r="C267" i="22"/>
  <c r="D267" i="22"/>
  <c r="C268" i="22"/>
  <c r="D268" i="22"/>
  <c r="C269" i="22"/>
  <c r="D269" i="22"/>
  <c r="C270" i="22"/>
  <c r="D270" i="22"/>
  <c r="C271" i="22"/>
  <c r="D271" i="22"/>
  <c r="C272" i="22"/>
  <c r="D272" i="22"/>
  <c r="C273" i="22"/>
  <c r="D273" i="22"/>
  <c r="C274" i="22"/>
  <c r="D274" i="22"/>
  <c r="C275" i="22"/>
  <c r="D275" i="22"/>
  <c r="C276" i="22"/>
  <c r="D276" i="22"/>
  <c r="C277" i="22"/>
  <c r="D277" i="22"/>
  <c r="C278" i="22"/>
  <c r="D278" i="22"/>
  <c r="C279" i="22"/>
  <c r="D279" i="22"/>
  <c r="C280" i="22"/>
  <c r="D280" i="22"/>
  <c r="C281" i="22"/>
  <c r="D281" i="22"/>
  <c r="C282" i="22"/>
  <c r="D282" i="22"/>
  <c r="C283" i="22"/>
  <c r="D283" i="22"/>
  <c r="C284" i="22"/>
  <c r="D284" i="22"/>
  <c r="C285" i="22"/>
  <c r="D285" i="22"/>
  <c r="C286" i="22"/>
  <c r="D286" i="22"/>
  <c r="C287" i="22"/>
  <c r="D287" i="22"/>
  <c r="C288" i="22"/>
  <c r="D288" i="22"/>
  <c r="C289" i="22"/>
  <c r="D289" i="22"/>
  <c r="C290" i="22"/>
  <c r="D290" i="22"/>
  <c r="C291" i="22"/>
  <c r="D291" i="22"/>
  <c r="C292" i="22"/>
  <c r="D292" i="22"/>
  <c r="C293" i="22"/>
  <c r="D293" i="22"/>
  <c r="C294" i="22"/>
  <c r="D294" i="22"/>
  <c r="C295" i="22"/>
  <c r="D295" i="22"/>
  <c r="C296" i="22"/>
  <c r="D296" i="22"/>
  <c r="C297" i="22"/>
  <c r="D297" i="22"/>
  <c r="C298" i="22"/>
  <c r="D298" i="22"/>
  <c r="C299" i="22"/>
  <c r="D299" i="22"/>
  <c r="C300" i="22"/>
  <c r="D300" i="22"/>
  <c r="C301" i="22"/>
  <c r="D301" i="22"/>
  <c r="C302" i="22"/>
  <c r="D302" i="22"/>
  <c r="C303" i="22"/>
  <c r="D303" i="22"/>
  <c r="C304" i="22"/>
  <c r="D304" i="22"/>
  <c r="C305" i="22"/>
  <c r="D305" i="22"/>
  <c r="C306" i="22"/>
  <c r="D306" i="22"/>
  <c r="C307" i="22"/>
  <c r="D307" i="22"/>
  <c r="C308" i="22"/>
  <c r="D308" i="22"/>
  <c r="C309" i="22"/>
  <c r="D309" i="22"/>
  <c r="C310" i="22"/>
  <c r="D310" i="22"/>
  <c r="C311" i="22"/>
  <c r="D311" i="22"/>
  <c r="C312" i="22"/>
  <c r="D312" i="22"/>
  <c r="C313" i="22"/>
  <c r="D313" i="22"/>
  <c r="C314" i="22"/>
  <c r="D314" i="22"/>
  <c r="C315" i="22"/>
  <c r="D315" i="22"/>
  <c r="C316" i="22"/>
  <c r="D316" i="22"/>
  <c r="C317" i="22"/>
  <c r="D317" i="22"/>
  <c r="C318" i="22"/>
  <c r="D318" i="22"/>
  <c r="C319" i="22"/>
  <c r="D319" i="22"/>
  <c r="C320" i="22"/>
  <c r="D320" i="22"/>
  <c r="C321" i="22"/>
  <c r="D321" i="22"/>
  <c r="C322" i="22"/>
  <c r="D322" i="22"/>
  <c r="C323" i="22"/>
  <c r="D323" i="22"/>
  <c r="C324" i="22"/>
  <c r="D324" i="22"/>
  <c r="C325" i="22"/>
  <c r="D325" i="22"/>
  <c r="C326" i="22"/>
  <c r="D326" i="22"/>
  <c r="C327" i="22"/>
  <c r="D327" i="22"/>
  <c r="C328" i="22"/>
  <c r="D328" i="22"/>
  <c r="C329" i="22"/>
  <c r="D329" i="22"/>
  <c r="C330" i="22"/>
  <c r="D330" i="22"/>
  <c r="C331" i="22"/>
  <c r="D331" i="22"/>
  <c r="C332" i="22"/>
  <c r="D332" i="22"/>
  <c r="C333" i="22"/>
  <c r="D333" i="22"/>
  <c r="C334" i="22"/>
  <c r="D334" i="22"/>
  <c r="C335" i="22"/>
  <c r="D335" i="22"/>
  <c r="C336" i="22"/>
  <c r="D336" i="22"/>
  <c r="C337" i="22"/>
  <c r="D337" i="22"/>
  <c r="C338" i="22"/>
  <c r="D338" i="22"/>
  <c r="C339" i="22"/>
  <c r="D339" i="22"/>
  <c r="C340" i="22"/>
  <c r="D340" i="22"/>
  <c r="C341" i="22"/>
  <c r="D341" i="22"/>
  <c r="C342" i="22"/>
  <c r="D342" i="22"/>
  <c r="C343" i="22"/>
  <c r="D343" i="22"/>
  <c r="C344" i="22"/>
  <c r="D344" i="22"/>
  <c r="C345" i="22"/>
  <c r="D345" i="22"/>
  <c r="C346" i="22"/>
  <c r="D346" i="22"/>
  <c r="C347" i="22"/>
  <c r="D347" i="22"/>
  <c r="C348" i="22"/>
  <c r="D348" i="22"/>
  <c r="C349" i="22"/>
  <c r="D349" i="22"/>
  <c r="C350" i="22"/>
  <c r="D350" i="22"/>
  <c r="C351" i="22"/>
  <c r="D351" i="22"/>
  <c r="C352" i="22"/>
  <c r="D352" i="22"/>
  <c r="C353" i="22"/>
  <c r="D353" i="22"/>
  <c r="C354" i="22"/>
  <c r="D354" i="22"/>
  <c r="C355" i="22"/>
  <c r="D355" i="22"/>
  <c r="C356" i="22"/>
  <c r="D356" i="22"/>
  <c r="C357" i="22"/>
  <c r="D357" i="22"/>
  <c r="C358" i="22"/>
  <c r="D358" i="22"/>
  <c r="C359" i="22"/>
  <c r="D359" i="22"/>
  <c r="C360" i="22"/>
  <c r="D360" i="22"/>
  <c r="C361" i="22"/>
  <c r="D361" i="22"/>
  <c r="C362" i="22"/>
  <c r="D362" i="22"/>
  <c r="C363" i="22"/>
  <c r="D363" i="22"/>
  <c r="C364" i="22"/>
  <c r="D364" i="22"/>
  <c r="C365" i="22"/>
  <c r="D365" i="22"/>
  <c r="C366" i="22"/>
  <c r="D366" i="22"/>
  <c r="C367" i="22"/>
  <c r="D367" i="22"/>
  <c r="C368" i="22"/>
  <c r="D368" i="22"/>
  <c r="C369" i="22"/>
  <c r="D369" i="22"/>
  <c r="C370" i="22"/>
  <c r="D370" i="22"/>
  <c r="C371" i="22"/>
  <c r="D371" i="22"/>
  <c r="C372" i="22"/>
  <c r="D372" i="22"/>
  <c r="C373" i="22"/>
  <c r="D373" i="22"/>
  <c r="C374" i="22"/>
  <c r="D374" i="22"/>
  <c r="C375" i="22"/>
  <c r="D375" i="22"/>
  <c r="C376" i="22"/>
  <c r="D376" i="22"/>
  <c r="C377" i="22"/>
  <c r="D377" i="22"/>
  <c r="C378" i="22"/>
  <c r="D378" i="22"/>
  <c r="C379" i="22"/>
  <c r="D379" i="22"/>
  <c r="C380" i="22"/>
  <c r="D380" i="22"/>
  <c r="C381" i="22"/>
  <c r="D381" i="22"/>
  <c r="C382" i="22"/>
  <c r="D382" i="22"/>
  <c r="C383" i="22"/>
  <c r="D383" i="22"/>
  <c r="C384" i="22"/>
  <c r="D384" i="22"/>
  <c r="C385" i="22"/>
  <c r="D385" i="22"/>
  <c r="C386" i="22"/>
  <c r="D386" i="22"/>
  <c r="C387" i="22"/>
  <c r="D387" i="22"/>
  <c r="C388" i="22"/>
  <c r="D388" i="22"/>
  <c r="C389" i="22"/>
  <c r="D389" i="22"/>
  <c r="C390" i="22"/>
  <c r="D390" i="22"/>
  <c r="C391" i="22"/>
  <c r="D391" i="22"/>
  <c r="C392" i="22"/>
  <c r="D392" i="22"/>
  <c r="C393" i="22"/>
  <c r="D393" i="22"/>
  <c r="C394" i="22"/>
  <c r="D394" i="22"/>
  <c r="C395" i="22"/>
  <c r="D395" i="22"/>
  <c r="C396" i="22"/>
  <c r="D396" i="22"/>
  <c r="C397" i="22"/>
  <c r="D397" i="22"/>
  <c r="C398" i="22"/>
  <c r="D398" i="22"/>
  <c r="C399" i="22"/>
  <c r="D399" i="22"/>
  <c r="C400" i="22"/>
  <c r="D400" i="22"/>
  <c r="C401" i="22"/>
  <c r="D401" i="22"/>
  <c r="C402" i="22"/>
  <c r="D402" i="22"/>
  <c r="C403" i="22"/>
  <c r="D403" i="22"/>
  <c r="C404" i="22"/>
  <c r="D404" i="22"/>
  <c r="C405" i="22"/>
  <c r="D405" i="22"/>
  <c r="C406" i="22"/>
  <c r="D406" i="22"/>
  <c r="C407" i="22"/>
  <c r="D407" i="22"/>
  <c r="C408" i="22"/>
  <c r="D408" i="22"/>
  <c r="C409" i="22"/>
  <c r="D409" i="22"/>
  <c r="C410" i="22"/>
  <c r="D410" i="22"/>
  <c r="C411" i="22"/>
  <c r="D411" i="22"/>
  <c r="C412" i="22"/>
  <c r="D412" i="22"/>
  <c r="C413" i="22"/>
  <c r="D413" i="22"/>
  <c r="C414" i="22"/>
  <c r="D414" i="22"/>
  <c r="C415" i="22"/>
  <c r="D415" i="22"/>
  <c r="C416" i="22"/>
  <c r="D416" i="22"/>
  <c r="C417" i="22"/>
  <c r="D417" i="22"/>
  <c r="C418" i="22"/>
  <c r="D418" i="22"/>
  <c r="C419" i="22"/>
  <c r="D419" i="22"/>
  <c r="C420" i="22"/>
  <c r="D420" i="22"/>
  <c r="C421" i="22"/>
  <c r="D421" i="22"/>
  <c r="C422" i="22"/>
  <c r="D422" i="22"/>
  <c r="C423" i="22"/>
  <c r="D423" i="22"/>
  <c r="C424" i="22"/>
  <c r="D424" i="22"/>
  <c r="C425" i="22"/>
  <c r="D425" i="22"/>
  <c r="C426" i="22"/>
  <c r="D426" i="22"/>
  <c r="C427" i="22"/>
  <c r="D427" i="22"/>
  <c r="C428" i="22"/>
  <c r="D428" i="22"/>
  <c r="C429" i="22"/>
  <c r="D429" i="22"/>
  <c r="C430" i="22"/>
  <c r="D430" i="22"/>
  <c r="C431" i="22"/>
  <c r="D431" i="22"/>
  <c r="C432" i="22"/>
  <c r="D432" i="22"/>
  <c r="C433" i="22"/>
  <c r="D433" i="22"/>
  <c r="C434" i="22"/>
  <c r="D434" i="22"/>
  <c r="C435" i="22"/>
  <c r="D435" i="22"/>
  <c r="C436" i="22"/>
  <c r="D436" i="22"/>
  <c r="C437" i="22"/>
  <c r="D437" i="22"/>
  <c r="C438" i="22"/>
  <c r="D438" i="22"/>
  <c r="C439" i="22"/>
  <c r="D439" i="22"/>
  <c r="C440" i="22"/>
  <c r="D440" i="22"/>
  <c r="C441" i="22"/>
  <c r="D441" i="22"/>
  <c r="C442" i="22"/>
  <c r="D442" i="22"/>
  <c r="C443" i="22"/>
  <c r="D443" i="22"/>
  <c r="C444" i="22"/>
  <c r="D444" i="22"/>
  <c r="C445" i="22"/>
  <c r="D445" i="22"/>
  <c r="C446" i="22"/>
  <c r="D446" i="22"/>
  <c r="C447" i="22"/>
  <c r="D447" i="22"/>
  <c r="C448" i="22"/>
  <c r="D448" i="22"/>
  <c r="C449" i="22"/>
  <c r="D449" i="22"/>
  <c r="C450" i="22"/>
  <c r="D450" i="22"/>
  <c r="C451" i="22"/>
  <c r="D451" i="22"/>
  <c r="C452" i="22"/>
  <c r="D452" i="22"/>
  <c r="C453" i="22"/>
  <c r="D453" i="22"/>
  <c r="C454" i="22"/>
  <c r="D454" i="22"/>
  <c r="C455" i="22"/>
  <c r="D455" i="22"/>
  <c r="C456" i="22"/>
  <c r="D456" i="22"/>
  <c r="C457" i="22"/>
  <c r="D457" i="22"/>
  <c r="C458" i="22"/>
  <c r="D458" i="22"/>
  <c r="C459" i="22"/>
  <c r="D459" i="22"/>
  <c r="C460" i="22"/>
  <c r="D460" i="22"/>
  <c r="C461" i="22"/>
  <c r="D461" i="22"/>
  <c r="C462" i="22"/>
  <c r="D462" i="22"/>
  <c r="C463" i="22"/>
  <c r="D463" i="22"/>
  <c r="C464" i="22"/>
  <c r="D464" i="22"/>
  <c r="C465" i="22"/>
  <c r="D465" i="22"/>
  <c r="C466" i="22"/>
  <c r="D466" i="22"/>
  <c r="C467" i="22"/>
  <c r="D467" i="22"/>
  <c r="C468" i="22"/>
  <c r="D468" i="22"/>
  <c r="C469" i="22"/>
  <c r="D469" i="22"/>
  <c r="C470" i="22"/>
  <c r="D470" i="22"/>
  <c r="C471" i="22"/>
  <c r="D471" i="22"/>
  <c r="C472" i="22"/>
  <c r="D472" i="22"/>
  <c r="C473" i="22"/>
  <c r="D473" i="22"/>
  <c r="C474" i="22"/>
  <c r="D474" i="22"/>
  <c r="C475" i="22"/>
  <c r="D475" i="22"/>
  <c r="C476" i="22"/>
  <c r="D476" i="22"/>
  <c r="C477" i="22"/>
  <c r="D477" i="22"/>
  <c r="C478" i="22"/>
  <c r="D478" i="22"/>
  <c r="C479" i="22"/>
  <c r="D479" i="22"/>
  <c r="C480" i="22"/>
  <c r="D480" i="22"/>
  <c r="C481" i="22"/>
  <c r="D481" i="22"/>
  <c r="C482" i="22"/>
  <c r="D482" i="22"/>
  <c r="C483" i="22"/>
  <c r="D483" i="22"/>
  <c r="C484" i="22"/>
  <c r="D484" i="22"/>
  <c r="C485" i="22"/>
  <c r="D485" i="22"/>
  <c r="C486" i="22"/>
  <c r="D486" i="22"/>
  <c r="C487" i="22"/>
  <c r="D487" i="22"/>
  <c r="C488" i="22"/>
  <c r="D488" i="22"/>
  <c r="C489" i="22"/>
  <c r="D489" i="22"/>
  <c r="C490" i="22"/>
  <c r="D490" i="22"/>
  <c r="C491" i="22"/>
  <c r="D491" i="22"/>
  <c r="C492" i="22"/>
  <c r="D492" i="22"/>
  <c r="C493" i="22"/>
  <c r="D493" i="22"/>
  <c r="C494" i="22"/>
  <c r="D494" i="22"/>
  <c r="C495" i="22"/>
  <c r="D495" i="22"/>
  <c r="C496" i="22"/>
  <c r="D496" i="22"/>
  <c r="C497" i="22"/>
  <c r="D497" i="22"/>
  <c r="C498" i="22"/>
  <c r="D498" i="22"/>
  <c r="C499" i="22"/>
  <c r="D499" i="22"/>
  <c r="C500" i="22"/>
  <c r="D500" i="22"/>
  <c r="C501" i="22"/>
  <c r="D501" i="22"/>
  <c r="C502" i="22"/>
  <c r="D502" i="22"/>
  <c r="C503" i="22"/>
  <c r="D503" i="22"/>
  <c r="C504" i="22"/>
  <c r="D504" i="22"/>
  <c r="C505" i="22"/>
  <c r="D505" i="22"/>
  <c r="C506" i="22"/>
  <c r="D506" i="22"/>
  <c r="C507" i="22"/>
  <c r="D507" i="22"/>
  <c r="C508" i="22"/>
  <c r="D508" i="22"/>
  <c r="C509" i="22"/>
  <c r="D509" i="22"/>
  <c r="C510" i="22"/>
  <c r="D510" i="22"/>
  <c r="C511" i="22"/>
  <c r="D511" i="22"/>
  <c r="C512" i="22"/>
  <c r="D512" i="22"/>
  <c r="C513" i="22"/>
  <c r="D513" i="22"/>
  <c r="C514" i="22"/>
  <c r="D514" i="22"/>
  <c r="C515" i="22"/>
  <c r="D515" i="22"/>
  <c r="C516" i="22"/>
  <c r="D516" i="22"/>
  <c r="C517" i="22"/>
  <c r="D517" i="22"/>
  <c r="C518" i="22"/>
  <c r="D518" i="22"/>
  <c r="C519" i="22"/>
  <c r="D519" i="22"/>
  <c r="C520" i="22"/>
  <c r="D520" i="22"/>
  <c r="C521" i="22"/>
  <c r="D521" i="22"/>
  <c r="C522" i="22"/>
  <c r="D522" i="22"/>
  <c r="C523" i="22"/>
  <c r="D523" i="22"/>
  <c r="C524" i="22"/>
  <c r="D524" i="22"/>
  <c r="C525" i="22"/>
  <c r="D525" i="22"/>
  <c r="C526" i="22"/>
  <c r="D526" i="22"/>
  <c r="C527" i="22"/>
  <c r="D527" i="22"/>
  <c r="C528" i="22"/>
  <c r="D528" i="22"/>
  <c r="C529" i="22"/>
  <c r="D529" i="22"/>
  <c r="C530" i="22"/>
  <c r="D530" i="22"/>
  <c r="C531" i="22"/>
  <c r="D531" i="22"/>
  <c r="C532" i="22"/>
  <c r="D532" i="22"/>
  <c r="C533" i="22"/>
  <c r="D533" i="22"/>
  <c r="C534" i="22"/>
  <c r="D534" i="22"/>
  <c r="C535" i="22"/>
  <c r="D535" i="22"/>
  <c r="C536" i="22"/>
  <c r="D536" i="22"/>
  <c r="C537" i="22"/>
  <c r="D537" i="22"/>
  <c r="C538" i="22"/>
  <c r="D538" i="22"/>
  <c r="C539" i="22"/>
  <c r="D539" i="22"/>
  <c r="C540" i="22"/>
  <c r="D540" i="22"/>
  <c r="C541" i="22"/>
  <c r="D541" i="22"/>
  <c r="C542" i="22"/>
  <c r="D542" i="22"/>
  <c r="C543" i="22"/>
  <c r="D543" i="22"/>
  <c r="C544" i="22"/>
  <c r="D544" i="22"/>
  <c r="C545" i="22"/>
  <c r="D545" i="22"/>
  <c r="C546" i="22"/>
  <c r="D546" i="22"/>
  <c r="C547" i="22"/>
  <c r="D547" i="22"/>
  <c r="C548" i="22"/>
  <c r="D548" i="22"/>
  <c r="C549" i="22"/>
  <c r="D549" i="22"/>
  <c r="C550" i="22"/>
  <c r="D550" i="22"/>
  <c r="C551" i="22"/>
  <c r="D551" i="22"/>
  <c r="C552" i="22"/>
  <c r="D552" i="22"/>
  <c r="C553" i="22"/>
  <c r="D553" i="22"/>
  <c r="C554" i="22"/>
  <c r="D554" i="22"/>
  <c r="C555" i="22"/>
  <c r="D555" i="22"/>
  <c r="C556" i="22"/>
  <c r="D556" i="22"/>
  <c r="C557" i="22"/>
  <c r="D557" i="22"/>
  <c r="C558" i="22"/>
  <c r="D558" i="22"/>
  <c r="C559" i="22"/>
  <c r="D559" i="22"/>
  <c r="C560" i="22"/>
  <c r="D560" i="22"/>
  <c r="C561" i="22"/>
  <c r="D561" i="22"/>
  <c r="C562" i="22"/>
  <c r="D562" i="22"/>
  <c r="C563" i="22"/>
  <c r="D563" i="22"/>
  <c r="C564" i="22"/>
  <c r="D564" i="22"/>
  <c r="C565" i="22"/>
  <c r="D565" i="22"/>
  <c r="C566" i="22"/>
  <c r="D566" i="22"/>
  <c r="C567" i="22"/>
  <c r="D567" i="22"/>
  <c r="C568" i="22"/>
  <c r="D568" i="22"/>
  <c r="C569" i="22"/>
  <c r="D569" i="22"/>
  <c r="C570" i="22"/>
  <c r="D570" i="22"/>
  <c r="C571" i="22"/>
  <c r="D571" i="22"/>
  <c r="C572" i="22"/>
  <c r="D572" i="22"/>
  <c r="C573" i="22"/>
  <c r="D573" i="22"/>
  <c r="C574" i="22"/>
  <c r="D574" i="22"/>
  <c r="C575" i="22"/>
  <c r="D575" i="22"/>
  <c r="C576" i="22"/>
  <c r="D576" i="22"/>
  <c r="C577" i="22"/>
  <c r="D577" i="22"/>
  <c r="C578" i="22"/>
  <c r="D578" i="22"/>
  <c r="C579" i="22"/>
  <c r="D579" i="22"/>
  <c r="C580" i="22"/>
  <c r="D580" i="22"/>
  <c r="C581" i="22"/>
  <c r="D581" i="22"/>
  <c r="C582" i="22"/>
  <c r="D582" i="22"/>
  <c r="C583" i="22"/>
  <c r="D583" i="22"/>
  <c r="C584" i="22"/>
  <c r="D584" i="22"/>
  <c r="C585" i="22"/>
  <c r="D585" i="22"/>
  <c r="C586" i="22"/>
  <c r="D586" i="22"/>
  <c r="C587" i="22"/>
  <c r="D587" i="22"/>
  <c r="C588" i="22"/>
  <c r="D588" i="22"/>
  <c r="C589" i="22"/>
  <c r="D589" i="22"/>
  <c r="C590" i="22"/>
  <c r="D590" i="22"/>
  <c r="C591" i="22"/>
  <c r="D591" i="22"/>
  <c r="C592" i="22"/>
  <c r="D592" i="22"/>
  <c r="C593" i="22"/>
  <c r="D593" i="22"/>
  <c r="C594" i="22"/>
  <c r="D594" i="22"/>
  <c r="C595" i="22"/>
  <c r="D595" i="22"/>
  <c r="C596" i="22"/>
  <c r="D596" i="22"/>
  <c r="C597" i="22"/>
  <c r="D597" i="22"/>
  <c r="C598" i="22"/>
  <c r="D598" i="22"/>
  <c r="C599" i="22"/>
  <c r="D599" i="22"/>
  <c r="C600" i="22"/>
  <c r="D600" i="22"/>
  <c r="C601" i="22"/>
  <c r="D601" i="22"/>
  <c r="C602" i="22"/>
  <c r="D602" i="22"/>
  <c r="C603" i="22"/>
  <c r="D603" i="22"/>
  <c r="C604" i="22"/>
  <c r="D604" i="22"/>
  <c r="C605" i="22"/>
  <c r="D605" i="22"/>
  <c r="C606" i="22"/>
  <c r="D606" i="22"/>
  <c r="C607" i="22"/>
  <c r="D607" i="22"/>
  <c r="C608" i="22"/>
  <c r="D608" i="22"/>
  <c r="C609" i="22"/>
  <c r="D609" i="22"/>
  <c r="C610" i="22"/>
  <c r="D610" i="22"/>
  <c r="C611" i="22"/>
  <c r="D611" i="22"/>
  <c r="C612" i="22"/>
  <c r="D612" i="22"/>
  <c r="C613" i="22"/>
  <c r="D613" i="22"/>
  <c r="C614" i="22"/>
  <c r="D614" i="22"/>
  <c r="C615" i="22"/>
  <c r="D615" i="22"/>
  <c r="C616" i="22"/>
  <c r="D616" i="22"/>
  <c r="C617" i="22"/>
  <c r="D617" i="22"/>
  <c r="C618" i="22"/>
  <c r="D618" i="22"/>
  <c r="C619" i="22"/>
  <c r="D619" i="22"/>
  <c r="C620" i="22"/>
  <c r="D620" i="22"/>
  <c r="C621" i="22"/>
  <c r="D621" i="22"/>
  <c r="C622" i="22"/>
  <c r="D622" i="22"/>
  <c r="C623" i="22"/>
  <c r="D623" i="22"/>
  <c r="C624" i="22"/>
  <c r="D624" i="22"/>
  <c r="C625" i="22"/>
  <c r="D625" i="22"/>
  <c r="C626" i="22"/>
  <c r="D626" i="22"/>
  <c r="C627" i="22"/>
  <c r="D627" i="22"/>
  <c r="C628" i="22"/>
  <c r="D628" i="22"/>
  <c r="C629" i="22"/>
  <c r="D629" i="22"/>
  <c r="C630" i="22"/>
  <c r="D630" i="22"/>
  <c r="C631" i="22"/>
  <c r="D631" i="22"/>
  <c r="C632" i="22"/>
  <c r="D632" i="22"/>
  <c r="C633" i="22"/>
  <c r="D633" i="22"/>
  <c r="C634" i="22"/>
  <c r="D634" i="22"/>
  <c r="C635" i="22"/>
  <c r="D635" i="22"/>
  <c r="C636" i="22"/>
  <c r="D636" i="22"/>
  <c r="C637" i="22"/>
  <c r="D637" i="22"/>
  <c r="C638" i="22"/>
  <c r="D638" i="22"/>
  <c r="C639" i="22"/>
  <c r="D639" i="22"/>
  <c r="C640" i="22"/>
  <c r="D640" i="22"/>
  <c r="C641" i="22"/>
  <c r="D641" i="22"/>
  <c r="C642" i="22"/>
  <c r="D642" i="22"/>
  <c r="C643" i="22"/>
  <c r="D643" i="22"/>
  <c r="C644" i="22"/>
  <c r="D644" i="22"/>
  <c r="C645" i="22"/>
  <c r="D645" i="22"/>
  <c r="C646" i="22"/>
  <c r="D646" i="22"/>
  <c r="C647" i="22"/>
  <c r="D647" i="22"/>
  <c r="C648" i="22"/>
  <c r="D648" i="22"/>
  <c r="C649" i="22"/>
  <c r="D649" i="22"/>
  <c r="C650" i="22"/>
  <c r="D650" i="22"/>
  <c r="C651" i="22"/>
  <c r="D651" i="22"/>
  <c r="C652" i="22"/>
  <c r="D652" i="22"/>
  <c r="C653" i="22"/>
  <c r="D653" i="22"/>
  <c r="C654" i="22"/>
  <c r="D654" i="22"/>
  <c r="C655" i="22"/>
  <c r="D655" i="22"/>
  <c r="C656" i="22"/>
  <c r="D656" i="22"/>
  <c r="C657" i="22"/>
  <c r="D657" i="22"/>
  <c r="C658" i="22"/>
  <c r="D658" i="22"/>
  <c r="C659" i="22"/>
  <c r="D659" i="22"/>
  <c r="C660" i="22"/>
  <c r="D660" i="22"/>
  <c r="C661" i="22"/>
  <c r="D661" i="22"/>
  <c r="C662" i="22"/>
  <c r="D662" i="22"/>
  <c r="C663" i="22"/>
  <c r="D663" i="22"/>
  <c r="C664" i="22"/>
  <c r="D664" i="22"/>
  <c r="C665" i="22"/>
  <c r="D665" i="22"/>
  <c r="C666" i="22"/>
  <c r="D666" i="22"/>
  <c r="C667" i="22"/>
  <c r="D667" i="22"/>
  <c r="C668" i="22"/>
  <c r="D668" i="22"/>
  <c r="C669" i="22"/>
  <c r="D669" i="22"/>
  <c r="C670" i="22"/>
  <c r="D670" i="22"/>
  <c r="C671" i="22"/>
  <c r="D671" i="22"/>
  <c r="C672" i="22"/>
  <c r="D672" i="22"/>
  <c r="C673" i="22"/>
  <c r="D673" i="22"/>
  <c r="C674" i="22"/>
  <c r="D674" i="22"/>
  <c r="C675" i="22"/>
  <c r="D675" i="22"/>
  <c r="C676" i="22"/>
  <c r="D676" i="22"/>
  <c r="C677" i="22"/>
  <c r="D677" i="22"/>
  <c r="C678" i="22"/>
  <c r="D678" i="22"/>
  <c r="C679" i="22"/>
  <c r="D679" i="22"/>
  <c r="C680" i="22"/>
  <c r="D680" i="22"/>
  <c r="C681" i="22"/>
  <c r="D681" i="22"/>
  <c r="C682" i="22"/>
  <c r="D682" i="22"/>
  <c r="C683" i="22"/>
  <c r="D683" i="22"/>
  <c r="C684" i="22"/>
  <c r="D684" i="22"/>
  <c r="C685" i="22"/>
  <c r="D685" i="22"/>
  <c r="C686" i="22"/>
  <c r="D686" i="22"/>
  <c r="C687" i="22"/>
  <c r="D687" i="22"/>
  <c r="C688" i="22"/>
  <c r="D688" i="22"/>
  <c r="C689" i="22"/>
  <c r="D689" i="22"/>
  <c r="C690" i="22"/>
  <c r="D690" i="22"/>
  <c r="C691" i="22"/>
  <c r="D691" i="22"/>
  <c r="C692" i="22"/>
  <c r="D692" i="22"/>
  <c r="C693" i="22"/>
  <c r="D693" i="22"/>
  <c r="C694" i="22"/>
  <c r="D694" i="22"/>
  <c r="C695" i="22"/>
  <c r="D695" i="22"/>
  <c r="C696" i="22"/>
  <c r="D696" i="22"/>
  <c r="C697" i="22"/>
  <c r="D697" i="22"/>
  <c r="C698" i="22"/>
  <c r="D698" i="22"/>
  <c r="C699" i="22"/>
  <c r="D699" i="22"/>
  <c r="C700" i="22"/>
  <c r="D700" i="22"/>
  <c r="C701" i="22"/>
  <c r="D701" i="22"/>
  <c r="C702" i="22"/>
  <c r="D702" i="22"/>
  <c r="C703" i="22"/>
  <c r="D703" i="22"/>
  <c r="C704" i="22"/>
  <c r="D704" i="22"/>
  <c r="C705" i="22"/>
  <c r="D705" i="22"/>
  <c r="C706" i="22"/>
  <c r="D706" i="22"/>
  <c r="C707" i="22"/>
  <c r="D707" i="22"/>
  <c r="C708" i="22"/>
  <c r="D708" i="22"/>
  <c r="C709" i="22"/>
  <c r="D709" i="22"/>
  <c r="C710" i="22"/>
  <c r="D710" i="22"/>
  <c r="C711" i="22"/>
  <c r="D711" i="22"/>
  <c r="C712" i="22"/>
  <c r="D712" i="22"/>
  <c r="C713" i="22"/>
  <c r="D713" i="22"/>
  <c r="C714" i="22"/>
  <c r="D714" i="22"/>
  <c r="C715" i="22"/>
  <c r="D715" i="22"/>
  <c r="C716" i="22"/>
  <c r="D716" i="22"/>
  <c r="C717" i="22"/>
  <c r="D717" i="22"/>
  <c r="C718" i="22"/>
  <c r="D718" i="22"/>
  <c r="C719" i="22"/>
  <c r="D719" i="22"/>
  <c r="C720" i="22"/>
  <c r="D720" i="22"/>
  <c r="C721" i="22"/>
  <c r="D721" i="22"/>
  <c r="C722" i="22"/>
  <c r="D722" i="22"/>
  <c r="C723" i="22"/>
  <c r="D723" i="22"/>
  <c r="C724" i="22"/>
  <c r="D724" i="22"/>
  <c r="C725" i="22"/>
  <c r="D725" i="22"/>
  <c r="C726" i="22"/>
  <c r="D726" i="22"/>
  <c r="C727" i="22"/>
  <c r="D727" i="22"/>
  <c r="C728" i="22"/>
  <c r="D728" i="22"/>
  <c r="C729" i="22"/>
  <c r="D729" i="22"/>
  <c r="C730" i="22"/>
  <c r="D730" i="22"/>
  <c r="C731" i="22"/>
  <c r="D731" i="22"/>
  <c r="C732" i="22"/>
  <c r="D732" i="22"/>
  <c r="C733" i="22"/>
  <c r="D733" i="22"/>
  <c r="C734" i="22"/>
  <c r="D734" i="22"/>
  <c r="C735" i="22"/>
  <c r="D735" i="22"/>
  <c r="C736" i="22"/>
  <c r="D736" i="22"/>
  <c r="C737" i="22"/>
  <c r="D737" i="22"/>
  <c r="C738" i="22"/>
  <c r="D738" i="22"/>
  <c r="C739" i="22"/>
  <c r="D739" i="22"/>
  <c r="C740" i="22"/>
  <c r="D740" i="22"/>
  <c r="C741" i="22"/>
  <c r="D741" i="22"/>
  <c r="C742" i="22"/>
  <c r="D742" i="22"/>
  <c r="C743" i="22"/>
  <c r="D743" i="22"/>
  <c r="C744" i="22"/>
  <c r="D744" i="22"/>
  <c r="C745" i="22"/>
  <c r="D745" i="22"/>
  <c r="C746" i="22"/>
  <c r="D746" i="22"/>
  <c r="C747" i="22"/>
  <c r="D747" i="22"/>
  <c r="C748" i="22"/>
  <c r="D748" i="22"/>
  <c r="C749" i="22"/>
  <c r="D749" i="22"/>
  <c r="C750" i="22"/>
  <c r="D750" i="22"/>
  <c r="C751" i="22"/>
  <c r="D751" i="22"/>
  <c r="C752" i="22"/>
  <c r="D752" i="22"/>
  <c r="C753" i="22"/>
  <c r="D753" i="22"/>
  <c r="C754" i="22"/>
  <c r="D754" i="22"/>
  <c r="C755" i="22"/>
  <c r="D755" i="22"/>
  <c r="C756" i="22"/>
  <c r="D756" i="22"/>
  <c r="C757" i="22"/>
  <c r="D757" i="22"/>
  <c r="C758" i="22"/>
  <c r="D758" i="22"/>
  <c r="C759" i="22"/>
  <c r="D759" i="22"/>
  <c r="C760" i="22"/>
  <c r="D760" i="22"/>
  <c r="C761" i="22"/>
  <c r="D761" i="22"/>
  <c r="C762" i="22"/>
  <c r="D762" i="22"/>
  <c r="C763" i="22"/>
  <c r="D763" i="22"/>
  <c r="C764" i="22"/>
  <c r="D764" i="22"/>
  <c r="C765" i="22"/>
  <c r="D765" i="22"/>
  <c r="C766" i="22"/>
  <c r="D766" i="22"/>
  <c r="C767" i="22"/>
  <c r="D767" i="22"/>
  <c r="C768" i="22"/>
  <c r="D768" i="22"/>
  <c r="C769" i="22"/>
  <c r="D769" i="22"/>
  <c r="C770" i="22"/>
  <c r="D770" i="22"/>
  <c r="C771" i="22"/>
  <c r="D771" i="22"/>
  <c r="C772" i="22"/>
  <c r="D772" i="22"/>
  <c r="C773" i="22"/>
  <c r="D773" i="22"/>
  <c r="C774" i="22"/>
  <c r="D774" i="22"/>
  <c r="C775" i="22"/>
  <c r="D775" i="22"/>
  <c r="C776" i="22"/>
  <c r="D776" i="22"/>
  <c r="C777" i="22"/>
  <c r="D777" i="22"/>
  <c r="C778" i="22"/>
  <c r="D778" i="22"/>
  <c r="C779" i="22"/>
  <c r="D779" i="22"/>
  <c r="C780" i="22"/>
  <c r="D780" i="22"/>
  <c r="C781" i="22"/>
  <c r="D781" i="22"/>
  <c r="C782" i="22"/>
  <c r="D782" i="22"/>
  <c r="C783" i="22"/>
  <c r="D783" i="22"/>
  <c r="C784" i="22"/>
  <c r="D784" i="22"/>
  <c r="C785" i="22"/>
  <c r="D785" i="22"/>
  <c r="C786" i="22"/>
  <c r="D786" i="22"/>
  <c r="C787" i="22"/>
  <c r="D787" i="22"/>
  <c r="C788" i="22"/>
  <c r="D788" i="22"/>
  <c r="C789" i="22"/>
  <c r="D789" i="22"/>
  <c r="C790" i="22"/>
  <c r="D790" i="22"/>
  <c r="C791" i="22"/>
  <c r="D791" i="22"/>
  <c r="C792" i="22"/>
  <c r="D792" i="22"/>
  <c r="C793" i="22"/>
  <c r="D793" i="22"/>
  <c r="C794" i="22"/>
  <c r="D794" i="22"/>
  <c r="C795" i="22"/>
  <c r="D795" i="22"/>
  <c r="C796" i="22"/>
  <c r="D796" i="22"/>
  <c r="C797" i="22"/>
  <c r="D797" i="22"/>
  <c r="C798" i="22"/>
  <c r="D798" i="22"/>
  <c r="C799" i="22"/>
  <c r="D799" i="22"/>
  <c r="C800" i="22"/>
  <c r="D800" i="22"/>
  <c r="C801" i="22"/>
  <c r="D801" i="22"/>
  <c r="C802" i="22"/>
  <c r="D802" i="22"/>
  <c r="C803" i="22"/>
  <c r="D803" i="22"/>
  <c r="C804" i="22"/>
  <c r="D804" i="22"/>
  <c r="C805" i="22"/>
  <c r="D805" i="22"/>
  <c r="C806" i="22"/>
  <c r="D806" i="22"/>
  <c r="C807" i="22"/>
  <c r="D807" i="22"/>
  <c r="C808" i="22"/>
  <c r="D808" i="22"/>
  <c r="C809" i="22"/>
  <c r="D809" i="22"/>
  <c r="C810" i="22"/>
  <c r="D810" i="22"/>
  <c r="C811" i="22"/>
  <c r="D811" i="22"/>
  <c r="C812" i="22"/>
  <c r="D812" i="22"/>
  <c r="C813" i="22"/>
  <c r="D813" i="22"/>
  <c r="C814" i="22"/>
  <c r="D814" i="22"/>
  <c r="C815" i="22"/>
  <c r="D815" i="22"/>
  <c r="C816" i="22"/>
  <c r="D816" i="22"/>
  <c r="C817" i="22"/>
  <c r="D817" i="22"/>
  <c r="C818" i="22"/>
  <c r="D818" i="22"/>
  <c r="C819" i="22"/>
  <c r="D819" i="22"/>
  <c r="C820" i="22"/>
  <c r="D820" i="22"/>
  <c r="C821" i="22"/>
  <c r="D821" i="22"/>
  <c r="C822" i="22"/>
  <c r="D822" i="22"/>
  <c r="C823" i="22"/>
  <c r="D823" i="22"/>
  <c r="C824" i="22"/>
  <c r="D824" i="22"/>
  <c r="C825" i="22"/>
  <c r="D825" i="22"/>
  <c r="C826" i="22"/>
  <c r="D826" i="22"/>
  <c r="C827" i="22"/>
  <c r="D827" i="22"/>
  <c r="C828" i="22"/>
  <c r="D828" i="22"/>
  <c r="C829" i="22"/>
  <c r="D829" i="22"/>
  <c r="C830" i="22"/>
  <c r="D830" i="22"/>
  <c r="C831" i="22"/>
  <c r="D831" i="22"/>
  <c r="C832" i="22"/>
  <c r="D832" i="22"/>
  <c r="C833" i="22"/>
  <c r="D833" i="22"/>
  <c r="C834" i="22"/>
  <c r="D834" i="22"/>
  <c r="C835" i="22"/>
  <c r="D835" i="22"/>
  <c r="C836" i="22"/>
  <c r="D836" i="22"/>
  <c r="C837" i="22"/>
  <c r="D837" i="22"/>
  <c r="C838" i="22"/>
  <c r="D838" i="22"/>
  <c r="C839" i="22"/>
  <c r="D839" i="22"/>
  <c r="C840" i="22"/>
  <c r="D840" i="22"/>
  <c r="C841" i="22"/>
  <c r="D841" i="22"/>
  <c r="C842" i="22"/>
  <c r="D842" i="22"/>
  <c r="C843" i="22"/>
  <c r="D843" i="22"/>
  <c r="C844" i="22"/>
  <c r="D844" i="22"/>
  <c r="C845" i="22"/>
  <c r="D845" i="22"/>
  <c r="C846" i="22"/>
  <c r="D846" i="22"/>
  <c r="C847" i="22"/>
  <c r="D847" i="22"/>
  <c r="C848" i="22"/>
  <c r="D848" i="22"/>
  <c r="C849" i="22"/>
  <c r="D849" i="22"/>
  <c r="C850" i="22"/>
  <c r="D850" i="22"/>
  <c r="C851" i="22"/>
  <c r="D851" i="22"/>
  <c r="C852" i="22"/>
  <c r="D852" i="22"/>
  <c r="C853" i="22"/>
  <c r="D853" i="22"/>
  <c r="C854" i="22"/>
  <c r="D854" i="22"/>
  <c r="C855" i="22"/>
  <c r="D855" i="22"/>
  <c r="C856" i="22"/>
  <c r="D856" i="22"/>
  <c r="C857" i="22"/>
  <c r="D857" i="22"/>
  <c r="C858" i="22"/>
  <c r="D858" i="22"/>
  <c r="C859" i="22"/>
  <c r="D859" i="22"/>
  <c r="C860" i="22"/>
  <c r="D860" i="22"/>
  <c r="C861" i="22"/>
  <c r="D861" i="22"/>
  <c r="C862" i="22"/>
  <c r="D862" i="22"/>
  <c r="C863" i="22"/>
  <c r="D863" i="22"/>
  <c r="C864" i="22"/>
  <c r="D864" i="22"/>
  <c r="C865" i="22"/>
  <c r="D865" i="22"/>
  <c r="C866" i="22"/>
  <c r="D866" i="22"/>
  <c r="C867" i="22"/>
  <c r="D867" i="22"/>
  <c r="C868" i="22"/>
  <c r="D868" i="22"/>
  <c r="C869" i="22"/>
  <c r="D869" i="22"/>
  <c r="C870" i="22"/>
  <c r="D870" i="22"/>
  <c r="C871" i="22"/>
  <c r="D871" i="22"/>
  <c r="C872" i="22"/>
  <c r="D872" i="22"/>
  <c r="C873" i="22"/>
  <c r="D873" i="22"/>
  <c r="C874" i="22"/>
  <c r="D874" i="22"/>
  <c r="C875" i="22"/>
  <c r="D875" i="22"/>
  <c r="C876" i="22"/>
  <c r="D876" i="22"/>
  <c r="C877" i="22"/>
  <c r="D877" i="22"/>
  <c r="C878" i="22"/>
  <c r="D878" i="22"/>
  <c r="C879" i="22"/>
  <c r="D879" i="22"/>
  <c r="C880" i="22"/>
  <c r="D880" i="22"/>
  <c r="C881" i="22"/>
  <c r="D881" i="22"/>
  <c r="C882" i="22"/>
  <c r="D882" i="22"/>
  <c r="C883" i="22"/>
  <c r="D883" i="22"/>
  <c r="C884" i="22"/>
  <c r="D884" i="22"/>
  <c r="C885" i="22"/>
  <c r="D885" i="22"/>
  <c r="C886" i="22"/>
  <c r="D886" i="22"/>
  <c r="C887" i="22"/>
  <c r="D887" i="22"/>
  <c r="C888" i="22"/>
  <c r="D888" i="22"/>
  <c r="C889" i="22"/>
  <c r="D889" i="22"/>
  <c r="C890" i="22"/>
  <c r="D890" i="22"/>
  <c r="C891" i="22"/>
  <c r="D891" i="22"/>
  <c r="C892" i="22"/>
  <c r="D892" i="22"/>
  <c r="C893" i="22"/>
  <c r="D893" i="22"/>
  <c r="C894" i="22"/>
  <c r="D894" i="22"/>
  <c r="C895" i="22"/>
  <c r="D895" i="22"/>
  <c r="C896" i="22"/>
  <c r="D896" i="22"/>
  <c r="C897" i="22"/>
  <c r="D897" i="22"/>
  <c r="C898" i="22"/>
  <c r="D898" i="22"/>
  <c r="C899" i="22"/>
  <c r="D899" i="22"/>
  <c r="C900" i="22"/>
  <c r="D900" i="22"/>
  <c r="C901" i="22"/>
  <c r="D901" i="22"/>
  <c r="C902" i="22"/>
  <c r="D902" i="22"/>
  <c r="C903" i="22"/>
  <c r="D903" i="22"/>
  <c r="C904" i="22"/>
  <c r="D904" i="22"/>
  <c r="C905" i="22"/>
  <c r="D905" i="22"/>
  <c r="C906" i="22"/>
  <c r="D906" i="22"/>
  <c r="C907" i="22"/>
  <c r="D907" i="22"/>
  <c r="C908" i="22"/>
  <c r="D908" i="22"/>
  <c r="C909" i="22"/>
  <c r="D909" i="22"/>
  <c r="C910" i="22"/>
  <c r="D910" i="22"/>
  <c r="C911" i="22"/>
  <c r="D911" i="22"/>
  <c r="C912" i="22"/>
  <c r="D912" i="22"/>
  <c r="C913" i="22"/>
  <c r="D913" i="22"/>
  <c r="C914" i="22"/>
  <c r="D914" i="22"/>
  <c r="C915" i="22"/>
  <c r="D915" i="22"/>
  <c r="C916" i="22"/>
  <c r="D916" i="22"/>
  <c r="C917" i="22"/>
  <c r="D917" i="22"/>
  <c r="C918" i="22"/>
  <c r="D918" i="22"/>
  <c r="C919" i="22"/>
  <c r="D919" i="22"/>
  <c r="C920" i="22"/>
  <c r="D920" i="22"/>
  <c r="C921" i="22"/>
  <c r="D921" i="22"/>
  <c r="C922" i="22"/>
  <c r="D922" i="22"/>
  <c r="C923" i="22"/>
  <c r="D923" i="22"/>
  <c r="C924" i="22"/>
  <c r="D924" i="22"/>
  <c r="C925" i="22"/>
  <c r="D925" i="22"/>
  <c r="C926" i="22"/>
  <c r="D926" i="22"/>
  <c r="C927" i="22"/>
  <c r="D927" i="22"/>
  <c r="C928" i="22"/>
  <c r="D928" i="22"/>
  <c r="C929" i="22"/>
  <c r="D929" i="22"/>
  <c r="C930" i="22"/>
  <c r="D930" i="22"/>
  <c r="C931" i="22"/>
  <c r="D931" i="22"/>
  <c r="C932" i="22"/>
  <c r="D932" i="22"/>
  <c r="C933" i="22"/>
  <c r="D933" i="22"/>
  <c r="C934" i="22"/>
  <c r="D934" i="22"/>
  <c r="C935" i="22"/>
  <c r="D935" i="22"/>
  <c r="C936" i="22"/>
  <c r="D936" i="22"/>
  <c r="C937" i="22"/>
  <c r="D937" i="22"/>
  <c r="C938" i="22"/>
  <c r="D938" i="22"/>
  <c r="C939" i="22"/>
  <c r="D939" i="22"/>
  <c r="C940" i="22"/>
  <c r="D940" i="22"/>
  <c r="C941" i="22"/>
  <c r="D941" i="22"/>
  <c r="C942" i="22"/>
  <c r="D942" i="22"/>
  <c r="C943" i="22"/>
  <c r="D943" i="22"/>
  <c r="C944" i="22"/>
  <c r="D944" i="22"/>
  <c r="C945" i="22"/>
  <c r="D945" i="22"/>
  <c r="C946" i="22"/>
  <c r="D946" i="22"/>
  <c r="C947" i="22"/>
  <c r="D947" i="22"/>
  <c r="C948" i="22"/>
  <c r="D948" i="22"/>
  <c r="C949" i="22"/>
  <c r="D949" i="22"/>
  <c r="C950" i="22"/>
  <c r="D950" i="22"/>
  <c r="C951" i="22"/>
  <c r="D951" i="22"/>
  <c r="C952" i="22"/>
  <c r="D952" i="22"/>
  <c r="C953" i="22"/>
  <c r="D953" i="22"/>
  <c r="C954" i="22"/>
  <c r="D954" i="22"/>
  <c r="C955" i="22"/>
  <c r="D955" i="22"/>
  <c r="C956" i="22"/>
  <c r="D956" i="22"/>
  <c r="C957" i="22"/>
  <c r="D957" i="22"/>
  <c r="C958" i="22"/>
  <c r="D958" i="22"/>
  <c r="C959" i="22"/>
  <c r="D959" i="22"/>
  <c r="C960" i="22"/>
  <c r="D960" i="22"/>
  <c r="C961" i="22"/>
  <c r="D961" i="22"/>
  <c r="C962" i="22"/>
  <c r="D962" i="22"/>
  <c r="C963" i="22"/>
  <c r="D963" i="22"/>
  <c r="C964" i="22"/>
  <c r="D964" i="22"/>
  <c r="C965" i="22"/>
  <c r="D965" i="22"/>
  <c r="C966" i="22"/>
  <c r="D966" i="22"/>
  <c r="C967" i="22"/>
  <c r="D967" i="22"/>
  <c r="C968" i="22"/>
  <c r="D968" i="22"/>
  <c r="C969" i="22"/>
  <c r="D969" i="22"/>
  <c r="C970" i="22"/>
  <c r="D970" i="22"/>
  <c r="C971" i="22"/>
  <c r="D971" i="22"/>
  <c r="C972" i="22"/>
  <c r="D972" i="22"/>
  <c r="C973" i="22"/>
  <c r="D973" i="22"/>
  <c r="C974" i="22"/>
  <c r="D974" i="22"/>
  <c r="C975" i="22"/>
  <c r="D975" i="22"/>
  <c r="C976" i="22"/>
  <c r="D976" i="22"/>
  <c r="C977" i="22"/>
  <c r="D977" i="22"/>
  <c r="C978" i="22"/>
  <c r="D978" i="22"/>
  <c r="C979" i="22"/>
  <c r="D979" i="22"/>
  <c r="C980" i="22"/>
  <c r="D980" i="22"/>
  <c r="C981" i="22"/>
  <c r="D981" i="22"/>
  <c r="C982" i="22"/>
  <c r="D982" i="22"/>
  <c r="C983" i="22"/>
  <c r="D983" i="22"/>
  <c r="C984" i="22"/>
  <c r="D984" i="22"/>
  <c r="C985" i="22"/>
  <c r="D985" i="22"/>
  <c r="C986" i="22"/>
  <c r="D986" i="22"/>
  <c r="C987" i="22"/>
  <c r="D987" i="22"/>
  <c r="C988" i="22"/>
  <c r="D988" i="22"/>
  <c r="C989" i="22"/>
  <c r="D989" i="22"/>
  <c r="C990" i="22"/>
  <c r="D990" i="22"/>
  <c r="C991" i="22"/>
  <c r="D991" i="22"/>
  <c r="C992" i="22"/>
  <c r="D992" i="22"/>
  <c r="C993" i="22"/>
  <c r="D993" i="22"/>
  <c r="C994" i="22"/>
  <c r="D994" i="22"/>
  <c r="C995" i="22"/>
  <c r="D995" i="22"/>
  <c r="C996" i="22"/>
  <c r="D996" i="22"/>
  <c r="C997" i="22"/>
  <c r="D997" i="22"/>
  <c r="C998" i="22"/>
  <c r="D998" i="22"/>
  <c r="C999" i="22"/>
  <c r="D999" i="22"/>
  <c r="C1000" i="22"/>
  <c r="D1000" i="22"/>
  <c r="C1001" i="22"/>
  <c r="D1001" i="22"/>
  <c r="C1002" i="22"/>
  <c r="D1002" i="22"/>
  <c r="C1003" i="22"/>
  <c r="D1003" i="22"/>
  <c r="C1004" i="22"/>
  <c r="D1004" i="22"/>
  <c r="C1005" i="22"/>
  <c r="D1005" i="22"/>
  <c r="C1006" i="22"/>
  <c r="D1006" i="22"/>
  <c r="C1007" i="22"/>
  <c r="D1007" i="22"/>
  <c r="C1008" i="22"/>
  <c r="D1008" i="22"/>
  <c r="C1009" i="22"/>
  <c r="D1009" i="22"/>
  <c r="C1010" i="22"/>
  <c r="D1010" i="22"/>
  <c r="C1011" i="22"/>
  <c r="D1011" i="22"/>
  <c r="C1012" i="22"/>
  <c r="D1012" i="22"/>
  <c r="C1013" i="22"/>
  <c r="D1013" i="22"/>
  <c r="C1014" i="22"/>
  <c r="D1014" i="22"/>
  <c r="C1015" i="22"/>
  <c r="D1015" i="22"/>
  <c r="C1016" i="22"/>
  <c r="D1016" i="22"/>
  <c r="C1017" i="22"/>
  <c r="D1017" i="22"/>
  <c r="C1018" i="22"/>
  <c r="D1018" i="22"/>
  <c r="C1019" i="22"/>
  <c r="D1019" i="22"/>
  <c r="C1020" i="22"/>
  <c r="D1020" i="22"/>
  <c r="C1021" i="22"/>
  <c r="D1021" i="22"/>
  <c r="C1022" i="22"/>
  <c r="D1022" i="22"/>
  <c r="C1023" i="22"/>
  <c r="D1023" i="22"/>
  <c r="C1024" i="22"/>
  <c r="D1024" i="22"/>
  <c r="C1025" i="22"/>
  <c r="D1025" i="22"/>
  <c r="C1026" i="22"/>
  <c r="D1026" i="22"/>
  <c r="C1027" i="22"/>
  <c r="D1027" i="22"/>
  <c r="C1028" i="22"/>
  <c r="D1028" i="22"/>
  <c r="C1029" i="22"/>
  <c r="D1029" i="22"/>
  <c r="C1030" i="22"/>
  <c r="D1030" i="22"/>
  <c r="C1031" i="22"/>
  <c r="D1031" i="22"/>
  <c r="C1032" i="22"/>
  <c r="D1032" i="22"/>
  <c r="C1033" i="22"/>
  <c r="D1033" i="22"/>
  <c r="C1034" i="22"/>
  <c r="D1034" i="22"/>
  <c r="C1035" i="22"/>
  <c r="D1035" i="22"/>
  <c r="C1036" i="22"/>
  <c r="D1036" i="22"/>
  <c r="C1037" i="22"/>
  <c r="D1037" i="22"/>
  <c r="C1038" i="22"/>
  <c r="D1038" i="22"/>
  <c r="C1039" i="22"/>
  <c r="D1039" i="22"/>
  <c r="C1040" i="22"/>
  <c r="D1040" i="22"/>
  <c r="C1041" i="22"/>
  <c r="D1041" i="22"/>
  <c r="C1042" i="22"/>
  <c r="D1042" i="22"/>
  <c r="C1043" i="22"/>
  <c r="D1043" i="22"/>
  <c r="C1044" i="22"/>
  <c r="D1044" i="22"/>
  <c r="C1045" i="22"/>
  <c r="D1045" i="22"/>
  <c r="C1046" i="22"/>
  <c r="D1046" i="22"/>
  <c r="C1047" i="22"/>
  <c r="D1047" i="22"/>
  <c r="C1048" i="22"/>
  <c r="D1048" i="22"/>
  <c r="C1049" i="22"/>
  <c r="D1049" i="22"/>
  <c r="C1050" i="22"/>
  <c r="D1050" i="22"/>
  <c r="C1051" i="22"/>
  <c r="D1051" i="22"/>
  <c r="C1052" i="22"/>
  <c r="D1052" i="22"/>
  <c r="C1053" i="22"/>
  <c r="D1053" i="22"/>
  <c r="C1054" i="22"/>
  <c r="D1054" i="22"/>
  <c r="C1055" i="22"/>
  <c r="D1055" i="22"/>
  <c r="C1056" i="22"/>
  <c r="D1056" i="22"/>
  <c r="C1057" i="22"/>
  <c r="D1057" i="22"/>
  <c r="C1058" i="22"/>
  <c r="D1058" i="22"/>
  <c r="C1059" i="22"/>
  <c r="D1059" i="22"/>
  <c r="C1060" i="22"/>
  <c r="D1060" i="22"/>
  <c r="C1061" i="22"/>
  <c r="D1061" i="22"/>
  <c r="C1062" i="22"/>
  <c r="D1062" i="22"/>
  <c r="C1063" i="22"/>
  <c r="D1063" i="22"/>
  <c r="C1064" i="22"/>
  <c r="D1064" i="22"/>
  <c r="C1065" i="22"/>
  <c r="D1065" i="22"/>
  <c r="C1066" i="22"/>
  <c r="D1066" i="22"/>
  <c r="C1067" i="22"/>
  <c r="D1067" i="22"/>
  <c r="C1068" i="22"/>
  <c r="D1068" i="22"/>
  <c r="C1069" i="22"/>
  <c r="D1069" i="22"/>
  <c r="C1070" i="22"/>
  <c r="D1070" i="22"/>
  <c r="C1071" i="22"/>
  <c r="D1071" i="22"/>
  <c r="C1072" i="22"/>
  <c r="D1072" i="22"/>
  <c r="C1073" i="22"/>
  <c r="D1073" i="22"/>
  <c r="C1074" i="22"/>
  <c r="D1074" i="22"/>
  <c r="C1075" i="22"/>
  <c r="D1075" i="22"/>
  <c r="C1076" i="22"/>
  <c r="D1076" i="22"/>
  <c r="C1077" i="22"/>
  <c r="D1077" i="22"/>
  <c r="C1078" i="22"/>
  <c r="D1078" i="22"/>
  <c r="C1079" i="22"/>
  <c r="D1079" i="22"/>
  <c r="C1080" i="22"/>
  <c r="D1080" i="22"/>
  <c r="C1081" i="22"/>
  <c r="D1081" i="22"/>
  <c r="C1082" i="22"/>
  <c r="D1082" i="22"/>
  <c r="C1083" i="22"/>
  <c r="D1083" i="22"/>
  <c r="C1084" i="22"/>
  <c r="D1084" i="22"/>
  <c r="C1085" i="22"/>
  <c r="D1085" i="22"/>
  <c r="C1086" i="22"/>
  <c r="D1086" i="22"/>
  <c r="C1087" i="22"/>
  <c r="D1087" i="22"/>
  <c r="C1088" i="22"/>
  <c r="D1088" i="22"/>
  <c r="C1089" i="22"/>
  <c r="D1089" i="22"/>
  <c r="C1090" i="22"/>
  <c r="D1090" i="22"/>
  <c r="C1091" i="22"/>
  <c r="D1091" i="22"/>
  <c r="C1092" i="22"/>
  <c r="D1092" i="22"/>
  <c r="C1093" i="22"/>
  <c r="D1093" i="22"/>
  <c r="C1094" i="22"/>
  <c r="D1094" i="22"/>
  <c r="C1095" i="22"/>
  <c r="D1095" i="22"/>
  <c r="C1096" i="22"/>
  <c r="D1096" i="22"/>
  <c r="C1097" i="22"/>
  <c r="D1097" i="22"/>
  <c r="C1098" i="22"/>
  <c r="D1098" i="22"/>
  <c r="C1099" i="22"/>
  <c r="D1099" i="22"/>
  <c r="C1100" i="22"/>
  <c r="D1100" i="22"/>
  <c r="C1101" i="22"/>
  <c r="D1101" i="22"/>
  <c r="C1102" i="22"/>
  <c r="D1102" i="22"/>
  <c r="C1103" i="22"/>
  <c r="D1103" i="22"/>
  <c r="C1104" i="22"/>
  <c r="D1104" i="22"/>
  <c r="C1105" i="22"/>
  <c r="D1105" i="22"/>
  <c r="C1106" i="22"/>
  <c r="D1106" i="22"/>
  <c r="C1107" i="22"/>
  <c r="D1107" i="22"/>
  <c r="C1108" i="22"/>
  <c r="D1108" i="22"/>
  <c r="C1109" i="22"/>
  <c r="D1109" i="22"/>
  <c r="C1110" i="22"/>
  <c r="D1110" i="22"/>
  <c r="C1111" i="22"/>
  <c r="D1111" i="22"/>
  <c r="C1112" i="22"/>
  <c r="D1112" i="22"/>
  <c r="C1113" i="22"/>
  <c r="D1113" i="22"/>
  <c r="C1114" i="22"/>
  <c r="D1114" i="22"/>
  <c r="C1115" i="22"/>
  <c r="D1115" i="22"/>
  <c r="C1116" i="22"/>
  <c r="D1116" i="22"/>
  <c r="C1117" i="22"/>
  <c r="D1117" i="22"/>
  <c r="C1118" i="22"/>
  <c r="D1118" i="22"/>
  <c r="C1119" i="22"/>
  <c r="D1119" i="22"/>
  <c r="C1120" i="22"/>
  <c r="D1120" i="22"/>
  <c r="C1121" i="22"/>
  <c r="D1121" i="22"/>
  <c r="C1122" i="22"/>
  <c r="D1122" i="22"/>
  <c r="C1123" i="22"/>
  <c r="D1123" i="22"/>
  <c r="C1124" i="22"/>
  <c r="D1124" i="22"/>
  <c r="C1125" i="22"/>
  <c r="D1125" i="22"/>
  <c r="C1126" i="22"/>
  <c r="D1126" i="22"/>
  <c r="C1127" i="22"/>
  <c r="D1127" i="22"/>
  <c r="C1128" i="22"/>
  <c r="D1128" i="22"/>
  <c r="C1129" i="22"/>
  <c r="D1129" i="22"/>
  <c r="C1130" i="22"/>
  <c r="D1130" i="22"/>
  <c r="C1131" i="22"/>
  <c r="D1131" i="22"/>
  <c r="C1132" i="22"/>
  <c r="D1132" i="22"/>
  <c r="C1133" i="22"/>
  <c r="D1133" i="22"/>
  <c r="C1134" i="22"/>
  <c r="D1134" i="22"/>
  <c r="C1135" i="22"/>
  <c r="D1135" i="22"/>
  <c r="C1136" i="22"/>
  <c r="D1136" i="22"/>
  <c r="C1137" i="22"/>
  <c r="D1137" i="22"/>
  <c r="C1138" i="22"/>
  <c r="D1138" i="22"/>
  <c r="C1139" i="22"/>
  <c r="D1139" i="22"/>
  <c r="C1140" i="22"/>
  <c r="D1140" i="22"/>
  <c r="C1141" i="22"/>
  <c r="D1141" i="22"/>
  <c r="C1142" i="22"/>
  <c r="D1142" i="22"/>
  <c r="C1143" i="22"/>
  <c r="D1143" i="22"/>
  <c r="C1144" i="22"/>
  <c r="D1144" i="22"/>
  <c r="C1145" i="22"/>
  <c r="D1145" i="22"/>
  <c r="C1146" i="22"/>
  <c r="D1146" i="22"/>
  <c r="C1147" i="22"/>
  <c r="D1147" i="22"/>
  <c r="C1148" i="22"/>
  <c r="D1148" i="22"/>
  <c r="C1149" i="22"/>
  <c r="D1149" i="22"/>
  <c r="C1150" i="22"/>
  <c r="D1150" i="22"/>
  <c r="C1151" i="22"/>
  <c r="D1151" i="22"/>
  <c r="C1152" i="22"/>
  <c r="D1152" i="22"/>
  <c r="C1153" i="22"/>
  <c r="D1153" i="22"/>
  <c r="C1154" i="22"/>
  <c r="D1154" i="22"/>
  <c r="C1155" i="22"/>
  <c r="D1155" i="22"/>
  <c r="C1156" i="22"/>
  <c r="D1156" i="22"/>
  <c r="C1157" i="22"/>
  <c r="D1157" i="22"/>
  <c r="C1158" i="22"/>
  <c r="D1158" i="22"/>
  <c r="C1159" i="22"/>
  <c r="D1159" i="22"/>
  <c r="C1160" i="22"/>
  <c r="D1160" i="22"/>
  <c r="C1161" i="22"/>
  <c r="D1161" i="22"/>
  <c r="C1162" i="22"/>
  <c r="D1162" i="22"/>
  <c r="C1163" i="22"/>
  <c r="D1163" i="22"/>
  <c r="C1164" i="22"/>
  <c r="D1164" i="22"/>
  <c r="C1165" i="22"/>
  <c r="D1165" i="22"/>
  <c r="C1166" i="22"/>
  <c r="D1166" i="22"/>
  <c r="C1167" i="22"/>
  <c r="D1167" i="22"/>
  <c r="C1168" i="22"/>
  <c r="D1168" i="22"/>
  <c r="C1169" i="22"/>
  <c r="D1169" i="22"/>
  <c r="C1170" i="22"/>
  <c r="D1170" i="22"/>
  <c r="C1171" i="22"/>
  <c r="D1171" i="22"/>
  <c r="C1172" i="22"/>
  <c r="D1172" i="22"/>
  <c r="C1173" i="22"/>
  <c r="D1173" i="22"/>
  <c r="C1174" i="22"/>
  <c r="D1174" i="22"/>
  <c r="C1175" i="22"/>
  <c r="D1175" i="22"/>
  <c r="C1176" i="22"/>
  <c r="D1176" i="22"/>
  <c r="C1177" i="22"/>
  <c r="D1177" i="22"/>
  <c r="C1178" i="22"/>
  <c r="D1178" i="22"/>
  <c r="C1179" i="22"/>
  <c r="D1179" i="22"/>
  <c r="C1180" i="22"/>
  <c r="D1180" i="22"/>
  <c r="C1181" i="22"/>
  <c r="D1181" i="22"/>
  <c r="C1182" i="22"/>
  <c r="D1182" i="22"/>
  <c r="C1183" i="22"/>
  <c r="D1183" i="22"/>
  <c r="C1184" i="22"/>
  <c r="D1184" i="22"/>
  <c r="C1185" i="22"/>
  <c r="D1185" i="22"/>
  <c r="C1186" i="22"/>
  <c r="D1186" i="22"/>
  <c r="C1187" i="22"/>
  <c r="D1187" i="22"/>
  <c r="C1188" i="22"/>
  <c r="D1188" i="22"/>
  <c r="C1189" i="22"/>
  <c r="D1189" i="22"/>
  <c r="C1190" i="22"/>
  <c r="D1190" i="22"/>
  <c r="C1191" i="22"/>
  <c r="D1191" i="22"/>
  <c r="C1192" i="22"/>
  <c r="D1192" i="22"/>
  <c r="C1193" i="22"/>
  <c r="D1193" i="22"/>
  <c r="C1194" i="22"/>
  <c r="D1194" i="22"/>
  <c r="C1195" i="22"/>
  <c r="D1195" i="22"/>
  <c r="C1196" i="22"/>
  <c r="D1196" i="22"/>
  <c r="C1197" i="22"/>
  <c r="D1197" i="22"/>
  <c r="C1198" i="22"/>
  <c r="D1198" i="22"/>
  <c r="C1199" i="22"/>
  <c r="D1199" i="22"/>
  <c r="C1200" i="22"/>
  <c r="D1200" i="22"/>
  <c r="C1201" i="22"/>
  <c r="D1201" i="22"/>
  <c r="C1202" i="22"/>
  <c r="D1202" i="22"/>
  <c r="C1203" i="22"/>
  <c r="D1203" i="22"/>
  <c r="C1204" i="22"/>
  <c r="D1204" i="22"/>
  <c r="C1205" i="22"/>
  <c r="D1205" i="22"/>
  <c r="C1206" i="22"/>
  <c r="D1206" i="22"/>
  <c r="C1207" i="22"/>
  <c r="D1207" i="22"/>
  <c r="C1208" i="22"/>
  <c r="D1208" i="22"/>
  <c r="C1209" i="22"/>
  <c r="D1209" i="22"/>
  <c r="C1210" i="22"/>
  <c r="D1210" i="22"/>
  <c r="C1211" i="22"/>
  <c r="D1211" i="22"/>
  <c r="C1212" i="22"/>
  <c r="D1212" i="22"/>
  <c r="C1213" i="22"/>
  <c r="D1213" i="22"/>
  <c r="C1214" i="22"/>
  <c r="D1214" i="22"/>
  <c r="C1215" i="22"/>
  <c r="D1215" i="22"/>
  <c r="C1216" i="22"/>
  <c r="D1216" i="22"/>
  <c r="C1217" i="22"/>
  <c r="D1217" i="22"/>
  <c r="C1218" i="22"/>
  <c r="D1218" i="22"/>
  <c r="C1219" i="22"/>
  <c r="D1219" i="22"/>
  <c r="C1220" i="22"/>
  <c r="D1220" i="22"/>
  <c r="C1221" i="22"/>
  <c r="D1221" i="22"/>
  <c r="C1222" i="22"/>
  <c r="D1222" i="22"/>
  <c r="C1223" i="22"/>
  <c r="D1223" i="22"/>
  <c r="C1224" i="22"/>
  <c r="D1224" i="22"/>
  <c r="C1225" i="22"/>
  <c r="D1225" i="22"/>
  <c r="C1226" i="22"/>
  <c r="D1226" i="22"/>
  <c r="C1227" i="22"/>
  <c r="D1227" i="22"/>
  <c r="C1228" i="22"/>
  <c r="D1228" i="22"/>
  <c r="C1229" i="22"/>
  <c r="D1229" i="22"/>
  <c r="C1230" i="22"/>
  <c r="D1230" i="22"/>
  <c r="C1231" i="22"/>
  <c r="D1231" i="22"/>
  <c r="C1232" i="22"/>
  <c r="D1232" i="22"/>
  <c r="C1233" i="22"/>
  <c r="D1233" i="22"/>
  <c r="C1234" i="22"/>
  <c r="D1234" i="22"/>
  <c r="C1235" i="22"/>
  <c r="D1235" i="22"/>
  <c r="C1236" i="22"/>
  <c r="D1236" i="22"/>
  <c r="C1237" i="22"/>
  <c r="D1237" i="22"/>
  <c r="C1238" i="22"/>
  <c r="D1238" i="22"/>
  <c r="C1239" i="22"/>
  <c r="D1239" i="22"/>
  <c r="C1240" i="22"/>
  <c r="D1240" i="22"/>
  <c r="C1241" i="22"/>
  <c r="D1241" i="22"/>
  <c r="C1242" i="22"/>
  <c r="D1242" i="22"/>
  <c r="C1243" i="22"/>
  <c r="D1243" i="22"/>
  <c r="C1244" i="22"/>
  <c r="D1244" i="22"/>
  <c r="C1245" i="22"/>
  <c r="D1245" i="22"/>
  <c r="C1246" i="22"/>
  <c r="D1246" i="22"/>
  <c r="C1247" i="22"/>
  <c r="D1247" i="22"/>
  <c r="C1248" i="22"/>
  <c r="D1248" i="22"/>
  <c r="C1249" i="22"/>
  <c r="D1249" i="22"/>
  <c r="C1250" i="22"/>
  <c r="D1250" i="22"/>
  <c r="C1251" i="22"/>
  <c r="D1251" i="22"/>
  <c r="C1252" i="22"/>
  <c r="D1252" i="22"/>
  <c r="C1253" i="22"/>
  <c r="D1253" i="22"/>
  <c r="C1254" i="22"/>
  <c r="D1254" i="22"/>
  <c r="C1255" i="22"/>
  <c r="D1255" i="22"/>
  <c r="C1256" i="22"/>
  <c r="D1256" i="22"/>
  <c r="C1257" i="22"/>
  <c r="D1257" i="22"/>
  <c r="C1258" i="22"/>
  <c r="D1258" i="22"/>
  <c r="C1259" i="22"/>
  <c r="D1259" i="22"/>
  <c r="C1260" i="22"/>
  <c r="D1260" i="22"/>
  <c r="C1261" i="22"/>
  <c r="D1261" i="22"/>
  <c r="C1262" i="22"/>
  <c r="D1262" i="22"/>
  <c r="C1263" i="22"/>
  <c r="D1263" i="22"/>
  <c r="C1264" i="22"/>
  <c r="D1264" i="22"/>
  <c r="C1265" i="22"/>
  <c r="D1265" i="22"/>
  <c r="C1266" i="22"/>
  <c r="D1266" i="22"/>
  <c r="C1267" i="22"/>
  <c r="D1267" i="22"/>
  <c r="C1268" i="22"/>
  <c r="D1268" i="22"/>
  <c r="C1269" i="22"/>
  <c r="D1269" i="22"/>
  <c r="C1270" i="22"/>
  <c r="D1270" i="22"/>
  <c r="C1271" i="22"/>
  <c r="D1271" i="22"/>
  <c r="C1272" i="22"/>
  <c r="D1272" i="22"/>
  <c r="C1273" i="22"/>
  <c r="D1273" i="22"/>
  <c r="C1274" i="22"/>
  <c r="D1274" i="22"/>
  <c r="C1275" i="22"/>
  <c r="D1275" i="22"/>
  <c r="C1276" i="22"/>
  <c r="D1276" i="22"/>
  <c r="C1277" i="22"/>
  <c r="D1277" i="22"/>
  <c r="C1278" i="22"/>
  <c r="D1278" i="22"/>
  <c r="C1279" i="22"/>
  <c r="D1279" i="22"/>
  <c r="C1280" i="22"/>
  <c r="D1280" i="22"/>
  <c r="C1281" i="22"/>
  <c r="D1281" i="22"/>
  <c r="C1282" i="22"/>
  <c r="D1282" i="22"/>
  <c r="C1283" i="22"/>
  <c r="D1283" i="22"/>
  <c r="C1284" i="22"/>
  <c r="D1284" i="22"/>
  <c r="C1285" i="22"/>
  <c r="D1285" i="22"/>
  <c r="C1286" i="22"/>
  <c r="D1286" i="22"/>
  <c r="C1287" i="22"/>
  <c r="D1287" i="22"/>
  <c r="C1288" i="22"/>
  <c r="D1288" i="22"/>
  <c r="C1289" i="22"/>
  <c r="D1289" i="22"/>
  <c r="C1290" i="22"/>
  <c r="D1290" i="22"/>
  <c r="C1291" i="22"/>
  <c r="D1291" i="22"/>
  <c r="C1292" i="22"/>
  <c r="D1292" i="22"/>
  <c r="C1293" i="22"/>
  <c r="D1293" i="22"/>
  <c r="C1294" i="22"/>
  <c r="D1294" i="22"/>
  <c r="C1295" i="22"/>
  <c r="D1295" i="22"/>
  <c r="C1296" i="22"/>
  <c r="D1296" i="22"/>
  <c r="C1297" i="22"/>
  <c r="D1297" i="22"/>
  <c r="C1298" i="22"/>
  <c r="D1298" i="22"/>
  <c r="C1299" i="22"/>
  <c r="D1299" i="22"/>
  <c r="C1300" i="22"/>
  <c r="D1300" i="22"/>
  <c r="C1301" i="22"/>
  <c r="D1301" i="22"/>
  <c r="C1302" i="22"/>
  <c r="D1302" i="22"/>
  <c r="C1303" i="22"/>
  <c r="D1303" i="22"/>
  <c r="C1304" i="22"/>
  <c r="D1304" i="22"/>
  <c r="C1305" i="22"/>
  <c r="D1305" i="22"/>
  <c r="C1306" i="22"/>
  <c r="D1306" i="22"/>
  <c r="C1307" i="22"/>
  <c r="D1307" i="22"/>
  <c r="C1308" i="22"/>
  <c r="D1308" i="22"/>
  <c r="C1309" i="22"/>
  <c r="D1309" i="22"/>
  <c r="C1310" i="22"/>
  <c r="D1310" i="22"/>
  <c r="C1311" i="22"/>
  <c r="D1311" i="22"/>
  <c r="C1312" i="22"/>
  <c r="D1312" i="22"/>
  <c r="C1313" i="22"/>
  <c r="D1313" i="22"/>
  <c r="C1314" i="22"/>
  <c r="D1314" i="22"/>
  <c r="C1315" i="22"/>
  <c r="D1315" i="22"/>
  <c r="C1316" i="22"/>
  <c r="D1316" i="22"/>
  <c r="C1317" i="22"/>
  <c r="D1317" i="22"/>
  <c r="C1318" i="22"/>
  <c r="D1318" i="22"/>
  <c r="C1319" i="22"/>
  <c r="D1319" i="22"/>
  <c r="C1320" i="22"/>
  <c r="D1320" i="22"/>
  <c r="C1321" i="22"/>
  <c r="D1321" i="22"/>
  <c r="C1322" i="22"/>
  <c r="D1322" i="22"/>
  <c r="C1323" i="22"/>
  <c r="D1323" i="22"/>
  <c r="C1324" i="22"/>
  <c r="D1324" i="22"/>
  <c r="C1325" i="22"/>
  <c r="D1325" i="22"/>
  <c r="C1326" i="22"/>
  <c r="D1326" i="22"/>
  <c r="C1327" i="22"/>
  <c r="D1327" i="22"/>
  <c r="C1328" i="22"/>
  <c r="D1328" i="22"/>
  <c r="C1329" i="22"/>
  <c r="D1329" i="22"/>
  <c r="C1330" i="22"/>
  <c r="D1330" i="22"/>
  <c r="C1331" i="22"/>
  <c r="D1331" i="22"/>
  <c r="C1332" i="22"/>
  <c r="D1332" i="22"/>
  <c r="C1333" i="22"/>
  <c r="D1333" i="22"/>
  <c r="C1334" i="22"/>
  <c r="D1334" i="22"/>
  <c r="C1335" i="22"/>
  <c r="D1335" i="22"/>
  <c r="C1336" i="22"/>
  <c r="D1336" i="22"/>
  <c r="C1337" i="22"/>
  <c r="D1337" i="22"/>
  <c r="C1338" i="22"/>
  <c r="D1338" i="22"/>
  <c r="C1339" i="22"/>
  <c r="D1339" i="22"/>
  <c r="C1340" i="22"/>
  <c r="D1340" i="22"/>
  <c r="C1341" i="22"/>
  <c r="D1341" i="22"/>
  <c r="C1342" i="22"/>
  <c r="D1342" i="22"/>
  <c r="C1343" i="22"/>
  <c r="D1343" i="22"/>
  <c r="C1344" i="22"/>
  <c r="D1344" i="22"/>
  <c r="C1345" i="22"/>
  <c r="D1345" i="22"/>
  <c r="C1346" i="22"/>
  <c r="D1346" i="22"/>
  <c r="C1347" i="22"/>
  <c r="D1347" i="22"/>
  <c r="C1348" i="22"/>
  <c r="D1348" i="22"/>
  <c r="C1349" i="22"/>
  <c r="D1349" i="22"/>
  <c r="C1350" i="22"/>
  <c r="D1350" i="22"/>
  <c r="C1351" i="22"/>
  <c r="D1351" i="22"/>
  <c r="C1352" i="22"/>
  <c r="D1352" i="22"/>
  <c r="C1353" i="22"/>
  <c r="D1353" i="22"/>
  <c r="C1354" i="22"/>
  <c r="D1354" i="22"/>
  <c r="C1355" i="22"/>
  <c r="D1355" i="22"/>
  <c r="C1356" i="22"/>
  <c r="D1356" i="22"/>
  <c r="C1357" i="22"/>
  <c r="D1357" i="22"/>
  <c r="C1358" i="22"/>
  <c r="D1358" i="22"/>
  <c r="C1359" i="22"/>
  <c r="D1359" i="22"/>
  <c r="C1360" i="22"/>
  <c r="D1360" i="22"/>
  <c r="C1361" i="22"/>
  <c r="D1361" i="22"/>
  <c r="C1362" i="22"/>
  <c r="D1362" i="22"/>
  <c r="C1363" i="22"/>
  <c r="D1363" i="22"/>
  <c r="C1364" i="22"/>
  <c r="D1364" i="22"/>
  <c r="C1365" i="22"/>
  <c r="D1365" i="22"/>
  <c r="C1366" i="22"/>
  <c r="D1366" i="22"/>
  <c r="C1367" i="22"/>
  <c r="D1367" i="22"/>
  <c r="C1368" i="22"/>
  <c r="D1368" i="22"/>
  <c r="C1369" i="22"/>
  <c r="D1369" i="22"/>
  <c r="C1370" i="22"/>
  <c r="D1370" i="22"/>
  <c r="C1371" i="22"/>
  <c r="D1371" i="22"/>
  <c r="C1372" i="22"/>
  <c r="D1372" i="22"/>
  <c r="C1373" i="22"/>
  <c r="D1373" i="22"/>
  <c r="C1374" i="22"/>
  <c r="D1374" i="22"/>
  <c r="C1375" i="22"/>
  <c r="D1375" i="22"/>
  <c r="C1376" i="22"/>
  <c r="D1376" i="22"/>
  <c r="C1377" i="22"/>
  <c r="D1377" i="22"/>
  <c r="C1378" i="22"/>
  <c r="D1378" i="22"/>
  <c r="C1379" i="22"/>
  <c r="D1379" i="22"/>
  <c r="C1380" i="22"/>
  <c r="D1380" i="22"/>
  <c r="C1381" i="22"/>
  <c r="D1381" i="22"/>
  <c r="C1382" i="22"/>
  <c r="D1382" i="22"/>
  <c r="C1383" i="22"/>
  <c r="D1383" i="22"/>
  <c r="C1384" i="22"/>
  <c r="D1384" i="22"/>
  <c r="C1385" i="22"/>
  <c r="D1385" i="22"/>
  <c r="C1386" i="22"/>
  <c r="D1386" i="22"/>
  <c r="C1387" i="22"/>
  <c r="D1387" i="22"/>
  <c r="C1388" i="22"/>
  <c r="D1388" i="22"/>
  <c r="C1389" i="22"/>
  <c r="D1389" i="22"/>
  <c r="C1390" i="22"/>
  <c r="D1390" i="22"/>
  <c r="C1391" i="22"/>
  <c r="D1391" i="22"/>
  <c r="C1392" i="22"/>
  <c r="D1392" i="22"/>
  <c r="C1393" i="22"/>
  <c r="D1393" i="22"/>
  <c r="C1394" i="22"/>
  <c r="D1394" i="22"/>
  <c r="C1395" i="22"/>
  <c r="D1395" i="22"/>
  <c r="C1396" i="22"/>
  <c r="D1396" i="22"/>
  <c r="C1397" i="22"/>
  <c r="D1397" i="22"/>
  <c r="C1398" i="22"/>
  <c r="D1398" i="22"/>
  <c r="C1399" i="22"/>
  <c r="D1399" i="22"/>
  <c r="C1400" i="22"/>
  <c r="D1400" i="22"/>
  <c r="C1401" i="22"/>
  <c r="D1401" i="22"/>
  <c r="C1402" i="22"/>
  <c r="D1402" i="22"/>
  <c r="C1403" i="22"/>
  <c r="D1403" i="22"/>
  <c r="C1404" i="22"/>
  <c r="D1404" i="22"/>
  <c r="C1405" i="22"/>
  <c r="D1405" i="22"/>
  <c r="C1406" i="22"/>
  <c r="D1406" i="22"/>
  <c r="C1407" i="22"/>
  <c r="D1407" i="22"/>
  <c r="C1408" i="22"/>
  <c r="D1408" i="22"/>
  <c r="C1409" i="22"/>
  <c r="D1409" i="22"/>
  <c r="C1410" i="22"/>
  <c r="D1410" i="22"/>
  <c r="C1411" i="22"/>
  <c r="D1411" i="22"/>
  <c r="C1412" i="22"/>
  <c r="D1412" i="22"/>
  <c r="C1413" i="22"/>
  <c r="D1413" i="22"/>
  <c r="C1414" i="22"/>
  <c r="D1414" i="22"/>
  <c r="C1415" i="22"/>
  <c r="D1415" i="22"/>
  <c r="C1416" i="22"/>
  <c r="D1416" i="22"/>
  <c r="C1417" i="22"/>
  <c r="D1417" i="22"/>
  <c r="C1418" i="22"/>
  <c r="D1418" i="22"/>
  <c r="C1419" i="22"/>
  <c r="D1419" i="22"/>
  <c r="C1420" i="22"/>
  <c r="D1420" i="22"/>
  <c r="C1421" i="22"/>
  <c r="D1421" i="22"/>
  <c r="C1422" i="22"/>
  <c r="D1422" i="22"/>
  <c r="C1423" i="22"/>
  <c r="D1423" i="22"/>
  <c r="C1424" i="22"/>
  <c r="D1424" i="22"/>
  <c r="C1425" i="22"/>
  <c r="D1425" i="22"/>
  <c r="C1426" i="22"/>
  <c r="D1426" i="22"/>
  <c r="C1427" i="22"/>
  <c r="D1427" i="22"/>
  <c r="C1428" i="22"/>
  <c r="D1428" i="22"/>
  <c r="C1429" i="22"/>
  <c r="D1429" i="22"/>
  <c r="C1430" i="22"/>
  <c r="D1430" i="22"/>
  <c r="C1431" i="22"/>
  <c r="D1431" i="22"/>
  <c r="C1432" i="22"/>
  <c r="D1432" i="22"/>
  <c r="C1433" i="22"/>
  <c r="D1433" i="22"/>
  <c r="C1434" i="22"/>
  <c r="D1434" i="22"/>
  <c r="C1435" i="22"/>
  <c r="D1435" i="22"/>
  <c r="C1436" i="22"/>
  <c r="D1436" i="22"/>
  <c r="C1437" i="22"/>
  <c r="D1437" i="22"/>
  <c r="C1438" i="22"/>
  <c r="D1438" i="22"/>
  <c r="C1439" i="22"/>
  <c r="D1439" i="22"/>
  <c r="C1440" i="22"/>
  <c r="D1440" i="22"/>
  <c r="C1441" i="22"/>
  <c r="D1441" i="22"/>
  <c r="C1442" i="22"/>
  <c r="D1442" i="22"/>
  <c r="C1443" i="22"/>
  <c r="D1443" i="22"/>
  <c r="C1444" i="22"/>
  <c r="D1444" i="22"/>
  <c r="C1445" i="22"/>
  <c r="D1445" i="22"/>
  <c r="C1446" i="22"/>
  <c r="D1446" i="22"/>
  <c r="C1447" i="22"/>
  <c r="D1447" i="22"/>
  <c r="C1448" i="22"/>
  <c r="D1448" i="22"/>
  <c r="C1449" i="22"/>
  <c r="D1449" i="22"/>
  <c r="C1450" i="22"/>
  <c r="D1450" i="22"/>
  <c r="C1451" i="22"/>
  <c r="D1451" i="22"/>
  <c r="C1452" i="22"/>
  <c r="D1452" i="22"/>
  <c r="C1453" i="22"/>
  <c r="D1453" i="22"/>
  <c r="C1454" i="22"/>
  <c r="D1454" i="22"/>
  <c r="C1455" i="22"/>
  <c r="D1455" i="22"/>
  <c r="C1456" i="22"/>
  <c r="D1456" i="22"/>
  <c r="C1457" i="22"/>
  <c r="D1457" i="22"/>
  <c r="C1458" i="22"/>
  <c r="D1458" i="22"/>
  <c r="C1459" i="22"/>
  <c r="D1459" i="22"/>
  <c r="C1460" i="22"/>
  <c r="D1460" i="22"/>
  <c r="C1461" i="22"/>
  <c r="D1461" i="22"/>
  <c r="C1462" i="22"/>
  <c r="D1462" i="22"/>
  <c r="C1463" i="22"/>
  <c r="D1463" i="22"/>
  <c r="C1464" i="22"/>
  <c r="D1464" i="22"/>
  <c r="C1465" i="22"/>
  <c r="D1465" i="22"/>
  <c r="C1466" i="22"/>
  <c r="D1466" i="22"/>
  <c r="C1467" i="22"/>
  <c r="D1467" i="22"/>
  <c r="C1468" i="22"/>
  <c r="D1468" i="22"/>
  <c r="C1469" i="22"/>
  <c r="D1469" i="22"/>
  <c r="C1470" i="22"/>
  <c r="D1470" i="22"/>
  <c r="C1471" i="22"/>
  <c r="D1471" i="22"/>
  <c r="C1472" i="22"/>
  <c r="D1472" i="22"/>
  <c r="C1473" i="22"/>
  <c r="D1473" i="22"/>
  <c r="C1474" i="22"/>
  <c r="D1474" i="22"/>
  <c r="C1475" i="22"/>
  <c r="D1475" i="22"/>
  <c r="C1476" i="22"/>
  <c r="D1476" i="22"/>
  <c r="C1477" i="22"/>
  <c r="D1477" i="22"/>
  <c r="C1478" i="22"/>
  <c r="D1478" i="22"/>
  <c r="C1479" i="22"/>
  <c r="D1479" i="22"/>
  <c r="C1480" i="22"/>
  <c r="D1480" i="22"/>
  <c r="C1481" i="22"/>
  <c r="D1481" i="22"/>
  <c r="C1482" i="22"/>
  <c r="D1482" i="22"/>
  <c r="C1483" i="22"/>
  <c r="D1483" i="22"/>
  <c r="C1484" i="22"/>
  <c r="D1484" i="22"/>
  <c r="C1485" i="22"/>
  <c r="D1485" i="22"/>
  <c r="C1486" i="22"/>
  <c r="D1486" i="22"/>
  <c r="C1487" i="22"/>
  <c r="D1487" i="22"/>
  <c r="C1488" i="22"/>
  <c r="D1488" i="22"/>
  <c r="C1489" i="22"/>
  <c r="D1489" i="22"/>
  <c r="C1490" i="22"/>
  <c r="D1490" i="22"/>
  <c r="C1491" i="22"/>
  <c r="D1491" i="22"/>
  <c r="C1492" i="22"/>
  <c r="D1492" i="22"/>
  <c r="C1493" i="22"/>
  <c r="D1493" i="22"/>
  <c r="C1494" i="22"/>
  <c r="D1494" i="22"/>
  <c r="C1495" i="22"/>
  <c r="D1495" i="22"/>
  <c r="C1496" i="22"/>
  <c r="D1496" i="22"/>
  <c r="C1497" i="22"/>
  <c r="D1497" i="22"/>
  <c r="C1498" i="22"/>
  <c r="D1498" i="22"/>
  <c r="C1499" i="22"/>
  <c r="D1499" i="22"/>
  <c r="C1500" i="22"/>
  <c r="D1500" i="22"/>
  <c r="C1501" i="22"/>
  <c r="D1501" i="22"/>
  <c r="C1502" i="22"/>
  <c r="D1502" i="22"/>
  <c r="C1503" i="22"/>
  <c r="D1503" i="22"/>
  <c r="C1504" i="22"/>
  <c r="D1504" i="22"/>
  <c r="C1505" i="22"/>
  <c r="D1505" i="22"/>
  <c r="C1506" i="22"/>
  <c r="D1506" i="22"/>
  <c r="C1507" i="22"/>
  <c r="D1507" i="22"/>
  <c r="C1508" i="22"/>
  <c r="D1508" i="22"/>
  <c r="C1509" i="22"/>
  <c r="D1509" i="22"/>
  <c r="C1510" i="22"/>
  <c r="D1510" i="22"/>
  <c r="C1511" i="22"/>
  <c r="D1511" i="22"/>
  <c r="C1512" i="22"/>
  <c r="D1512" i="22"/>
  <c r="C1513" i="22"/>
  <c r="D1513" i="22"/>
  <c r="C1514" i="22"/>
  <c r="D1514" i="22"/>
  <c r="C1515" i="22"/>
  <c r="D1515" i="22"/>
  <c r="C1516" i="22"/>
  <c r="D1516" i="22"/>
  <c r="C1517" i="22"/>
  <c r="D1517" i="22"/>
  <c r="C1518" i="22"/>
  <c r="D1518" i="22"/>
  <c r="C1519" i="22"/>
  <c r="D1519" i="22"/>
  <c r="C1520" i="22"/>
  <c r="D1520" i="22"/>
  <c r="C1521" i="22"/>
  <c r="D1521" i="22"/>
  <c r="C1522" i="22"/>
  <c r="D1522" i="22"/>
  <c r="C1523" i="22"/>
  <c r="D1523" i="22"/>
  <c r="C1524" i="22"/>
  <c r="D1524" i="22"/>
  <c r="C1525" i="22"/>
  <c r="D1525" i="22"/>
  <c r="C1526" i="22"/>
  <c r="D1526" i="22"/>
  <c r="C1527" i="22"/>
  <c r="D1527" i="22"/>
  <c r="C1528" i="22"/>
  <c r="D1528" i="22"/>
  <c r="C1529" i="22"/>
  <c r="D1529" i="22"/>
  <c r="C1530" i="22"/>
  <c r="D1530" i="22"/>
  <c r="C1531" i="22"/>
  <c r="D1531" i="22"/>
  <c r="C1532" i="22"/>
  <c r="D1532" i="22"/>
  <c r="C1533" i="22"/>
  <c r="D1533" i="22"/>
  <c r="C1534" i="22"/>
  <c r="D1534" i="22"/>
  <c r="C1535" i="22"/>
  <c r="D1535" i="22"/>
  <c r="C1536" i="22"/>
  <c r="D1536" i="22"/>
  <c r="C1537" i="22"/>
  <c r="D1537" i="22"/>
  <c r="C1538" i="22"/>
  <c r="D1538" i="22"/>
  <c r="C1539" i="22"/>
  <c r="D1539" i="22"/>
  <c r="C1540" i="22"/>
  <c r="D1540" i="22"/>
  <c r="C1541" i="22"/>
  <c r="D1541" i="22"/>
  <c r="C1542" i="22"/>
  <c r="D1542" i="22"/>
  <c r="C1543" i="22"/>
  <c r="D1543" i="22"/>
  <c r="C1544" i="22"/>
  <c r="D1544" i="22"/>
  <c r="C1545" i="22"/>
  <c r="D1545" i="22"/>
  <c r="C1546" i="22"/>
  <c r="D1546" i="22"/>
  <c r="C1547" i="22"/>
  <c r="D1547" i="22"/>
  <c r="C1548" i="22"/>
  <c r="D1548" i="22"/>
  <c r="C1549" i="22"/>
  <c r="D1549" i="22"/>
  <c r="C1550" i="22"/>
  <c r="D1550" i="22"/>
  <c r="C1551" i="22"/>
  <c r="D1551" i="22"/>
  <c r="C1552" i="22"/>
  <c r="D1552" i="22"/>
  <c r="C1553" i="22"/>
  <c r="D1553" i="22"/>
  <c r="C1554" i="22"/>
  <c r="D1554" i="22"/>
  <c r="C1555" i="22"/>
  <c r="D1555" i="22"/>
  <c r="C1556" i="22"/>
  <c r="D1556" i="22"/>
  <c r="C1557" i="22"/>
  <c r="D1557" i="22"/>
  <c r="C1558" i="22"/>
  <c r="D1558" i="22"/>
  <c r="C1559" i="22"/>
  <c r="D1559" i="22"/>
  <c r="C1560" i="22"/>
  <c r="D1560" i="22"/>
  <c r="C1561" i="22"/>
  <c r="D1561" i="22"/>
  <c r="C1562" i="22"/>
  <c r="D1562" i="22"/>
  <c r="C1563" i="22"/>
  <c r="D1563" i="22"/>
  <c r="C1564" i="22"/>
  <c r="D1564" i="22"/>
  <c r="C1565" i="22"/>
  <c r="D1565" i="22"/>
  <c r="C1566" i="22"/>
  <c r="D1566" i="22"/>
  <c r="C1567" i="22"/>
  <c r="D1567" i="22"/>
  <c r="C1568" i="22"/>
  <c r="D1568" i="22"/>
  <c r="C1569" i="22"/>
  <c r="D1569" i="22"/>
  <c r="C1570" i="22"/>
  <c r="D1570" i="22"/>
  <c r="C1571" i="22"/>
  <c r="D1571" i="22"/>
  <c r="C1572" i="22"/>
  <c r="D1572" i="22"/>
  <c r="C1573" i="22"/>
  <c r="D1573" i="22"/>
  <c r="C1574" i="22"/>
  <c r="D1574" i="22"/>
  <c r="C1575" i="22"/>
  <c r="D1575" i="22"/>
  <c r="C1576" i="22"/>
  <c r="D1576" i="22"/>
  <c r="C1577" i="22"/>
  <c r="D1577" i="22"/>
  <c r="C1578" i="22"/>
  <c r="D1578" i="22"/>
  <c r="C1579" i="22"/>
  <c r="D1579" i="22"/>
  <c r="C1580" i="22"/>
  <c r="D1580" i="22"/>
  <c r="C1581" i="22"/>
  <c r="D1581" i="22"/>
  <c r="C1582" i="22"/>
  <c r="D1582" i="22"/>
  <c r="C1583" i="22"/>
  <c r="D1583" i="22"/>
  <c r="C1584" i="22"/>
  <c r="D1584" i="22"/>
  <c r="C1585" i="22"/>
  <c r="D1585" i="22"/>
  <c r="C1586" i="22"/>
  <c r="D1586" i="22"/>
  <c r="C1587" i="22"/>
  <c r="D1587" i="22"/>
  <c r="C1588" i="22"/>
  <c r="D1588" i="22"/>
  <c r="C1589" i="22"/>
  <c r="D1589" i="22"/>
  <c r="C1590" i="22"/>
  <c r="D1590" i="22"/>
  <c r="C1591" i="22"/>
  <c r="D1591" i="22"/>
  <c r="C1592" i="22"/>
  <c r="D1592" i="22"/>
  <c r="C1593" i="22"/>
  <c r="D1593" i="22"/>
  <c r="C1594" i="22"/>
  <c r="D1594" i="22"/>
  <c r="C1595" i="22"/>
  <c r="D1595" i="22"/>
  <c r="C1596" i="22"/>
  <c r="D1596" i="22"/>
  <c r="C1597" i="22"/>
  <c r="D1597" i="22"/>
  <c r="C1598" i="22"/>
  <c r="D1598" i="22"/>
  <c r="C1599" i="22"/>
  <c r="D1599" i="22"/>
  <c r="C1600" i="22"/>
  <c r="D1600" i="22"/>
  <c r="C1601" i="22"/>
  <c r="D1601" i="22"/>
  <c r="C1602" i="22"/>
  <c r="D1602" i="22"/>
  <c r="C1603" i="22"/>
  <c r="D1603" i="22"/>
  <c r="C1604" i="22"/>
  <c r="D1604" i="22"/>
  <c r="C1605" i="22"/>
  <c r="D1605" i="22"/>
  <c r="C1606" i="22"/>
  <c r="D1606" i="22"/>
  <c r="C1607" i="22"/>
  <c r="D1607" i="22"/>
  <c r="C1608" i="22"/>
  <c r="D1608" i="22"/>
  <c r="C1609" i="22"/>
  <c r="D1609" i="22"/>
  <c r="C1610" i="22"/>
  <c r="D1610" i="22"/>
  <c r="C1611" i="22"/>
  <c r="D1611" i="22"/>
  <c r="C1612" i="22"/>
  <c r="D1612" i="22"/>
  <c r="C1613" i="22"/>
  <c r="D1613" i="22"/>
  <c r="C1614" i="22"/>
  <c r="D1614" i="22"/>
  <c r="C1615" i="22"/>
  <c r="D1615" i="22"/>
  <c r="C1616" i="22"/>
  <c r="D1616" i="22"/>
  <c r="C1617" i="22"/>
  <c r="D1617" i="22"/>
  <c r="C1618" i="22"/>
  <c r="D1618" i="22"/>
  <c r="C1619" i="22"/>
  <c r="D1619" i="22"/>
  <c r="C1620" i="22"/>
  <c r="D1620" i="22"/>
  <c r="C1621" i="22"/>
  <c r="D1621" i="22"/>
  <c r="C1622" i="22"/>
  <c r="D1622" i="22"/>
  <c r="C1623" i="22"/>
  <c r="D1623" i="22"/>
  <c r="C1624" i="22"/>
  <c r="D1624" i="22"/>
  <c r="C1625" i="22"/>
  <c r="D1625" i="22"/>
  <c r="C1626" i="22"/>
  <c r="D1626" i="22"/>
  <c r="C1627" i="22"/>
  <c r="D1627" i="22"/>
  <c r="C1628" i="22"/>
  <c r="D1628" i="22"/>
  <c r="C1629" i="22"/>
  <c r="D1629" i="22"/>
  <c r="C1630" i="22"/>
  <c r="D1630" i="22"/>
  <c r="C1631" i="22"/>
  <c r="D1631" i="22"/>
  <c r="C1632" i="22"/>
  <c r="D1632" i="22"/>
  <c r="C1633" i="22"/>
  <c r="D1633" i="22"/>
  <c r="C1634" i="22"/>
  <c r="D1634" i="22"/>
  <c r="C1635" i="22"/>
  <c r="D1635" i="22"/>
  <c r="C1636" i="22"/>
  <c r="D1636" i="22"/>
  <c r="C1637" i="22"/>
  <c r="D1637" i="22"/>
  <c r="C1638" i="22"/>
  <c r="D1638" i="22"/>
  <c r="C1639" i="22"/>
  <c r="D1639" i="22"/>
  <c r="C1640" i="22"/>
  <c r="D1640" i="22"/>
  <c r="C1641" i="22"/>
  <c r="D1641" i="22"/>
  <c r="C1642" i="22"/>
  <c r="D1642" i="22"/>
  <c r="C1643" i="22"/>
  <c r="D1643" i="22"/>
  <c r="C1644" i="22"/>
  <c r="D1644" i="22"/>
  <c r="C1645" i="22"/>
  <c r="D1645" i="22"/>
  <c r="C1646" i="22"/>
  <c r="D1646" i="22"/>
  <c r="C1647" i="22"/>
  <c r="D1647" i="22"/>
  <c r="C1648" i="22"/>
  <c r="D1648" i="22"/>
  <c r="C1649" i="22"/>
  <c r="D1649" i="22"/>
  <c r="C1650" i="22"/>
  <c r="D1650" i="22"/>
  <c r="C1651" i="22"/>
  <c r="D1651" i="22"/>
  <c r="C1652" i="22"/>
  <c r="D1652" i="22"/>
  <c r="C1653" i="22"/>
  <c r="D1653" i="22"/>
  <c r="C1654" i="22"/>
  <c r="D1654" i="22"/>
  <c r="C1655" i="22"/>
  <c r="D1655" i="22"/>
  <c r="C1656" i="22"/>
  <c r="D1656" i="22"/>
  <c r="C1657" i="22"/>
  <c r="D1657" i="22"/>
  <c r="C1658" i="22"/>
  <c r="D1658" i="22"/>
  <c r="C1659" i="22"/>
  <c r="D1659" i="22"/>
  <c r="C1660" i="22"/>
  <c r="D1660" i="22"/>
  <c r="C1661" i="22"/>
  <c r="D1661" i="22"/>
  <c r="C1662" i="22"/>
  <c r="D1662" i="22"/>
  <c r="C1663" i="22"/>
  <c r="D1663" i="22"/>
  <c r="C1664" i="22"/>
  <c r="D1664" i="22"/>
  <c r="C1665" i="22"/>
  <c r="D1665" i="22"/>
  <c r="C1666" i="22"/>
  <c r="D1666" i="22"/>
  <c r="C1667" i="22"/>
  <c r="D1667" i="22"/>
  <c r="C1668" i="22"/>
  <c r="D1668" i="22"/>
  <c r="C1669" i="22"/>
  <c r="D1669" i="22"/>
  <c r="C1670" i="22"/>
  <c r="D1670" i="22"/>
  <c r="C1671" i="22"/>
  <c r="D1671" i="22"/>
  <c r="C1672" i="22"/>
  <c r="D1672" i="22"/>
  <c r="C1673" i="22"/>
  <c r="D1673" i="22"/>
  <c r="C1674" i="22"/>
  <c r="D1674" i="22"/>
  <c r="C1675" i="22"/>
  <c r="D1675" i="22"/>
  <c r="C1676" i="22"/>
  <c r="D1676" i="22"/>
  <c r="C1677" i="22"/>
  <c r="D1677" i="22"/>
  <c r="C1678" i="22"/>
  <c r="D1678" i="22"/>
  <c r="C1679" i="22"/>
  <c r="D1679" i="22"/>
  <c r="C1680" i="22"/>
  <c r="D1680" i="22"/>
  <c r="C1681" i="22"/>
  <c r="D1681" i="22"/>
  <c r="C1682" i="22"/>
  <c r="D1682" i="22"/>
  <c r="C1683" i="22"/>
  <c r="D1683" i="22"/>
  <c r="C1684" i="22"/>
  <c r="D1684" i="22"/>
  <c r="C1685" i="22"/>
  <c r="D1685" i="22"/>
  <c r="C1686" i="22"/>
  <c r="D1686" i="22"/>
  <c r="C1687" i="22"/>
  <c r="D1687" i="22"/>
  <c r="C1688" i="22"/>
  <c r="D1688" i="22"/>
  <c r="C1689" i="22"/>
  <c r="D1689" i="22"/>
  <c r="C1690" i="22"/>
  <c r="D1690" i="22"/>
  <c r="C1691" i="22"/>
  <c r="D1691" i="22"/>
  <c r="C1692" i="22"/>
  <c r="D1692" i="22"/>
  <c r="C1693" i="22"/>
  <c r="D1693" i="22"/>
  <c r="C1694" i="22"/>
  <c r="D1694" i="22"/>
  <c r="C1695" i="22"/>
  <c r="D1695" i="22"/>
  <c r="C1696" i="22"/>
  <c r="D1696" i="22"/>
  <c r="C1697" i="22"/>
  <c r="D1697" i="22"/>
  <c r="C1698" i="22"/>
  <c r="D1698" i="22"/>
  <c r="C1699" i="22"/>
  <c r="D1699" i="22"/>
  <c r="C1700" i="22"/>
  <c r="D1700" i="22"/>
  <c r="C1701" i="22"/>
  <c r="D1701" i="22"/>
  <c r="C1702" i="22"/>
  <c r="D1702" i="22"/>
  <c r="C1703" i="22"/>
  <c r="D1703" i="22"/>
  <c r="C1704" i="22"/>
  <c r="D1704" i="22"/>
  <c r="C1705" i="22"/>
  <c r="D1705" i="22"/>
  <c r="C1706" i="22"/>
  <c r="D1706" i="22"/>
  <c r="C1707" i="22"/>
  <c r="D1707" i="22"/>
  <c r="C1708" i="22"/>
  <c r="D1708" i="22"/>
  <c r="C1709" i="22"/>
  <c r="D1709" i="22"/>
  <c r="C1710" i="22"/>
  <c r="D1710" i="22"/>
  <c r="C1711" i="22"/>
  <c r="D1711" i="22"/>
  <c r="C1712" i="22"/>
  <c r="D1712" i="22"/>
  <c r="C1713" i="22"/>
  <c r="D1713" i="22"/>
  <c r="C1714" i="22"/>
  <c r="D1714" i="22"/>
  <c r="C1715" i="22"/>
  <c r="D1715" i="22"/>
  <c r="C1716" i="22"/>
  <c r="D1716" i="22"/>
  <c r="C1717" i="22"/>
  <c r="D1717" i="22"/>
  <c r="C1718" i="22"/>
  <c r="D1718" i="22"/>
  <c r="C1719" i="22"/>
  <c r="D1719" i="22"/>
  <c r="C1720" i="22"/>
  <c r="D1720" i="22"/>
  <c r="C1721" i="22"/>
  <c r="D1721" i="22"/>
  <c r="C1722" i="22"/>
  <c r="D1722" i="22"/>
  <c r="C1723" i="22"/>
  <c r="D1723" i="22"/>
  <c r="C1724" i="22"/>
  <c r="D1724" i="22"/>
  <c r="C1725" i="22"/>
  <c r="D1725" i="22"/>
  <c r="C1726" i="22"/>
  <c r="D1726" i="22"/>
  <c r="C1727" i="22"/>
  <c r="D1727" i="22"/>
  <c r="C1728" i="22"/>
  <c r="D1728" i="22"/>
  <c r="C1729" i="22"/>
  <c r="D1729" i="22"/>
  <c r="C1730" i="22"/>
  <c r="D1730" i="22"/>
  <c r="C1731" i="22"/>
  <c r="D1731" i="22"/>
  <c r="C1732" i="22"/>
  <c r="D1732" i="22"/>
  <c r="C1733" i="22"/>
  <c r="D1733" i="22"/>
  <c r="C1734" i="22"/>
  <c r="D1734" i="22"/>
  <c r="C1735" i="22"/>
  <c r="D1735" i="22"/>
  <c r="C1736" i="22"/>
  <c r="D1736" i="22"/>
  <c r="C1737" i="22"/>
  <c r="D1737" i="22"/>
  <c r="C1738" i="22"/>
  <c r="D1738" i="22"/>
  <c r="C1739" i="22"/>
  <c r="D1739" i="22"/>
  <c r="C1740" i="22"/>
  <c r="D1740" i="22"/>
  <c r="C1741" i="22"/>
  <c r="D1741" i="22"/>
  <c r="C1742" i="22"/>
  <c r="D1742" i="22"/>
  <c r="C1743" i="22"/>
  <c r="D1743" i="22"/>
  <c r="C1744" i="22"/>
  <c r="D1744" i="22"/>
  <c r="C1745" i="22"/>
  <c r="D1745" i="22"/>
  <c r="C1746" i="22"/>
  <c r="D1746" i="22"/>
  <c r="C1747" i="22"/>
  <c r="D1747" i="22"/>
  <c r="C1748" i="22"/>
  <c r="D1748" i="22"/>
  <c r="C1749" i="22"/>
  <c r="D1749" i="22"/>
  <c r="C1750" i="22"/>
  <c r="D1750" i="22"/>
  <c r="C1751" i="22"/>
  <c r="D1751" i="22"/>
  <c r="C1752" i="22"/>
  <c r="D1752" i="22"/>
  <c r="C1753" i="22"/>
  <c r="D1753" i="22"/>
  <c r="C1754" i="22"/>
  <c r="D1754" i="22"/>
  <c r="C1755" i="22"/>
  <c r="D1755" i="22"/>
  <c r="C1756" i="22"/>
  <c r="D1756" i="22"/>
  <c r="C1757" i="22"/>
  <c r="D1757" i="22"/>
  <c r="C1758" i="22"/>
  <c r="D1758" i="22"/>
  <c r="C1759" i="22"/>
  <c r="D1759" i="22"/>
  <c r="C1760" i="22"/>
  <c r="D1760" i="22"/>
  <c r="C1761" i="22"/>
  <c r="D1761" i="22"/>
  <c r="C1762" i="22"/>
  <c r="D1762" i="22"/>
  <c r="C1763" i="22"/>
  <c r="D1763" i="22"/>
  <c r="C1764" i="22"/>
  <c r="D1764" i="22"/>
  <c r="C1765" i="22"/>
  <c r="D1765" i="22"/>
  <c r="C1766" i="22"/>
  <c r="D1766" i="22"/>
  <c r="C1767" i="22"/>
  <c r="D1767" i="22"/>
  <c r="C1768" i="22"/>
  <c r="D1768" i="22"/>
  <c r="C1769" i="22"/>
  <c r="D1769" i="22"/>
  <c r="C1770" i="22"/>
  <c r="D1770" i="22"/>
  <c r="C1771" i="22"/>
  <c r="D1771" i="22"/>
  <c r="C1772" i="22"/>
  <c r="D1772" i="22"/>
  <c r="C1773" i="22"/>
  <c r="D1773" i="22"/>
  <c r="C1774" i="22"/>
  <c r="D1774" i="22"/>
  <c r="C1775" i="22"/>
  <c r="D1775" i="22"/>
  <c r="C1776" i="22"/>
  <c r="D1776" i="22"/>
  <c r="C1777" i="22"/>
  <c r="D1777" i="22"/>
  <c r="C1778" i="22"/>
  <c r="D1778" i="22"/>
  <c r="C1779" i="22"/>
  <c r="D1779" i="22"/>
  <c r="C1780" i="22"/>
  <c r="D1780" i="22"/>
  <c r="C1781" i="22"/>
  <c r="D1781" i="22"/>
  <c r="C1782" i="22"/>
  <c r="D1782" i="22"/>
  <c r="C1783" i="22"/>
  <c r="D1783" i="22"/>
  <c r="C1784" i="22"/>
  <c r="D1784" i="22"/>
  <c r="C1785" i="22"/>
  <c r="D1785" i="22"/>
  <c r="C1786" i="22"/>
  <c r="D1786" i="22"/>
  <c r="C1787" i="22"/>
  <c r="D1787" i="22"/>
  <c r="C1788" i="22"/>
  <c r="D1788" i="22"/>
  <c r="C1789" i="22"/>
  <c r="D1789" i="22"/>
  <c r="C1790" i="22"/>
  <c r="D1790" i="22"/>
  <c r="C1791" i="22"/>
  <c r="D1791" i="22"/>
  <c r="C1792" i="22"/>
  <c r="D1792" i="22"/>
  <c r="C1793" i="22"/>
  <c r="D1793" i="22"/>
  <c r="C1794" i="22"/>
  <c r="D1794" i="22"/>
  <c r="C1795" i="22"/>
  <c r="D1795" i="22"/>
  <c r="C1796" i="22"/>
  <c r="D1796" i="22"/>
  <c r="C1797" i="22"/>
  <c r="D1797" i="22"/>
  <c r="C1798" i="22"/>
  <c r="D1798" i="22"/>
  <c r="C1799" i="22"/>
  <c r="D1799" i="22"/>
  <c r="C1800" i="22"/>
  <c r="D1800" i="22"/>
  <c r="C1801" i="22"/>
  <c r="D1801" i="22"/>
  <c r="C1802" i="22"/>
  <c r="D1802" i="22"/>
  <c r="C1803" i="22"/>
  <c r="D1803" i="22"/>
  <c r="C1804" i="22"/>
  <c r="D1804" i="22"/>
  <c r="C1805" i="22"/>
  <c r="D1805" i="22"/>
  <c r="C1806" i="22"/>
  <c r="D1806" i="22"/>
  <c r="C1807" i="22"/>
  <c r="D1807" i="22"/>
  <c r="C1808" i="22"/>
  <c r="D1808" i="22"/>
  <c r="C1809" i="22"/>
  <c r="D1809" i="22"/>
  <c r="C1810" i="22"/>
  <c r="D1810" i="22"/>
  <c r="C1811" i="22"/>
  <c r="D1811" i="22"/>
  <c r="C1812" i="22"/>
  <c r="D1812" i="22"/>
  <c r="C1813" i="22"/>
  <c r="D1813" i="22"/>
  <c r="C1814" i="22"/>
  <c r="D1814" i="22"/>
  <c r="C1815" i="22"/>
  <c r="D1815" i="22"/>
  <c r="C1816" i="22"/>
  <c r="D1816" i="22"/>
  <c r="C1817" i="22"/>
  <c r="D1817" i="22"/>
  <c r="C1818" i="22"/>
  <c r="D1818" i="22"/>
  <c r="C1819" i="22"/>
  <c r="D1819" i="22"/>
  <c r="C1820" i="22"/>
  <c r="D1820" i="22"/>
  <c r="C1821" i="22"/>
  <c r="D1821" i="22"/>
  <c r="C1822" i="22"/>
  <c r="D1822" i="22"/>
  <c r="C1823" i="22"/>
  <c r="D1823" i="22"/>
  <c r="C1824" i="22"/>
  <c r="D1824" i="22"/>
  <c r="C1825" i="22"/>
  <c r="D1825" i="22"/>
  <c r="C1826" i="22"/>
  <c r="D1826" i="22"/>
  <c r="C1827" i="22"/>
  <c r="D1827" i="22"/>
  <c r="C1828" i="22"/>
  <c r="D1828" i="22"/>
  <c r="C1829" i="22"/>
  <c r="D1829" i="22"/>
  <c r="C1830" i="22"/>
  <c r="D1830" i="22"/>
  <c r="C1831" i="22"/>
  <c r="D1831" i="22"/>
  <c r="C1832" i="22"/>
  <c r="D1832" i="22"/>
  <c r="C1833" i="22"/>
  <c r="D1833" i="22"/>
  <c r="C1834" i="22"/>
  <c r="D1834" i="22"/>
  <c r="C1835" i="22"/>
  <c r="D1835" i="22"/>
  <c r="C1836" i="22"/>
  <c r="D1836" i="22"/>
  <c r="C1837" i="22"/>
  <c r="D1837" i="22"/>
  <c r="C1838" i="22"/>
  <c r="D1838" i="22"/>
  <c r="C1839" i="22"/>
  <c r="D1839" i="22"/>
  <c r="C1840" i="22"/>
  <c r="D1840" i="22"/>
  <c r="C1841" i="22"/>
  <c r="D1841" i="22"/>
  <c r="C1842" i="22"/>
  <c r="D1842" i="22"/>
  <c r="C1843" i="22"/>
  <c r="D1843" i="22"/>
  <c r="C1844" i="22"/>
  <c r="D1844" i="22"/>
  <c r="C1845" i="22"/>
  <c r="D1845" i="22"/>
  <c r="C1846" i="22"/>
  <c r="D1846" i="22"/>
  <c r="C1847" i="22"/>
  <c r="D1847" i="22"/>
  <c r="C1848" i="22"/>
  <c r="D1848" i="22"/>
  <c r="C1849" i="22"/>
  <c r="D1849" i="22"/>
  <c r="C1850" i="22"/>
  <c r="D1850" i="22"/>
  <c r="C1851" i="22"/>
  <c r="D1851" i="22"/>
  <c r="C1852" i="22"/>
  <c r="D1852" i="22"/>
  <c r="C1853" i="22"/>
  <c r="D1853" i="22"/>
  <c r="C1854" i="22"/>
  <c r="D1854" i="22"/>
  <c r="C1855" i="22"/>
  <c r="D1855" i="22"/>
  <c r="C1856" i="22"/>
  <c r="D1856" i="22"/>
  <c r="C1857" i="22"/>
  <c r="D1857" i="22"/>
  <c r="D1" i="22"/>
  <c r="C1" i="22"/>
  <c r="B2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508" i="22"/>
  <c r="B509" i="22"/>
  <c r="B510" i="22"/>
  <c r="B511" i="22"/>
  <c r="B512" i="22"/>
  <c r="B513" i="22"/>
  <c r="B514" i="22"/>
  <c r="B515" i="22"/>
  <c r="B516" i="22"/>
  <c r="B517" i="22"/>
  <c r="B518" i="22"/>
  <c r="B519" i="22"/>
  <c r="B520" i="22"/>
  <c r="B521" i="22"/>
  <c r="B522" i="22"/>
  <c r="B523" i="22"/>
  <c r="B524" i="22"/>
  <c r="B525" i="22"/>
  <c r="B526" i="22"/>
  <c r="B527" i="22"/>
  <c r="B528" i="22"/>
  <c r="B529" i="22"/>
  <c r="B530" i="22"/>
  <c r="B531" i="22"/>
  <c r="B532" i="22"/>
  <c r="B533" i="22"/>
  <c r="B534" i="22"/>
  <c r="B535" i="22"/>
  <c r="B536" i="22"/>
  <c r="B537" i="22"/>
  <c r="B538" i="22"/>
  <c r="B539" i="22"/>
  <c r="B540" i="22"/>
  <c r="B541" i="22"/>
  <c r="B542" i="22"/>
  <c r="B543" i="22"/>
  <c r="B544" i="22"/>
  <c r="B545" i="22"/>
  <c r="B546" i="22"/>
  <c r="B547" i="22"/>
  <c r="B548" i="22"/>
  <c r="B549" i="22"/>
  <c r="B550" i="22"/>
  <c r="B551" i="22"/>
  <c r="B552" i="22"/>
  <c r="B553" i="22"/>
  <c r="B554" i="22"/>
  <c r="B555" i="22"/>
  <c r="B556" i="22"/>
  <c r="B557" i="22"/>
  <c r="B558" i="22"/>
  <c r="B559" i="22"/>
  <c r="B560" i="22"/>
  <c r="B561" i="22"/>
  <c r="B562" i="22"/>
  <c r="B563" i="22"/>
  <c r="B564" i="22"/>
  <c r="B565" i="22"/>
  <c r="B566" i="22"/>
  <c r="B567" i="22"/>
  <c r="B568" i="22"/>
  <c r="B569" i="22"/>
  <c r="B570" i="22"/>
  <c r="B571" i="22"/>
  <c r="B572" i="22"/>
  <c r="B573" i="22"/>
  <c r="B574" i="22"/>
  <c r="B575" i="22"/>
  <c r="B576" i="22"/>
  <c r="B577" i="22"/>
  <c r="B578" i="22"/>
  <c r="B579" i="22"/>
  <c r="B580" i="22"/>
  <c r="B581" i="22"/>
  <c r="B582" i="22"/>
  <c r="B583" i="22"/>
  <c r="B584" i="22"/>
  <c r="B585" i="22"/>
  <c r="B586" i="22"/>
  <c r="B587" i="22"/>
  <c r="B588" i="22"/>
  <c r="B589" i="22"/>
  <c r="B590" i="22"/>
  <c r="B591" i="22"/>
  <c r="B592" i="22"/>
  <c r="B593" i="22"/>
  <c r="B594" i="22"/>
  <c r="B595" i="22"/>
  <c r="B596" i="22"/>
  <c r="B597" i="22"/>
  <c r="B598" i="22"/>
  <c r="B599" i="22"/>
  <c r="B600" i="22"/>
  <c r="B601" i="22"/>
  <c r="B602" i="22"/>
  <c r="B603" i="22"/>
  <c r="B604" i="22"/>
  <c r="B605" i="22"/>
  <c r="B606" i="22"/>
  <c r="B607" i="22"/>
  <c r="B608" i="22"/>
  <c r="B609" i="22"/>
  <c r="B610" i="22"/>
  <c r="B611" i="22"/>
  <c r="B612" i="22"/>
  <c r="B613" i="22"/>
  <c r="B614" i="22"/>
  <c r="B615" i="22"/>
  <c r="B616" i="22"/>
  <c r="B617" i="22"/>
  <c r="B618" i="22"/>
  <c r="B619" i="22"/>
  <c r="B620" i="22"/>
  <c r="B621" i="22"/>
  <c r="B622" i="22"/>
  <c r="B623" i="22"/>
  <c r="B624" i="22"/>
  <c r="B625" i="22"/>
  <c r="B626" i="22"/>
  <c r="B627" i="22"/>
  <c r="B628" i="22"/>
  <c r="B629" i="22"/>
  <c r="B630" i="22"/>
  <c r="B631" i="22"/>
  <c r="B632" i="22"/>
  <c r="B633" i="22"/>
  <c r="B634" i="22"/>
  <c r="B635" i="22"/>
  <c r="B636" i="22"/>
  <c r="B637" i="22"/>
  <c r="B638" i="22"/>
  <c r="B639" i="22"/>
  <c r="B640" i="22"/>
  <c r="B641" i="22"/>
  <c r="B642" i="22"/>
  <c r="B643" i="22"/>
  <c r="B644" i="22"/>
  <c r="B645" i="22"/>
  <c r="B646" i="22"/>
  <c r="B647" i="22"/>
  <c r="B648" i="22"/>
  <c r="B649" i="22"/>
  <c r="B650" i="22"/>
  <c r="B651" i="22"/>
  <c r="B652" i="22"/>
  <c r="B653" i="22"/>
  <c r="B654" i="22"/>
  <c r="B655" i="22"/>
  <c r="B656" i="22"/>
  <c r="B657" i="22"/>
  <c r="B658" i="22"/>
  <c r="B659" i="22"/>
  <c r="B660" i="22"/>
  <c r="B661" i="22"/>
  <c r="B662" i="22"/>
  <c r="B663" i="22"/>
  <c r="B664" i="22"/>
  <c r="B665" i="22"/>
  <c r="B666" i="22"/>
  <c r="B667" i="22"/>
  <c r="B668" i="22"/>
  <c r="B669" i="22"/>
  <c r="B670" i="22"/>
  <c r="B671" i="22"/>
  <c r="B672" i="22"/>
  <c r="B673" i="22"/>
  <c r="B674" i="22"/>
  <c r="B675" i="22"/>
  <c r="B676" i="22"/>
  <c r="B677" i="22"/>
  <c r="B678" i="22"/>
  <c r="B679" i="22"/>
  <c r="B680" i="22"/>
  <c r="B681" i="22"/>
  <c r="B682" i="22"/>
  <c r="B683" i="22"/>
  <c r="B684" i="22"/>
  <c r="B685" i="22"/>
  <c r="B686" i="22"/>
  <c r="B687" i="22"/>
  <c r="B688" i="22"/>
  <c r="B689" i="22"/>
  <c r="B690" i="22"/>
  <c r="B691" i="22"/>
  <c r="B692" i="22"/>
  <c r="B693" i="22"/>
  <c r="B694" i="22"/>
  <c r="B695" i="22"/>
  <c r="B696" i="22"/>
  <c r="B697" i="22"/>
  <c r="B698" i="22"/>
  <c r="B699" i="22"/>
  <c r="B700" i="22"/>
  <c r="B701" i="22"/>
  <c r="B702" i="22"/>
  <c r="B703" i="22"/>
  <c r="B704" i="22"/>
  <c r="B705" i="22"/>
  <c r="B706" i="22"/>
  <c r="B707" i="22"/>
  <c r="B708" i="22"/>
  <c r="B709" i="22"/>
  <c r="B710" i="22"/>
  <c r="B711" i="22"/>
  <c r="B712" i="22"/>
  <c r="B713" i="22"/>
  <c r="B714" i="22"/>
  <c r="B715" i="22"/>
  <c r="B716" i="22"/>
  <c r="B717" i="22"/>
  <c r="B718" i="22"/>
  <c r="B719" i="22"/>
  <c r="B720" i="22"/>
  <c r="B721" i="22"/>
  <c r="B722" i="22"/>
  <c r="B723" i="22"/>
  <c r="B724" i="22"/>
  <c r="B725" i="22"/>
  <c r="B726" i="22"/>
  <c r="B727" i="22"/>
  <c r="B728" i="22"/>
  <c r="B729" i="22"/>
  <c r="B730" i="22"/>
  <c r="B731" i="22"/>
  <c r="B732" i="22"/>
  <c r="B733" i="22"/>
  <c r="B734" i="22"/>
  <c r="B735" i="22"/>
  <c r="B736" i="22"/>
  <c r="B737" i="22"/>
  <c r="B738" i="22"/>
  <c r="B739" i="22"/>
  <c r="B740" i="22"/>
  <c r="B741" i="22"/>
  <c r="B742" i="22"/>
  <c r="B743" i="22"/>
  <c r="B744" i="22"/>
  <c r="B745" i="22"/>
  <c r="B746" i="22"/>
  <c r="B747" i="22"/>
  <c r="B748" i="22"/>
  <c r="B749" i="22"/>
  <c r="B750" i="22"/>
  <c r="B751" i="22"/>
  <c r="B752" i="22"/>
  <c r="B753" i="22"/>
  <c r="B754" i="22"/>
  <c r="B755" i="22"/>
  <c r="B756" i="22"/>
  <c r="B757" i="22"/>
  <c r="B758" i="22"/>
  <c r="B759" i="22"/>
  <c r="B760" i="22"/>
  <c r="B761" i="22"/>
  <c r="B762" i="22"/>
  <c r="B763" i="22"/>
  <c r="B764" i="22"/>
  <c r="B765" i="22"/>
  <c r="B766" i="22"/>
  <c r="B767" i="22"/>
  <c r="B768" i="22"/>
  <c r="B769" i="22"/>
  <c r="B770" i="22"/>
  <c r="B771" i="22"/>
  <c r="B772" i="22"/>
  <c r="B773" i="22"/>
  <c r="B774" i="22"/>
  <c r="B775" i="22"/>
  <c r="B776" i="22"/>
  <c r="B777" i="22"/>
  <c r="B778" i="22"/>
  <c r="B779" i="22"/>
  <c r="B780" i="22"/>
  <c r="B781" i="22"/>
  <c r="B782" i="22"/>
  <c r="B783" i="22"/>
  <c r="B784" i="22"/>
  <c r="B785" i="22"/>
  <c r="B786" i="22"/>
  <c r="B787" i="22"/>
  <c r="B788" i="22"/>
  <c r="B789" i="22"/>
  <c r="B790" i="22"/>
  <c r="B791" i="22"/>
  <c r="B792" i="22"/>
  <c r="B793" i="22"/>
  <c r="B794" i="22"/>
  <c r="B795" i="22"/>
  <c r="B796" i="22"/>
  <c r="B797" i="22"/>
  <c r="B798" i="22"/>
  <c r="B799" i="22"/>
  <c r="B800" i="22"/>
  <c r="B801" i="22"/>
  <c r="B802" i="22"/>
  <c r="B803" i="22"/>
  <c r="B804" i="22"/>
  <c r="B805" i="22"/>
  <c r="B806" i="22"/>
  <c r="B807" i="22"/>
  <c r="B808" i="22"/>
  <c r="B809" i="22"/>
  <c r="B810" i="22"/>
  <c r="B811" i="22"/>
  <c r="B812" i="22"/>
  <c r="B813" i="22"/>
  <c r="B814" i="22"/>
  <c r="B815" i="22"/>
  <c r="B816" i="22"/>
  <c r="B817" i="22"/>
  <c r="B818" i="22"/>
  <c r="B819" i="22"/>
  <c r="B820" i="22"/>
  <c r="B821" i="22"/>
  <c r="B822" i="22"/>
  <c r="B823" i="22"/>
  <c r="B824" i="22"/>
  <c r="B825" i="22"/>
  <c r="B826" i="22"/>
  <c r="B827" i="22"/>
  <c r="B828" i="22"/>
  <c r="B829" i="22"/>
  <c r="B830" i="22"/>
  <c r="B831" i="22"/>
  <c r="B832" i="22"/>
  <c r="B833" i="22"/>
  <c r="B834" i="22"/>
  <c r="B835" i="22"/>
  <c r="B836" i="22"/>
  <c r="B837" i="22"/>
  <c r="B838" i="22"/>
  <c r="B839" i="22"/>
  <c r="B840" i="22"/>
  <c r="B841" i="22"/>
  <c r="B842" i="22"/>
  <c r="B843" i="22"/>
  <c r="B844" i="22"/>
  <c r="B845" i="22"/>
  <c r="B846" i="22"/>
  <c r="B847" i="22"/>
  <c r="B848" i="22"/>
  <c r="B849" i="22"/>
  <c r="B850" i="22"/>
  <c r="B851" i="22"/>
  <c r="B852" i="22"/>
  <c r="B853" i="22"/>
  <c r="B854" i="22"/>
  <c r="B855" i="22"/>
  <c r="B856" i="22"/>
  <c r="B857" i="22"/>
  <c r="B858" i="22"/>
  <c r="B859" i="22"/>
  <c r="B860" i="22"/>
  <c r="B861" i="22"/>
  <c r="B862" i="22"/>
  <c r="B863" i="22"/>
  <c r="B864" i="22"/>
  <c r="B865" i="22"/>
  <c r="B866" i="22"/>
  <c r="B867" i="22"/>
  <c r="B868" i="22"/>
  <c r="B869" i="22"/>
  <c r="B870" i="22"/>
  <c r="B871" i="22"/>
  <c r="B872" i="22"/>
  <c r="B873" i="22"/>
  <c r="B874" i="22"/>
  <c r="B875" i="22"/>
  <c r="B876" i="22"/>
  <c r="B877" i="22"/>
  <c r="B878" i="22"/>
  <c r="B879" i="22"/>
  <c r="B880" i="22"/>
  <c r="B881" i="22"/>
  <c r="B882" i="22"/>
  <c r="B883" i="22"/>
  <c r="B884" i="22"/>
  <c r="B885" i="22"/>
  <c r="B886" i="22"/>
  <c r="B887" i="22"/>
  <c r="B888" i="22"/>
  <c r="B889" i="22"/>
  <c r="B890" i="22"/>
  <c r="B891" i="22"/>
  <c r="B892" i="22"/>
  <c r="B893" i="22"/>
  <c r="B894" i="22"/>
  <c r="B895" i="22"/>
  <c r="B896" i="22"/>
  <c r="B897" i="22"/>
  <c r="B898" i="22"/>
  <c r="B899" i="22"/>
  <c r="B900" i="22"/>
  <c r="B901" i="22"/>
  <c r="B902" i="22"/>
  <c r="B903" i="22"/>
  <c r="B904" i="22"/>
  <c r="B905" i="22"/>
  <c r="B906" i="22"/>
  <c r="B907" i="22"/>
  <c r="B908" i="22"/>
  <c r="B909" i="22"/>
  <c r="B910" i="22"/>
  <c r="B911" i="22"/>
  <c r="B912" i="22"/>
  <c r="B913" i="22"/>
  <c r="B914" i="22"/>
  <c r="B915" i="22"/>
  <c r="B916" i="22"/>
  <c r="B917" i="22"/>
  <c r="B918" i="22"/>
  <c r="B919" i="22"/>
  <c r="B920" i="22"/>
  <c r="B921" i="22"/>
  <c r="B922" i="22"/>
  <c r="B923" i="22"/>
  <c r="B924" i="22"/>
  <c r="B925" i="22"/>
  <c r="B926" i="22"/>
  <c r="B927" i="22"/>
  <c r="B928" i="22"/>
  <c r="B929" i="22"/>
  <c r="B930" i="22"/>
  <c r="B931" i="22"/>
  <c r="B932" i="22"/>
  <c r="B933" i="22"/>
  <c r="B934" i="22"/>
  <c r="B935" i="22"/>
  <c r="B936" i="22"/>
  <c r="B937" i="22"/>
  <c r="B938" i="22"/>
  <c r="B939" i="22"/>
  <c r="B940" i="22"/>
  <c r="B941" i="22"/>
  <c r="B942" i="22"/>
  <c r="B943" i="22"/>
  <c r="B944" i="22"/>
  <c r="B945" i="22"/>
  <c r="B946" i="22"/>
  <c r="B947" i="22"/>
  <c r="B948" i="22"/>
  <c r="B949" i="22"/>
  <c r="B950" i="22"/>
  <c r="B951" i="22"/>
  <c r="B952" i="22"/>
  <c r="B953" i="22"/>
  <c r="B954" i="22"/>
  <c r="B955" i="22"/>
  <c r="B956" i="22"/>
  <c r="B957" i="22"/>
  <c r="B958" i="22"/>
  <c r="B959" i="22"/>
  <c r="B960" i="22"/>
  <c r="B961" i="22"/>
  <c r="B962" i="22"/>
  <c r="B963" i="22"/>
  <c r="B964" i="22"/>
  <c r="B965" i="22"/>
  <c r="B966" i="22"/>
  <c r="B967" i="22"/>
  <c r="B968" i="22"/>
  <c r="B969" i="22"/>
  <c r="B970" i="22"/>
  <c r="B971" i="22"/>
  <c r="B972" i="22"/>
  <c r="B973" i="22"/>
  <c r="B974" i="22"/>
  <c r="B975" i="22"/>
  <c r="B976" i="22"/>
  <c r="B977" i="22"/>
  <c r="B978" i="22"/>
  <c r="B979" i="22"/>
  <c r="B980" i="22"/>
  <c r="B981" i="22"/>
  <c r="B982" i="22"/>
  <c r="B983" i="22"/>
  <c r="B984" i="22"/>
  <c r="B985" i="22"/>
  <c r="B986" i="22"/>
  <c r="B987" i="22"/>
  <c r="B988" i="22"/>
  <c r="B989" i="22"/>
  <c r="B990" i="22"/>
  <c r="B991" i="22"/>
  <c r="B992" i="22"/>
  <c r="B993" i="22"/>
  <c r="B994" i="22"/>
  <c r="B995" i="22"/>
  <c r="B996" i="22"/>
  <c r="B997" i="22"/>
  <c r="B998" i="22"/>
  <c r="B999" i="22"/>
  <c r="B1000" i="22"/>
  <c r="B1001" i="22"/>
  <c r="B1002" i="22"/>
  <c r="B1003" i="22"/>
  <c r="B1004" i="22"/>
  <c r="B1005" i="22"/>
  <c r="B1006" i="22"/>
  <c r="B1007" i="22"/>
  <c r="B1008" i="22"/>
  <c r="B1009" i="22"/>
  <c r="B1010" i="22"/>
  <c r="B1011" i="22"/>
  <c r="B1012" i="22"/>
  <c r="B1013" i="22"/>
  <c r="B1014" i="22"/>
  <c r="B1015" i="22"/>
  <c r="B1016" i="22"/>
  <c r="B1017" i="22"/>
  <c r="B1018" i="22"/>
  <c r="B1019" i="22"/>
  <c r="B1020" i="22"/>
  <c r="B1021" i="22"/>
  <c r="B1022" i="22"/>
  <c r="B1023" i="22"/>
  <c r="B1024" i="22"/>
  <c r="B1025" i="22"/>
  <c r="B1026" i="22"/>
  <c r="B1027" i="22"/>
  <c r="B1028" i="22"/>
  <c r="B1029" i="22"/>
  <c r="B1030" i="22"/>
  <c r="B1031" i="22"/>
  <c r="B1032" i="22"/>
  <c r="B1033" i="22"/>
  <c r="B1034" i="22"/>
  <c r="B1035" i="22"/>
  <c r="B1036" i="22"/>
  <c r="B1037" i="22"/>
  <c r="B1038" i="22"/>
  <c r="B1039" i="22"/>
  <c r="B1040" i="22"/>
  <c r="B1041" i="22"/>
  <c r="B1042" i="22"/>
  <c r="B1043" i="22"/>
  <c r="B1044" i="22"/>
  <c r="B1045" i="22"/>
  <c r="B1046" i="22"/>
  <c r="B1047" i="22"/>
  <c r="B1048" i="22"/>
  <c r="B1049" i="22"/>
  <c r="B1050" i="22"/>
  <c r="B1051" i="22"/>
  <c r="B1052" i="22"/>
  <c r="B1053" i="22"/>
  <c r="B1054" i="22"/>
  <c r="B1055" i="22"/>
  <c r="B1056" i="22"/>
  <c r="B1057" i="22"/>
  <c r="B1058" i="22"/>
  <c r="B1059" i="22"/>
  <c r="B1060" i="22"/>
  <c r="B1061" i="22"/>
  <c r="B1062" i="22"/>
  <c r="B1063" i="22"/>
  <c r="B1064" i="22"/>
  <c r="B1065" i="22"/>
  <c r="B1066" i="22"/>
  <c r="B1067" i="22"/>
  <c r="B1068" i="22"/>
  <c r="B1069" i="22"/>
  <c r="B1070" i="22"/>
  <c r="B1071" i="22"/>
  <c r="B1072" i="22"/>
  <c r="B1073" i="22"/>
  <c r="B1074" i="22"/>
  <c r="B1075" i="22"/>
  <c r="B1076" i="22"/>
  <c r="B1077" i="22"/>
  <c r="B1078" i="22"/>
  <c r="B1079" i="22"/>
  <c r="B1080" i="22"/>
  <c r="B1081" i="22"/>
  <c r="B1082" i="22"/>
  <c r="B1083" i="22"/>
  <c r="B1084" i="22"/>
  <c r="B1085" i="22"/>
  <c r="B1086" i="22"/>
  <c r="B1087" i="22"/>
  <c r="B1088" i="22"/>
  <c r="B1089" i="22"/>
  <c r="B1090" i="22"/>
  <c r="B1091" i="22"/>
  <c r="B1092" i="22"/>
  <c r="B1093" i="22"/>
  <c r="B1094" i="22"/>
  <c r="B1095" i="22"/>
  <c r="B1096" i="22"/>
  <c r="B1097" i="22"/>
  <c r="B1098" i="22"/>
  <c r="B1099" i="22"/>
  <c r="B1100" i="22"/>
  <c r="B1101" i="22"/>
  <c r="B1102" i="22"/>
  <c r="B1103" i="22"/>
  <c r="B1104" i="22"/>
  <c r="B1105" i="22"/>
  <c r="B1106" i="22"/>
  <c r="B1107" i="22"/>
  <c r="B1108" i="22"/>
  <c r="B1109" i="22"/>
  <c r="B1110" i="22"/>
  <c r="B1111" i="22"/>
  <c r="B1112" i="22"/>
  <c r="B1113" i="22"/>
  <c r="B1114" i="22"/>
  <c r="B1115" i="22"/>
  <c r="B1116" i="22"/>
  <c r="B1117" i="22"/>
  <c r="B1118" i="22"/>
  <c r="B1119" i="22"/>
  <c r="B1120" i="22"/>
  <c r="B1121" i="22"/>
  <c r="B1122" i="22"/>
  <c r="B1123" i="22"/>
  <c r="B1124" i="22"/>
  <c r="B1125" i="22"/>
  <c r="B1126" i="22"/>
  <c r="B1127" i="22"/>
  <c r="B1128" i="22"/>
  <c r="B1129" i="22"/>
  <c r="B1130" i="22"/>
  <c r="B1131" i="22"/>
  <c r="B1132" i="22"/>
  <c r="B1133" i="22"/>
  <c r="B1134" i="22"/>
  <c r="B1135" i="22"/>
  <c r="B1136" i="22"/>
  <c r="B1137" i="22"/>
  <c r="B1138" i="22"/>
  <c r="B1139" i="22"/>
  <c r="B1140" i="22"/>
  <c r="B1141" i="22"/>
  <c r="B1142" i="22"/>
  <c r="B1143" i="22"/>
  <c r="B1144" i="22"/>
  <c r="B1145" i="22"/>
  <c r="B1146" i="22"/>
  <c r="B1147" i="22"/>
  <c r="B1148" i="22"/>
  <c r="B1149" i="22"/>
  <c r="B1150" i="22"/>
  <c r="B1151" i="22"/>
  <c r="B1152" i="22"/>
  <c r="B1153" i="22"/>
  <c r="B1154" i="22"/>
  <c r="B1155" i="22"/>
  <c r="B1156" i="22"/>
  <c r="B1157" i="22"/>
  <c r="B1158" i="22"/>
  <c r="B1159" i="22"/>
  <c r="B1160" i="22"/>
  <c r="B1161" i="22"/>
  <c r="B1162" i="22"/>
  <c r="B1163" i="22"/>
  <c r="B1164" i="22"/>
  <c r="B1165" i="22"/>
  <c r="B1166" i="22"/>
  <c r="B1167" i="22"/>
  <c r="B1168" i="22"/>
  <c r="B1169" i="22"/>
  <c r="B1170" i="22"/>
  <c r="B1171" i="22"/>
  <c r="B1172" i="22"/>
  <c r="B1173" i="22"/>
  <c r="B1174" i="22"/>
  <c r="B1175" i="22"/>
  <c r="B1176" i="22"/>
  <c r="B1177" i="22"/>
  <c r="B1178" i="22"/>
  <c r="B1179" i="22"/>
  <c r="B1180" i="22"/>
  <c r="B1181" i="22"/>
  <c r="B1182" i="22"/>
  <c r="B1183" i="22"/>
  <c r="B1184" i="22"/>
  <c r="B1185" i="22"/>
  <c r="B1186" i="22"/>
  <c r="B1187" i="22"/>
  <c r="B1188" i="22"/>
  <c r="B1189" i="22"/>
  <c r="B1190" i="22"/>
  <c r="B1191" i="22"/>
  <c r="B1192" i="22"/>
  <c r="B1193" i="22"/>
  <c r="B1194" i="22"/>
  <c r="B1195" i="22"/>
  <c r="B1196" i="22"/>
  <c r="B1197" i="22"/>
  <c r="B1198" i="22"/>
  <c r="B1199" i="22"/>
  <c r="B1200" i="22"/>
  <c r="B1201" i="22"/>
  <c r="B1202" i="22"/>
  <c r="B1203" i="22"/>
  <c r="B1204" i="22"/>
  <c r="B1205" i="22"/>
  <c r="B1206" i="22"/>
  <c r="B1207" i="22"/>
  <c r="B1208" i="22"/>
  <c r="B1209" i="22"/>
  <c r="B1210" i="22"/>
  <c r="B1211" i="22"/>
  <c r="B1212" i="22"/>
  <c r="B1213" i="22"/>
  <c r="B1214" i="22"/>
  <c r="B1215" i="22"/>
  <c r="B1216" i="22"/>
  <c r="B1217" i="22"/>
  <c r="B1218" i="22"/>
  <c r="B1219" i="22"/>
  <c r="B1220" i="22"/>
  <c r="B1221" i="22"/>
  <c r="B1222" i="22"/>
  <c r="B1223" i="22"/>
  <c r="B1224" i="22"/>
  <c r="B1225" i="22"/>
  <c r="B1226" i="22"/>
  <c r="B1227" i="22"/>
  <c r="B1228" i="22"/>
  <c r="B1229" i="22"/>
  <c r="B1230" i="22"/>
  <c r="B1231" i="22"/>
  <c r="B1232" i="22"/>
  <c r="B1233" i="22"/>
  <c r="B1234" i="22"/>
  <c r="B1235" i="22"/>
  <c r="B1236" i="22"/>
  <c r="B1237" i="22"/>
  <c r="B1238" i="22"/>
  <c r="B1239" i="22"/>
  <c r="B1240" i="22"/>
  <c r="B1241" i="22"/>
  <c r="B1242" i="22"/>
  <c r="B1243" i="22"/>
  <c r="B1244" i="22"/>
  <c r="B1245" i="22"/>
  <c r="B1246" i="22"/>
  <c r="B1247" i="22"/>
  <c r="B1248" i="22"/>
  <c r="B1249" i="22"/>
  <c r="B1250" i="22"/>
  <c r="B1251" i="22"/>
  <c r="B1252" i="22"/>
  <c r="B1253" i="22"/>
  <c r="B1254" i="22"/>
  <c r="B1255" i="22"/>
  <c r="B1256" i="22"/>
  <c r="B1257" i="22"/>
  <c r="B1258" i="22"/>
  <c r="B1259" i="22"/>
  <c r="B1260" i="22"/>
  <c r="B1261" i="22"/>
  <c r="B1262" i="22"/>
  <c r="B1263" i="22"/>
  <c r="B1264" i="22"/>
  <c r="B1265" i="22"/>
  <c r="B1266" i="22"/>
  <c r="B1267" i="22"/>
  <c r="B1268" i="22"/>
  <c r="B1269" i="22"/>
  <c r="B1270" i="22"/>
  <c r="B1271" i="22"/>
  <c r="B1272" i="22"/>
  <c r="B1273" i="22"/>
  <c r="B1274" i="22"/>
  <c r="B1275" i="22"/>
  <c r="B1276" i="22"/>
  <c r="B1277" i="22"/>
  <c r="B1278" i="22"/>
  <c r="B1279" i="22"/>
  <c r="B1280" i="22"/>
  <c r="B1281" i="22"/>
  <c r="B1282" i="22"/>
  <c r="B1283" i="22"/>
  <c r="B1284" i="22"/>
  <c r="B1285" i="22"/>
  <c r="B1286" i="22"/>
  <c r="B1287" i="22"/>
  <c r="B1288" i="22"/>
  <c r="B1289" i="22"/>
  <c r="B1290" i="22"/>
  <c r="B1291" i="22"/>
  <c r="B1292" i="22"/>
  <c r="B1293" i="22"/>
  <c r="B1294" i="22"/>
  <c r="B1295" i="22"/>
  <c r="B1296" i="22"/>
  <c r="B1297" i="22"/>
  <c r="B1298" i="22"/>
  <c r="B1299" i="22"/>
  <c r="B1300" i="22"/>
  <c r="B1301" i="22"/>
  <c r="B1302" i="22"/>
  <c r="B1303" i="22"/>
  <c r="B1304" i="22"/>
  <c r="B1305" i="22"/>
  <c r="B1306" i="22"/>
  <c r="B1307" i="22"/>
  <c r="B1308" i="22"/>
  <c r="B1309" i="22"/>
  <c r="B1310" i="22"/>
  <c r="B1311" i="22"/>
  <c r="B1312" i="22"/>
  <c r="B1313" i="22"/>
  <c r="B1314" i="22"/>
  <c r="B1315" i="22"/>
  <c r="B1316" i="22"/>
  <c r="B1317" i="22"/>
  <c r="B1318" i="22"/>
  <c r="B1319" i="22"/>
  <c r="B1320" i="22"/>
  <c r="B1321" i="22"/>
  <c r="B1322" i="22"/>
  <c r="B1323" i="22"/>
  <c r="B1324" i="22"/>
  <c r="B1325" i="22"/>
  <c r="B1326" i="22"/>
  <c r="B1327" i="22"/>
  <c r="B1328" i="22"/>
  <c r="B1329" i="22"/>
  <c r="B1330" i="22"/>
  <c r="B1331" i="22"/>
  <c r="B1332" i="22"/>
  <c r="B1333" i="22"/>
  <c r="B1334" i="22"/>
  <c r="B1335" i="22"/>
  <c r="B1336" i="22"/>
  <c r="B1337" i="22"/>
  <c r="B1338" i="22"/>
  <c r="B1339" i="22"/>
  <c r="B1340" i="22"/>
  <c r="B1341" i="22"/>
  <c r="B1342" i="22"/>
  <c r="B1343" i="22"/>
  <c r="B1344" i="22"/>
  <c r="B1345" i="22"/>
  <c r="B1346" i="22"/>
  <c r="B1347" i="22"/>
  <c r="B1348" i="22"/>
  <c r="B1349" i="22"/>
  <c r="B1350" i="22"/>
  <c r="B1351" i="22"/>
  <c r="B1352" i="22"/>
  <c r="B1353" i="22"/>
  <c r="B1354" i="22"/>
  <c r="B1355" i="22"/>
  <c r="B1356" i="22"/>
  <c r="B1357" i="22"/>
  <c r="B1358" i="22"/>
  <c r="B1359" i="22"/>
  <c r="B1360" i="22"/>
  <c r="B1361" i="22"/>
  <c r="B1362" i="22"/>
  <c r="B1363" i="22"/>
  <c r="B1364" i="22"/>
  <c r="B1365" i="22"/>
  <c r="B1366" i="22"/>
  <c r="B1367" i="22"/>
  <c r="B1368" i="22"/>
  <c r="B1369" i="22"/>
  <c r="B1370" i="22"/>
  <c r="B1371" i="22"/>
  <c r="B1372" i="22"/>
  <c r="B1373" i="22"/>
  <c r="B1374" i="22"/>
  <c r="B1375" i="22"/>
  <c r="B1376" i="22"/>
  <c r="B1377" i="22"/>
  <c r="B1378" i="22"/>
  <c r="B1379" i="22"/>
  <c r="B1380" i="22"/>
  <c r="B1381" i="22"/>
  <c r="B1382" i="22"/>
  <c r="B1383" i="22"/>
  <c r="B1384" i="22"/>
  <c r="B1385" i="22"/>
  <c r="B1386" i="22"/>
  <c r="B1387" i="22"/>
  <c r="B1388" i="22"/>
  <c r="B1389" i="22"/>
  <c r="B1390" i="22"/>
  <c r="B1391" i="22"/>
  <c r="B1392" i="22"/>
  <c r="B1393" i="22"/>
  <c r="B1394" i="22"/>
  <c r="B1395" i="22"/>
  <c r="B1396" i="22"/>
  <c r="B1397" i="22"/>
  <c r="B1398" i="22"/>
  <c r="B1399" i="22"/>
  <c r="B1400" i="22"/>
  <c r="B1401" i="22"/>
  <c r="B1402" i="22"/>
  <c r="B1403" i="22"/>
  <c r="B1404" i="22"/>
  <c r="B1405" i="22"/>
  <c r="B1406" i="22"/>
  <c r="B1407" i="22"/>
  <c r="B1408" i="22"/>
  <c r="B1409" i="22"/>
  <c r="B1410" i="22"/>
  <c r="B1411" i="22"/>
  <c r="B1412" i="22"/>
  <c r="B1413" i="22"/>
  <c r="B1414" i="22"/>
  <c r="B1415" i="22"/>
  <c r="B1416" i="22"/>
  <c r="B1417" i="22"/>
  <c r="B1418" i="22"/>
  <c r="B1419" i="22"/>
  <c r="B1420" i="22"/>
  <c r="B1421" i="22"/>
  <c r="B1422" i="22"/>
  <c r="B1423" i="22"/>
  <c r="B1424" i="22"/>
  <c r="B1425" i="22"/>
  <c r="B1426" i="22"/>
  <c r="B1427" i="22"/>
  <c r="B1428" i="22"/>
  <c r="B1429" i="22"/>
  <c r="B1430" i="22"/>
  <c r="B1431" i="22"/>
  <c r="B1432" i="22"/>
  <c r="B1433" i="22"/>
  <c r="B1434" i="22"/>
  <c r="B1435" i="22"/>
  <c r="B1436" i="22"/>
  <c r="B1437" i="22"/>
  <c r="B1438" i="22"/>
  <c r="B1439" i="22"/>
  <c r="B1440" i="22"/>
  <c r="B1441" i="22"/>
  <c r="B1442" i="22"/>
  <c r="B1443" i="22"/>
  <c r="B1444" i="22"/>
  <c r="B1445" i="22"/>
  <c r="B1446" i="22"/>
  <c r="B1447" i="22"/>
  <c r="B1448" i="22"/>
  <c r="B1449" i="22"/>
  <c r="B1450" i="22"/>
  <c r="B1451" i="22"/>
  <c r="B1452" i="22"/>
  <c r="B1453" i="22"/>
  <c r="B1454" i="22"/>
  <c r="B1455" i="22"/>
  <c r="B1456" i="22"/>
  <c r="B1457" i="22"/>
  <c r="B1458" i="22"/>
  <c r="B1459" i="22"/>
  <c r="B1460" i="22"/>
  <c r="B1461" i="22"/>
  <c r="B1462" i="22"/>
  <c r="B1463" i="22"/>
  <c r="B1464" i="22"/>
  <c r="B1465" i="22"/>
  <c r="B1466" i="22"/>
  <c r="B1467" i="22"/>
  <c r="B1468" i="22"/>
  <c r="B1469" i="22"/>
  <c r="B1470" i="22"/>
  <c r="B1471" i="22"/>
  <c r="B1472" i="22"/>
  <c r="B1473" i="22"/>
  <c r="B1474" i="22"/>
  <c r="B1475" i="22"/>
  <c r="B1476" i="22"/>
  <c r="B1477" i="22"/>
  <c r="B1478" i="22"/>
  <c r="B1479" i="22"/>
  <c r="B1480" i="22"/>
  <c r="B1481" i="22"/>
  <c r="B1482" i="22"/>
  <c r="B1483" i="22"/>
  <c r="B1484" i="22"/>
  <c r="B1485" i="22"/>
  <c r="B1486" i="22"/>
  <c r="B1487" i="22"/>
  <c r="B1488" i="22"/>
  <c r="B1489" i="22"/>
  <c r="B1490" i="22"/>
  <c r="B1491" i="22"/>
  <c r="B1492" i="22"/>
  <c r="B1493" i="22"/>
  <c r="B1494" i="22"/>
  <c r="B1495" i="22"/>
  <c r="B1496" i="22"/>
  <c r="B1497" i="22"/>
  <c r="B1498" i="22"/>
  <c r="B1499" i="22"/>
  <c r="B1500" i="22"/>
  <c r="B1501" i="22"/>
  <c r="B1502" i="22"/>
  <c r="B1503" i="22"/>
  <c r="B1504" i="22"/>
  <c r="B1505" i="22"/>
  <c r="B1506" i="22"/>
  <c r="B1507" i="22"/>
  <c r="B1508" i="22"/>
  <c r="B1509" i="22"/>
  <c r="B1510" i="22"/>
  <c r="B1511" i="22"/>
  <c r="B1512" i="22"/>
  <c r="B1513" i="22"/>
  <c r="B1514" i="22"/>
  <c r="B1515" i="22"/>
  <c r="B1516" i="22"/>
  <c r="B1517" i="22"/>
  <c r="B1518" i="22"/>
  <c r="B1519" i="22"/>
  <c r="B1520" i="22"/>
  <c r="B1521" i="22"/>
  <c r="B1522" i="22"/>
  <c r="B1523" i="22"/>
  <c r="B1524" i="22"/>
  <c r="B1525" i="22"/>
  <c r="B1526" i="22"/>
  <c r="B1527" i="22"/>
  <c r="B1528" i="22"/>
  <c r="B1529" i="22"/>
  <c r="B1530" i="22"/>
  <c r="B1531" i="22"/>
  <c r="B1532" i="22"/>
  <c r="B1533" i="22"/>
  <c r="B1534" i="22"/>
  <c r="B1535" i="22"/>
  <c r="B1536" i="22"/>
  <c r="B1537" i="22"/>
  <c r="B1538" i="22"/>
  <c r="B1539" i="22"/>
  <c r="B1540" i="22"/>
  <c r="B1541" i="22"/>
  <c r="B1542" i="22"/>
  <c r="B1543" i="22"/>
  <c r="B1544" i="22"/>
  <c r="B1545" i="22"/>
  <c r="B1546" i="22"/>
  <c r="B1547" i="22"/>
  <c r="B1548" i="22"/>
  <c r="B1549" i="22"/>
  <c r="B1550" i="22"/>
  <c r="B1551" i="22"/>
  <c r="B1552" i="22"/>
  <c r="B1553" i="22"/>
  <c r="B1554" i="22"/>
  <c r="B1555" i="22"/>
  <c r="B1556" i="22"/>
  <c r="B1557" i="22"/>
  <c r="B1558" i="22"/>
  <c r="B1559" i="22"/>
  <c r="B1560" i="22"/>
  <c r="B1561" i="22"/>
  <c r="B1562" i="22"/>
  <c r="B1563" i="22"/>
  <c r="B1564" i="22"/>
  <c r="B1565" i="22"/>
  <c r="B1566" i="22"/>
  <c r="B1567" i="22"/>
  <c r="B1568" i="22"/>
  <c r="B1569" i="22"/>
  <c r="B1570" i="22"/>
  <c r="B1571" i="22"/>
  <c r="B1572" i="22"/>
  <c r="B1573" i="22"/>
  <c r="B1574" i="22"/>
  <c r="B1575" i="22"/>
  <c r="B1576" i="22"/>
  <c r="B1577" i="22"/>
  <c r="B1578" i="22"/>
  <c r="B1579" i="22"/>
  <c r="B1580" i="22"/>
  <c r="B1581" i="22"/>
  <c r="B1582" i="22"/>
  <c r="B1583" i="22"/>
  <c r="B1584" i="22"/>
  <c r="B1585" i="22"/>
  <c r="B1586" i="22"/>
  <c r="B1587" i="22"/>
  <c r="B1588" i="22"/>
  <c r="B1589" i="22"/>
  <c r="B1590" i="22"/>
  <c r="B1591" i="22"/>
  <c r="B1592" i="22"/>
  <c r="B1593" i="22"/>
  <c r="B1594" i="22"/>
  <c r="B1595" i="22"/>
  <c r="B1596" i="22"/>
  <c r="B1597" i="22"/>
  <c r="B1598" i="22"/>
  <c r="B1599" i="22"/>
  <c r="B1600" i="22"/>
  <c r="B1601" i="22"/>
  <c r="B1602" i="22"/>
  <c r="B1603" i="22"/>
  <c r="B1604" i="22"/>
  <c r="B1605" i="22"/>
  <c r="B1606" i="22"/>
  <c r="B1607" i="22"/>
  <c r="B1608" i="22"/>
  <c r="B1609" i="22"/>
  <c r="B1610" i="22"/>
  <c r="B1611" i="22"/>
  <c r="B1612" i="22"/>
  <c r="B1613" i="22"/>
  <c r="B1614" i="22"/>
  <c r="B1615" i="22"/>
  <c r="B1616" i="22"/>
  <c r="B1617" i="22"/>
  <c r="B1618" i="22"/>
  <c r="B1619" i="22"/>
  <c r="B1620" i="22"/>
  <c r="B1621" i="22"/>
  <c r="B1622" i="22"/>
  <c r="B1623" i="22"/>
  <c r="B1624" i="22"/>
  <c r="B1625" i="22"/>
  <c r="B1626" i="22"/>
  <c r="B1627" i="22"/>
  <c r="B1628" i="22"/>
  <c r="B1629" i="22"/>
  <c r="B1630" i="22"/>
  <c r="B1631" i="22"/>
  <c r="B1632" i="22"/>
  <c r="B1633" i="22"/>
  <c r="B1634" i="22"/>
  <c r="B1635" i="22"/>
  <c r="B1636" i="22"/>
  <c r="B1637" i="22"/>
  <c r="B1638" i="22"/>
  <c r="B1639" i="22"/>
  <c r="B1640" i="22"/>
  <c r="B1641" i="22"/>
  <c r="B1642" i="22"/>
  <c r="B1643" i="22"/>
  <c r="B1644" i="22"/>
  <c r="B1645" i="22"/>
  <c r="B1646" i="22"/>
  <c r="B1647" i="22"/>
  <c r="B1648" i="22"/>
  <c r="B1649" i="22"/>
  <c r="B1650" i="22"/>
  <c r="B1651" i="22"/>
  <c r="B1652" i="22"/>
  <c r="B1653" i="22"/>
  <c r="B1654" i="22"/>
  <c r="B1655" i="22"/>
  <c r="B1656" i="22"/>
  <c r="B1657" i="22"/>
  <c r="B1658" i="22"/>
  <c r="B1659" i="22"/>
  <c r="B1660" i="22"/>
  <c r="B1661" i="22"/>
  <c r="B1662" i="22"/>
  <c r="B1663" i="22"/>
  <c r="B1664" i="22"/>
  <c r="B1665" i="22"/>
  <c r="B1666" i="22"/>
  <c r="B1667" i="22"/>
  <c r="B1668" i="22"/>
  <c r="B1669" i="22"/>
  <c r="B1670" i="22"/>
  <c r="B1671" i="22"/>
  <c r="B1672" i="22"/>
  <c r="B1673" i="22"/>
  <c r="B1674" i="22"/>
  <c r="B1675" i="22"/>
  <c r="B1676" i="22"/>
  <c r="B1677" i="22"/>
  <c r="B1678" i="22"/>
  <c r="B1679" i="22"/>
  <c r="B1680" i="22"/>
  <c r="B1681" i="22"/>
  <c r="B1682" i="22"/>
  <c r="B1683" i="22"/>
  <c r="B1684" i="22"/>
  <c r="B1685" i="22"/>
  <c r="B1686" i="22"/>
  <c r="B1687" i="22"/>
  <c r="B1688" i="22"/>
  <c r="B1689" i="22"/>
  <c r="B1690" i="22"/>
  <c r="B1691" i="22"/>
  <c r="B1692" i="22"/>
  <c r="B1693" i="22"/>
  <c r="B1694" i="22"/>
  <c r="B1695" i="22"/>
  <c r="B1696" i="22"/>
  <c r="B1697" i="22"/>
  <c r="B1698" i="22"/>
  <c r="B1699" i="22"/>
  <c r="B1700" i="22"/>
  <c r="B1701" i="22"/>
  <c r="B1702" i="22"/>
  <c r="B1703" i="22"/>
  <c r="B1704" i="22"/>
  <c r="B1705" i="22"/>
  <c r="B1706" i="22"/>
  <c r="B1707" i="22"/>
  <c r="B1708" i="22"/>
  <c r="B1709" i="22"/>
  <c r="B1710" i="22"/>
  <c r="B1711" i="22"/>
  <c r="B1712" i="22"/>
  <c r="B1713" i="22"/>
  <c r="B1714" i="22"/>
  <c r="B1715" i="22"/>
  <c r="B1716" i="22"/>
  <c r="B1717" i="22"/>
  <c r="B1718" i="22"/>
  <c r="B1719" i="22"/>
  <c r="B1720" i="22"/>
  <c r="B1721" i="22"/>
  <c r="B1722" i="22"/>
  <c r="B1723" i="22"/>
  <c r="B1724" i="22"/>
  <c r="B1725" i="22"/>
  <c r="B1726" i="22"/>
  <c r="B1727" i="22"/>
  <c r="B1728" i="22"/>
  <c r="B1729" i="22"/>
  <c r="B1730" i="22"/>
  <c r="B1731" i="22"/>
  <c r="B1732" i="22"/>
  <c r="B1733" i="22"/>
  <c r="B1734" i="22"/>
  <c r="B1735" i="22"/>
  <c r="B1736" i="22"/>
  <c r="B1737" i="22"/>
  <c r="B1738" i="22"/>
  <c r="B1739" i="22"/>
  <c r="B1740" i="22"/>
  <c r="B1741" i="22"/>
  <c r="B1742" i="22"/>
  <c r="B1743" i="22"/>
  <c r="B1744" i="22"/>
  <c r="B1745" i="22"/>
  <c r="B1746" i="22"/>
  <c r="B1747" i="22"/>
  <c r="B1748" i="22"/>
  <c r="B1749" i="22"/>
  <c r="B1750" i="22"/>
  <c r="B1751" i="22"/>
  <c r="B1752" i="22"/>
  <c r="B1753" i="22"/>
  <c r="B1754" i="22"/>
  <c r="B1755" i="22"/>
  <c r="B1756" i="22"/>
  <c r="B1757" i="22"/>
  <c r="B1758" i="22"/>
  <c r="B1759" i="22"/>
  <c r="B1760" i="22"/>
  <c r="B1761" i="22"/>
  <c r="B1762" i="22"/>
  <c r="B1763" i="22"/>
  <c r="B1764" i="22"/>
  <c r="B1765" i="22"/>
  <c r="B1766" i="22"/>
  <c r="B1767" i="22"/>
  <c r="B1768" i="22"/>
  <c r="B1769" i="22"/>
  <c r="B1770" i="22"/>
  <c r="B1771" i="22"/>
  <c r="B1772" i="22"/>
  <c r="B1773" i="22"/>
  <c r="B1774" i="22"/>
  <c r="B1775" i="22"/>
  <c r="B1776" i="22"/>
  <c r="B1777" i="22"/>
  <c r="B1778" i="22"/>
  <c r="B1779" i="22"/>
  <c r="B1780" i="22"/>
  <c r="B1781" i="22"/>
  <c r="B1782" i="22"/>
  <c r="B1783" i="22"/>
  <c r="B1784" i="22"/>
  <c r="B1785" i="22"/>
  <c r="B1786" i="22"/>
  <c r="B1787" i="22"/>
  <c r="B1788" i="22"/>
  <c r="B1789" i="22"/>
  <c r="B1790" i="22"/>
  <c r="B1791" i="22"/>
  <c r="B1792" i="22"/>
  <c r="B1793" i="22"/>
  <c r="B1794" i="22"/>
  <c r="B1795" i="22"/>
  <c r="B1796" i="22"/>
  <c r="B1797" i="22"/>
  <c r="B1798" i="22"/>
  <c r="B1799" i="22"/>
  <c r="B1800" i="22"/>
  <c r="B1801" i="22"/>
  <c r="B1802" i="22"/>
  <c r="B1803" i="22"/>
  <c r="B1804" i="22"/>
  <c r="B1805" i="22"/>
  <c r="B1806" i="22"/>
  <c r="B1807" i="22"/>
  <c r="B1808" i="22"/>
  <c r="B1809" i="22"/>
  <c r="B1810" i="22"/>
  <c r="B1811" i="22"/>
  <c r="B1812" i="22"/>
  <c r="B1813" i="22"/>
  <c r="B1814" i="22"/>
  <c r="B1815" i="22"/>
  <c r="B1816" i="22"/>
  <c r="B1817" i="22"/>
  <c r="B1818" i="22"/>
  <c r="B1819" i="22"/>
  <c r="B1820" i="22"/>
  <c r="B1821" i="22"/>
  <c r="B1822" i="22"/>
  <c r="B1823" i="22"/>
  <c r="B1824" i="22"/>
  <c r="B1825" i="22"/>
  <c r="B1826" i="22"/>
  <c r="B1827" i="22"/>
  <c r="B1828" i="22"/>
  <c r="B1829" i="22"/>
  <c r="B1830" i="22"/>
  <c r="B1831" i="22"/>
  <c r="B1832" i="22"/>
  <c r="B1833" i="22"/>
  <c r="B1834" i="22"/>
  <c r="B1835" i="22"/>
  <c r="B1836" i="22"/>
  <c r="B1837" i="22"/>
  <c r="B1838" i="22"/>
  <c r="B1839" i="22"/>
  <c r="B1840" i="22"/>
  <c r="B1841" i="22"/>
  <c r="B1842" i="22"/>
  <c r="B1843" i="22"/>
  <c r="B1844" i="22"/>
  <c r="B1845" i="22"/>
  <c r="B1846" i="22"/>
  <c r="B1847" i="22"/>
  <c r="B1848" i="22"/>
  <c r="B1849" i="22"/>
  <c r="B1850" i="22"/>
  <c r="B1851" i="22"/>
  <c r="B1852" i="22"/>
  <c r="B1853" i="22"/>
  <c r="B1854" i="22"/>
  <c r="B1855" i="22"/>
  <c r="B1856" i="22"/>
  <c r="B1857" i="22"/>
  <c r="B1" i="22"/>
  <c r="A7" i="1"/>
  <c r="A9" i="1"/>
  <c r="I9" i="1"/>
  <c r="A11" i="1" l="1"/>
</calcChain>
</file>

<file path=xl/sharedStrings.xml><?xml version="1.0" encoding="utf-8"?>
<sst xmlns="http://schemas.openxmlformats.org/spreadsheetml/2006/main" count="373" uniqueCount="148">
  <si>
    <t>Import</t>
  </si>
  <si>
    <t>Event</t>
  </si>
  <si>
    <t>Event Start Date</t>
  </si>
  <si>
    <t>Station List</t>
  </si>
  <si>
    <t>Event List</t>
  </si>
  <si>
    <t>OK</t>
  </si>
  <si>
    <t>Suspect</t>
  </si>
  <si>
    <t>ID</t>
  </si>
  <si>
    <t>Name</t>
  </si>
  <si>
    <t>Status</t>
  </si>
  <si>
    <t>Missing</t>
  </si>
  <si>
    <t>Manual Inputs</t>
  </si>
  <si>
    <t>Station With Data</t>
  </si>
  <si>
    <t>Crohamhurst</t>
  </si>
  <si>
    <t>Nambour DPI</t>
  </si>
  <si>
    <t>Woodford Bcc</t>
  </si>
  <si>
    <t>Benarkin Forest Stn</t>
  </si>
  <si>
    <t>Monsildale</t>
  </si>
  <si>
    <t>Esk Dale West</t>
  </si>
  <si>
    <t>Ravensbourne</t>
  </si>
  <si>
    <t>Crows Nest</t>
  </si>
  <si>
    <t>Perseverance Dam</t>
  </si>
  <si>
    <t>Esk Post Office</t>
  </si>
  <si>
    <t>Fairview</t>
  </si>
  <si>
    <t>University of Queensland Gatton</t>
  </si>
  <si>
    <t>Thornton Bvrt</t>
  </si>
  <si>
    <t>Harrisville Post Office</t>
  </si>
  <si>
    <t>Moogerah Dam</t>
  </si>
  <si>
    <t>Lake Manchester</t>
  </si>
  <si>
    <t>Amberley Amo</t>
  </si>
  <si>
    <t>Wacol DPI</t>
  </si>
  <si>
    <t>Brisbane Regional Office</t>
  </si>
  <si>
    <t>Brisbane Aero</t>
  </si>
  <si>
    <t>Enoggera Reservoir</t>
  </si>
  <si>
    <t>Moggill Vet Res Farm</t>
  </si>
  <si>
    <t>Mount Gravatt East Bcc</t>
  </si>
  <si>
    <t>Total No.</t>
  </si>
  <si>
    <t>Total Missing</t>
  </si>
  <si>
    <t>Total Suspect</t>
  </si>
  <si>
    <t>Station Total- List</t>
  </si>
  <si>
    <t>Station Total-Table</t>
  </si>
  <si>
    <t>Catchment</t>
  </si>
  <si>
    <t>Jimna Composite</t>
  </si>
  <si>
    <t>Toowoomba City Council</t>
  </si>
  <si>
    <t>Mt Glorious Fahey Rd</t>
  </si>
  <si>
    <t>Samford CSIRO</t>
  </si>
  <si>
    <t>Boondall Bcc</t>
  </si>
  <si>
    <t>Kenilworth Bridge</t>
  </si>
  <si>
    <t>Station: cbm # 040004 rain gauge millimetres (report)</t>
  </si>
  <si>
    <t>040004.r</t>
  </si>
  <si>
    <t>Station: cbm # 040214 rain gauge millimetres (report)</t>
  </si>
  <si>
    <t>040214.r</t>
  </si>
  <si>
    <t>Station: cbm # 040223 rain gauge millimetres (report)</t>
  </si>
  <si>
    <t>040223.r</t>
  </si>
  <si>
    <t>Station: cbm # 040062 rain gauge millimetres (report)</t>
  </si>
  <si>
    <t>040062.r</t>
  </si>
  <si>
    <t>Station: cbm # 040102 rain gauge millimetres (report)</t>
  </si>
  <si>
    <t>040102.r</t>
  </si>
  <si>
    <t>Station: cbm # 040082 rain gauge millimetres (report)</t>
  </si>
  <si>
    <t>040082.r</t>
  </si>
  <si>
    <t>Station: cbm # 040135 rain gauge millimetres (report)</t>
  </si>
  <si>
    <t>040135.r</t>
  </si>
  <si>
    <t>Station: cbm # 040282 rain gauge millimetres (report)</t>
  </si>
  <si>
    <t>040282.r</t>
  </si>
  <si>
    <t>040308.r</t>
  </si>
  <si>
    <t>040094.r</t>
  </si>
  <si>
    <t>Bcc   Catchments</t>
  </si>
  <si>
    <t>Mt Coot Tha Abq two Bcc</t>
  </si>
  <si>
    <t>Make daily</t>
  </si>
  <si>
    <t>StartTime = Thu Jan 24 1974 09:00</t>
  </si>
  <si>
    <t>EndTime = Fri Feb 01 1974 09:00</t>
  </si>
  <si>
    <t>Created from file 040062.raw on the Tue Oct 09 10:30:59 2012</t>
  </si>
  <si>
    <t>128214000  3600  192</t>
  </si>
  <si>
    <t>Station: sensor # 040628 rain gauge millimetres (report)</t>
  </si>
  <si>
    <t>Created from file 040628.raw on the Tue Oct 09 10:31:02 2012</t>
  </si>
  <si>
    <t>040628.r</t>
  </si>
  <si>
    <t>Station: sensor # 040019 rain gauge millimetres (report)</t>
  </si>
  <si>
    <t>Created from file 040019.raw on the Tue Oct 09 10:30:59 2012</t>
  </si>
  <si>
    <t>040019.r</t>
  </si>
  <si>
    <t>Station: sensor # 040076 rain gauge millimetres (report)</t>
  </si>
  <si>
    <t>Created from file 040076.raw on the Tue Oct 09 10:31:00 2012</t>
  </si>
  <si>
    <t>040076.r</t>
  </si>
  <si>
    <t>Created from file 040102.raw on the Tue Oct 09 10:31:00 2012</t>
  </si>
  <si>
    <t>Station: cbm # 040133 rain gauge millimetres (report)</t>
  </si>
  <si>
    <t>Created from file 040133.raw on the Tue Oct 09 10:31:00 2012</t>
  </si>
  <si>
    <t>040133.r</t>
  </si>
  <si>
    <t>Station: sensor # 040270 rain gauge millimetres (report)</t>
  </si>
  <si>
    <t>Created from file 040270.raw on the Tue Oct 09 10:31:01 2012</t>
  </si>
  <si>
    <t>040270.r</t>
  </si>
  <si>
    <t>Station: cbm # 040382 rain gauge millimetres (report)</t>
  </si>
  <si>
    <t>Created from file 040382.raw on the Tue Oct 09 10:31:01 2012</t>
  </si>
  <si>
    <t>040382.r</t>
  </si>
  <si>
    <t>Station: sensor # 040480 rain gauge millimetres (report)</t>
  </si>
  <si>
    <t>Created from file 040480.raw on the Tue Oct 09 10:31:01 2012</t>
  </si>
  <si>
    <t>040480.r</t>
  </si>
  <si>
    <t>Station: sensor # 040075 rain gauge millimetres (report)</t>
  </si>
  <si>
    <t>Created from file 040075.raw on the Tue Oct 09 10:31:00 2012</t>
  </si>
  <si>
    <t>040075.r</t>
  </si>
  <si>
    <t>Station: station # 040154 rain gauge millimetres</t>
  </si>
  <si>
    <t>Created from file 040154.raw on the Tue Oct 09 10:31:00 2012</t>
  </si>
  <si>
    <t>040154.r</t>
  </si>
  <si>
    <t>Station: sensor # 040308 rain gauge millimetres (report)</t>
  </si>
  <si>
    <t>Created from file 040308.raw on the Tue Oct 09 10:31:01 2012</t>
  </si>
  <si>
    <t>Created from file 040082.raw on the Tue Oct 09 10:31:00 2012</t>
  </si>
  <si>
    <t>Station: sensor # 040202 rain gauge millimetres (report)</t>
  </si>
  <si>
    <t>Created from file 040202.raw on the Tue Oct 09 10:31:00 2012</t>
  </si>
  <si>
    <t>040202.r</t>
  </si>
  <si>
    <t>Station: cbm # 041467 rain gauge millimetres (report)</t>
  </si>
  <si>
    <t>Created from file 041467.raw on the Tue Oct 09 10:31:04 2012</t>
  </si>
  <si>
    <t>041467.r</t>
  </si>
  <si>
    <t>Station: sensor # 040094 rain gauge millimetres (report)</t>
  </si>
  <si>
    <t>Created from file 040094.raw on the Tue Oct 09 10:31:00 2012</t>
  </si>
  <si>
    <t>Created from file 040135.raw on the Tue Oct 09 10:31:00 2012</t>
  </si>
  <si>
    <t>Created from file 040004.raw on the Tue Oct 09 10:30:59 2012</t>
  </si>
  <si>
    <t>Station: sensor # 040115 rain gauge millimetres (report)</t>
  </si>
  <si>
    <t>Created from file 040115.raw on the Tue Oct 09 10:31:00 2012</t>
  </si>
  <si>
    <t>040115.r</t>
  </si>
  <si>
    <t>Station: cbm # 040241 rain gauge millimetres (report)</t>
  </si>
  <si>
    <t>Created from file 040241.raw on the Tue Oct 09 10:31:01 2012</t>
  </si>
  <si>
    <t>040241.r</t>
  </si>
  <si>
    <t>Station: sensor # 040528 rain gauge millimetres (report)</t>
  </si>
  <si>
    <t>Created from file 040528.raw on the Tue Oct 09 10:31:02 2012</t>
  </si>
  <si>
    <t>040528.r</t>
  </si>
  <si>
    <t>Station: sensor # 040225 rain gauge millimetres (report)</t>
  </si>
  <si>
    <t>Created from file 040225.raw on the Tue Oct 09 10:31:01 2012</t>
  </si>
  <si>
    <t>040225.r</t>
  </si>
  <si>
    <t>Station: sensor # 040418 rain gauge millimetres (report)</t>
  </si>
  <si>
    <t>Created from file 040418.raw on the Tue Oct 09 10:31:01 2012</t>
  </si>
  <si>
    <t>040418.r</t>
  </si>
  <si>
    <t>Station: sensor # 040457 rain gauge millimetres (report)</t>
  </si>
  <si>
    <t>Created from file 040457.raw on the Tue Oct 09 10:31:01 2012</t>
  </si>
  <si>
    <t>040457.r</t>
  </si>
  <si>
    <t>Station: cbm # 040533 rain gauge millimetres (report)</t>
  </si>
  <si>
    <t>Created from file 040533.raw on the Tue Oct 09 10:31:02 2012</t>
  </si>
  <si>
    <t>040533.r</t>
  </si>
  <si>
    <t>Created from file 040214.raw on the Tue Oct 09 10:31:00 2012</t>
  </si>
  <si>
    <t>Created from file 040223.raw on the Tue Oct 09 10:31:01 2012</t>
  </si>
  <si>
    <t>Station: sensor # 040529 rain gauge millimetres (report)</t>
  </si>
  <si>
    <t>Created from file 040529.raw on the Tue Oct 09 10:31:02 2012</t>
  </si>
  <si>
    <t>040529.r</t>
  </si>
  <si>
    <t>Station: sensor # 040531 rain gauge millimetres (report)</t>
  </si>
  <si>
    <t>Created from file 040531.raw on the Tue Oct 09 10:31:02 2012</t>
  </si>
  <si>
    <t>040531.r</t>
  </si>
  <si>
    <t>Created from file 040282.raw on the Tue Oct 09 10:31:01 2012</t>
  </si>
  <si>
    <t>Station: cbm # 040386 rain gauge millimetres (report)</t>
  </si>
  <si>
    <t>Created from file 040386.raw on the Tue Oct 09 10:31:01 2012</t>
  </si>
  <si>
    <t>040386.r</t>
  </si>
  <si>
    <t>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</si>
</sst>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000000"/>
      <name val="Times New Roman"/>
      <family val="1"/>
    </font>
    <font>
      <sz val="11"/>
      <color theme="0" tint="-0.1499984740745262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/>
    <xf numFmtId="0" fontId="0" fillId="0" borderId="2" xfId="0" applyBorder="1"/>
    <xf numFmtId="0" fontId="0" fillId="0" borderId="3" xfId="0" applyBorder="1"/>
    <xf numFmtId="0" fontId="1" fillId="0" borderId="1" xfId="0" applyFont="1" applyBorder="1"/>
    <xf numFmtId="0" fontId="1" fillId="0" borderId="2" xfId="0" applyFont="1" applyBorder="1"/>
    <xf numFmtId="22" fontId="0" fillId="0" borderId="0" xfId="0" applyNumberFormat="1"/>
    <xf numFmtId="0" fontId="1" fillId="2" borderId="1" xfId="0" applyFont="1" applyFill="1" applyBorder="1" applyAlignment="1">
      <alignment horizontal="center"/>
    </xf>
    <xf numFmtId="0" fontId="1" fillId="0" borderId="4" xfId="0" applyFont="1" applyBorder="1"/>
    <xf numFmtId="0" fontId="2" fillId="0" borderId="4" xfId="0" applyFont="1" applyBorder="1"/>
    <xf numFmtId="0" fontId="3" fillId="0" borderId="4" xfId="0" applyFont="1" applyBorder="1" applyAlignment="1">
      <alignment horizontal="left"/>
    </xf>
    <xf numFmtId="22" fontId="0" fillId="0" borderId="3" xfId="0" applyNumberFormat="1" applyBorder="1"/>
    <xf numFmtId="0" fontId="1" fillId="0" borderId="0" xfId="0" applyFont="1"/>
    <xf numFmtId="0" fontId="1" fillId="0" borderId="5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/>
    <xf numFmtId="0" fontId="0" fillId="0" borderId="4" xfId="0" applyBorder="1"/>
    <xf numFmtId="0" fontId="0" fillId="0" borderId="1" xfId="0" applyBorder="1"/>
    <xf numFmtId="0" fontId="0" fillId="7" borderId="5" xfId="0" applyFill="1" applyBorder="1"/>
    <xf numFmtId="0" fontId="0" fillId="0" borderId="5" xfId="0" applyBorder="1"/>
    <xf numFmtId="0" fontId="1" fillId="0" borderId="4" xfId="0" applyFont="1" applyBorder="1" applyAlignment="1">
      <alignment horizontal="left"/>
    </xf>
    <xf numFmtId="0" fontId="0" fillId="0" borderId="11" xfId="0" applyBorder="1"/>
    <xf numFmtId="0" fontId="0" fillId="7" borderId="15" xfId="0" applyFill="1" applyBorder="1"/>
    <xf numFmtId="0" fontId="0" fillId="0" borderId="15" xfId="0" applyBorder="1"/>
    <xf numFmtId="0" fontId="0" fillId="0" borderId="16" xfId="0" applyBorder="1"/>
    <xf numFmtId="0" fontId="0" fillId="7" borderId="2" xfId="0" applyFill="1" applyBorder="1"/>
    <xf numFmtId="0" fontId="0" fillId="0" borderId="18" xfId="0" applyBorder="1"/>
    <xf numFmtId="0" fontId="1" fillId="0" borderId="9" xfId="0" applyFont="1" applyBorder="1"/>
    <xf numFmtId="0" fontId="7" fillId="0" borderId="0" xfId="0" applyFont="1"/>
    <xf numFmtId="164" fontId="0" fillId="0" borderId="4" xfId="0" applyNumberFormat="1" applyBorder="1"/>
    <xf numFmtId="49" fontId="0" fillId="0" borderId="4" xfId="0" applyNumberFormat="1" applyBorder="1"/>
    <xf numFmtId="0" fontId="0" fillId="0" borderId="21" xfId="0" applyFill="1" applyBorder="1"/>
    <xf numFmtId="0" fontId="0" fillId="0" borderId="12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6" fillId="0" borderId="6" xfId="0" applyFont="1" applyBorder="1" applyAlignment="1">
      <alignment horizontal="center" vertical="top" wrapText="1"/>
    </xf>
    <xf numFmtId="0" fontId="6" fillId="0" borderId="7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top" wrapText="1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5.xml"/><Relationship Id="rId13" Type="http://schemas.openxmlformats.org/officeDocument/2006/relationships/worksheet" Target="worksheets/sheet4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openxmlformats.org/officeDocument/2006/relationships/chartsheet" Target="chartsheets/sheet9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hartsheet" Target="chartsheets/sheet8.xml"/><Relationship Id="rId5" Type="http://schemas.openxmlformats.org/officeDocument/2006/relationships/chartsheet" Target="chartsheets/sheet2.xml"/><Relationship Id="rId15" Type="http://schemas.openxmlformats.org/officeDocument/2006/relationships/styles" Target="styles.xml"/><Relationship Id="rId10" Type="http://schemas.openxmlformats.org/officeDocument/2006/relationships/chartsheet" Target="chartsheets/sheet7.xml"/><Relationship Id="rId4" Type="http://schemas.openxmlformats.org/officeDocument/2006/relationships/chartsheet" Target="chartsheets/sheet1.xml"/><Relationship Id="rId9" Type="http://schemas.openxmlformats.org/officeDocument/2006/relationships/chartsheet" Target="chartsheets/sheet6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Stanley- Pluviograph</a:t>
            </a:r>
            <a:endParaRPr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Crohamhurst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cumulative!$B$3:$B$195</c:f>
              <c:numCache>
                <c:formatCode>General</c:formatCode>
                <c:ptCount val="193"/>
                <c:pt idx="0">
                  <c:v>0</c:v>
                </c:pt>
                <c:pt idx="1">
                  <c:v>5.04</c:v>
                </c:pt>
                <c:pt idx="2">
                  <c:v>23.14</c:v>
                </c:pt>
                <c:pt idx="3">
                  <c:v>28.48</c:v>
                </c:pt>
                <c:pt idx="4">
                  <c:v>38.03</c:v>
                </c:pt>
                <c:pt idx="5">
                  <c:v>40.32</c:v>
                </c:pt>
                <c:pt idx="6">
                  <c:v>46.36</c:v>
                </c:pt>
                <c:pt idx="7">
                  <c:v>55.65</c:v>
                </c:pt>
                <c:pt idx="8">
                  <c:v>56.93</c:v>
                </c:pt>
                <c:pt idx="9">
                  <c:v>61.94</c:v>
                </c:pt>
                <c:pt idx="10">
                  <c:v>71.289999999999992</c:v>
                </c:pt>
                <c:pt idx="11">
                  <c:v>78.809999999999988</c:v>
                </c:pt>
                <c:pt idx="12">
                  <c:v>94.389999999999986</c:v>
                </c:pt>
                <c:pt idx="13">
                  <c:v>110.1</c:v>
                </c:pt>
                <c:pt idx="14">
                  <c:v>129</c:v>
                </c:pt>
                <c:pt idx="15">
                  <c:v>147.22999999999999</c:v>
                </c:pt>
                <c:pt idx="16">
                  <c:v>165.56</c:v>
                </c:pt>
                <c:pt idx="17">
                  <c:v>179.61</c:v>
                </c:pt>
                <c:pt idx="18">
                  <c:v>201.60000000000002</c:v>
                </c:pt>
                <c:pt idx="19">
                  <c:v>222.73000000000002</c:v>
                </c:pt>
                <c:pt idx="20">
                  <c:v>232.91000000000003</c:v>
                </c:pt>
                <c:pt idx="21">
                  <c:v>243.57000000000002</c:v>
                </c:pt>
                <c:pt idx="22">
                  <c:v>249.99</c:v>
                </c:pt>
                <c:pt idx="23">
                  <c:v>264.46000000000004</c:v>
                </c:pt>
                <c:pt idx="24">
                  <c:v>290.56000000000006</c:v>
                </c:pt>
                <c:pt idx="25">
                  <c:v>299.63000000000005</c:v>
                </c:pt>
                <c:pt idx="26">
                  <c:v>300.07000000000005</c:v>
                </c:pt>
                <c:pt idx="27">
                  <c:v>300.53000000000003</c:v>
                </c:pt>
                <c:pt idx="28">
                  <c:v>300.53000000000003</c:v>
                </c:pt>
                <c:pt idx="29">
                  <c:v>301.11</c:v>
                </c:pt>
                <c:pt idx="30">
                  <c:v>304.41000000000003</c:v>
                </c:pt>
                <c:pt idx="31">
                  <c:v>307.99</c:v>
                </c:pt>
                <c:pt idx="32">
                  <c:v>316.62</c:v>
                </c:pt>
                <c:pt idx="33">
                  <c:v>337.36</c:v>
                </c:pt>
                <c:pt idx="34">
                  <c:v>356.64</c:v>
                </c:pt>
                <c:pt idx="35">
                  <c:v>359.74</c:v>
                </c:pt>
                <c:pt idx="36">
                  <c:v>361.76</c:v>
                </c:pt>
                <c:pt idx="37">
                  <c:v>362.55</c:v>
                </c:pt>
                <c:pt idx="38">
                  <c:v>364.03000000000003</c:v>
                </c:pt>
                <c:pt idx="39">
                  <c:v>364.78000000000003</c:v>
                </c:pt>
                <c:pt idx="40">
                  <c:v>365.55</c:v>
                </c:pt>
                <c:pt idx="41">
                  <c:v>365.55</c:v>
                </c:pt>
                <c:pt idx="42">
                  <c:v>365.95</c:v>
                </c:pt>
                <c:pt idx="43">
                  <c:v>366.05</c:v>
                </c:pt>
                <c:pt idx="44">
                  <c:v>367.25</c:v>
                </c:pt>
                <c:pt idx="45">
                  <c:v>367.25</c:v>
                </c:pt>
                <c:pt idx="46">
                  <c:v>367.25</c:v>
                </c:pt>
                <c:pt idx="47">
                  <c:v>367.25</c:v>
                </c:pt>
                <c:pt idx="48">
                  <c:v>367.25</c:v>
                </c:pt>
                <c:pt idx="49">
                  <c:v>367.95</c:v>
                </c:pt>
                <c:pt idx="50">
                  <c:v>371.12</c:v>
                </c:pt>
                <c:pt idx="51">
                  <c:v>373.17</c:v>
                </c:pt>
                <c:pt idx="52">
                  <c:v>373.94</c:v>
                </c:pt>
                <c:pt idx="53">
                  <c:v>374.35</c:v>
                </c:pt>
                <c:pt idx="54">
                  <c:v>375.15000000000003</c:v>
                </c:pt>
                <c:pt idx="55">
                  <c:v>378.68</c:v>
                </c:pt>
                <c:pt idx="56">
                  <c:v>393.88</c:v>
                </c:pt>
                <c:pt idx="57">
                  <c:v>408.81</c:v>
                </c:pt>
                <c:pt idx="58">
                  <c:v>417.31</c:v>
                </c:pt>
                <c:pt idx="59">
                  <c:v>433.41</c:v>
                </c:pt>
                <c:pt idx="60">
                  <c:v>457.19000000000005</c:v>
                </c:pt>
                <c:pt idx="61">
                  <c:v>484.04000000000008</c:v>
                </c:pt>
                <c:pt idx="62">
                  <c:v>497.47000000000008</c:v>
                </c:pt>
                <c:pt idx="63">
                  <c:v>523.47</c:v>
                </c:pt>
                <c:pt idx="64">
                  <c:v>544.96</c:v>
                </c:pt>
                <c:pt idx="65">
                  <c:v>557.58000000000004</c:v>
                </c:pt>
                <c:pt idx="66">
                  <c:v>569.5200000000001</c:v>
                </c:pt>
                <c:pt idx="67">
                  <c:v>584.16000000000008</c:v>
                </c:pt>
                <c:pt idx="68">
                  <c:v>591.62000000000012</c:v>
                </c:pt>
                <c:pt idx="69">
                  <c:v>598.08000000000015</c:v>
                </c:pt>
                <c:pt idx="70">
                  <c:v>611.4100000000002</c:v>
                </c:pt>
                <c:pt idx="71">
                  <c:v>616.18000000000018</c:v>
                </c:pt>
                <c:pt idx="72">
                  <c:v>619.94000000000017</c:v>
                </c:pt>
                <c:pt idx="73">
                  <c:v>626.9100000000002</c:v>
                </c:pt>
                <c:pt idx="74">
                  <c:v>635.99000000000024</c:v>
                </c:pt>
                <c:pt idx="75">
                  <c:v>642.21000000000026</c:v>
                </c:pt>
                <c:pt idx="76">
                  <c:v>649.36000000000024</c:v>
                </c:pt>
                <c:pt idx="77">
                  <c:v>655.5500000000003</c:v>
                </c:pt>
                <c:pt idx="78">
                  <c:v>659.49000000000035</c:v>
                </c:pt>
                <c:pt idx="79">
                  <c:v>663.32000000000039</c:v>
                </c:pt>
                <c:pt idx="80">
                  <c:v>666.64000000000044</c:v>
                </c:pt>
                <c:pt idx="81">
                  <c:v>674.03000000000043</c:v>
                </c:pt>
                <c:pt idx="82">
                  <c:v>676.90000000000043</c:v>
                </c:pt>
                <c:pt idx="83">
                  <c:v>678.12000000000046</c:v>
                </c:pt>
                <c:pt idx="84">
                  <c:v>681.73000000000047</c:v>
                </c:pt>
                <c:pt idx="85">
                  <c:v>683.43000000000052</c:v>
                </c:pt>
                <c:pt idx="86">
                  <c:v>685.78000000000054</c:v>
                </c:pt>
                <c:pt idx="87">
                  <c:v>688.03000000000054</c:v>
                </c:pt>
                <c:pt idx="88">
                  <c:v>689.09000000000049</c:v>
                </c:pt>
                <c:pt idx="89">
                  <c:v>689.8200000000005</c:v>
                </c:pt>
                <c:pt idx="90">
                  <c:v>690.3200000000005</c:v>
                </c:pt>
                <c:pt idx="91">
                  <c:v>691.76000000000056</c:v>
                </c:pt>
                <c:pt idx="92">
                  <c:v>693.27000000000055</c:v>
                </c:pt>
                <c:pt idx="93">
                  <c:v>695.02000000000055</c:v>
                </c:pt>
                <c:pt idx="94">
                  <c:v>696.7200000000006</c:v>
                </c:pt>
                <c:pt idx="95">
                  <c:v>699.93000000000063</c:v>
                </c:pt>
                <c:pt idx="96">
                  <c:v>712.2200000000006</c:v>
                </c:pt>
                <c:pt idx="97">
                  <c:v>717.43000000000063</c:v>
                </c:pt>
                <c:pt idx="98">
                  <c:v>719.11000000000058</c:v>
                </c:pt>
                <c:pt idx="99">
                  <c:v>719.75000000000057</c:v>
                </c:pt>
                <c:pt idx="100">
                  <c:v>720.02000000000055</c:v>
                </c:pt>
                <c:pt idx="101">
                  <c:v>720.35000000000059</c:v>
                </c:pt>
                <c:pt idx="102">
                  <c:v>721.82000000000062</c:v>
                </c:pt>
                <c:pt idx="103">
                  <c:v>723.85000000000059</c:v>
                </c:pt>
                <c:pt idx="104">
                  <c:v>724.42000000000064</c:v>
                </c:pt>
                <c:pt idx="105">
                  <c:v>725.67000000000064</c:v>
                </c:pt>
                <c:pt idx="106">
                  <c:v>726.42000000000064</c:v>
                </c:pt>
                <c:pt idx="107">
                  <c:v>726.89000000000067</c:v>
                </c:pt>
                <c:pt idx="108">
                  <c:v>727.32000000000062</c:v>
                </c:pt>
                <c:pt idx="109">
                  <c:v>727.62000000000057</c:v>
                </c:pt>
                <c:pt idx="110">
                  <c:v>727.7100000000006</c:v>
                </c:pt>
                <c:pt idx="111">
                  <c:v>728.92000000000064</c:v>
                </c:pt>
                <c:pt idx="112">
                  <c:v>728.92000000000064</c:v>
                </c:pt>
                <c:pt idx="113">
                  <c:v>728.92000000000064</c:v>
                </c:pt>
                <c:pt idx="114">
                  <c:v>728.92000000000064</c:v>
                </c:pt>
                <c:pt idx="115">
                  <c:v>728.92000000000064</c:v>
                </c:pt>
                <c:pt idx="116">
                  <c:v>728.92000000000064</c:v>
                </c:pt>
                <c:pt idx="117">
                  <c:v>728.92000000000064</c:v>
                </c:pt>
                <c:pt idx="118">
                  <c:v>728.92000000000064</c:v>
                </c:pt>
                <c:pt idx="119">
                  <c:v>728.92000000000064</c:v>
                </c:pt>
                <c:pt idx="120">
                  <c:v>728.92000000000064</c:v>
                </c:pt>
                <c:pt idx="121">
                  <c:v>728.92000000000064</c:v>
                </c:pt>
                <c:pt idx="122">
                  <c:v>728.92000000000064</c:v>
                </c:pt>
                <c:pt idx="123">
                  <c:v>728.92000000000064</c:v>
                </c:pt>
                <c:pt idx="124">
                  <c:v>728.92000000000064</c:v>
                </c:pt>
                <c:pt idx="125">
                  <c:v>728.92000000000064</c:v>
                </c:pt>
                <c:pt idx="126">
                  <c:v>728.92000000000064</c:v>
                </c:pt>
                <c:pt idx="127">
                  <c:v>728.92000000000064</c:v>
                </c:pt>
                <c:pt idx="128">
                  <c:v>728.92000000000064</c:v>
                </c:pt>
                <c:pt idx="129">
                  <c:v>728.92000000000064</c:v>
                </c:pt>
                <c:pt idx="130">
                  <c:v>728.92000000000064</c:v>
                </c:pt>
                <c:pt idx="131">
                  <c:v>728.92000000000064</c:v>
                </c:pt>
                <c:pt idx="132">
                  <c:v>729.12000000000069</c:v>
                </c:pt>
                <c:pt idx="133">
                  <c:v>729.82000000000073</c:v>
                </c:pt>
                <c:pt idx="134">
                  <c:v>730.12000000000069</c:v>
                </c:pt>
                <c:pt idx="135">
                  <c:v>730.12000000000069</c:v>
                </c:pt>
                <c:pt idx="136">
                  <c:v>730.32000000000073</c:v>
                </c:pt>
                <c:pt idx="137">
                  <c:v>733.58000000000072</c:v>
                </c:pt>
                <c:pt idx="138">
                  <c:v>734.92000000000075</c:v>
                </c:pt>
                <c:pt idx="139">
                  <c:v>735.04000000000076</c:v>
                </c:pt>
                <c:pt idx="140">
                  <c:v>735.39000000000078</c:v>
                </c:pt>
                <c:pt idx="141">
                  <c:v>736.1200000000008</c:v>
                </c:pt>
                <c:pt idx="142">
                  <c:v>736.26000000000079</c:v>
                </c:pt>
                <c:pt idx="143">
                  <c:v>736.6200000000008</c:v>
                </c:pt>
                <c:pt idx="144">
                  <c:v>739.92000000000075</c:v>
                </c:pt>
                <c:pt idx="145">
                  <c:v>739.92000000000075</c:v>
                </c:pt>
                <c:pt idx="146">
                  <c:v>742.82000000000073</c:v>
                </c:pt>
                <c:pt idx="147">
                  <c:v>743.02000000000078</c:v>
                </c:pt>
                <c:pt idx="148">
                  <c:v>744.18000000000075</c:v>
                </c:pt>
                <c:pt idx="149">
                  <c:v>746.72000000000071</c:v>
                </c:pt>
                <c:pt idx="150">
                  <c:v>746.72000000000071</c:v>
                </c:pt>
                <c:pt idx="151">
                  <c:v>747.22000000000071</c:v>
                </c:pt>
                <c:pt idx="152">
                  <c:v>747.54000000000076</c:v>
                </c:pt>
                <c:pt idx="153">
                  <c:v>748.82000000000073</c:v>
                </c:pt>
                <c:pt idx="154">
                  <c:v>749.3600000000007</c:v>
                </c:pt>
                <c:pt idx="155">
                  <c:v>749.72000000000071</c:v>
                </c:pt>
                <c:pt idx="156">
                  <c:v>749.72000000000071</c:v>
                </c:pt>
                <c:pt idx="157">
                  <c:v>749.72000000000071</c:v>
                </c:pt>
                <c:pt idx="158">
                  <c:v>750.62000000000069</c:v>
                </c:pt>
                <c:pt idx="159">
                  <c:v>750.62000000000069</c:v>
                </c:pt>
                <c:pt idx="160">
                  <c:v>751.64000000000067</c:v>
                </c:pt>
                <c:pt idx="161">
                  <c:v>752.02000000000066</c:v>
                </c:pt>
                <c:pt idx="162">
                  <c:v>752.32000000000062</c:v>
                </c:pt>
                <c:pt idx="163">
                  <c:v>753.62000000000057</c:v>
                </c:pt>
                <c:pt idx="164">
                  <c:v>753.62000000000057</c:v>
                </c:pt>
                <c:pt idx="165">
                  <c:v>753.62000000000057</c:v>
                </c:pt>
                <c:pt idx="166">
                  <c:v>753.62000000000057</c:v>
                </c:pt>
                <c:pt idx="167">
                  <c:v>753.62000000000057</c:v>
                </c:pt>
                <c:pt idx="168">
                  <c:v>753.62000000000057</c:v>
                </c:pt>
                <c:pt idx="169">
                  <c:v>753.62000000000057</c:v>
                </c:pt>
                <c:pt idx="170">
                  <c:v>753.62000000000057</c:v>
                </c:pt>
                <c:pt idx="171">
                  <c:v>753.62000000000057</c:v>
                </c:pt>
                <c:pt idx="172">
                  <c:v>753.62000000000057</c:v>
                </c:pt>
                <c:pt idx="173">
                  <c:v>753.62000000000057</c:v>
                </c:pt>
                <c:pt idx="174">
                  <c:v>754.2200000000006</c:v>
                </c:pt>
                <c:pt idx="175">
                  <c:v>754.82000000000062</c:v>
                </c:pt>
                <c:pt idx="176">
                  <c:v>754.82000000000062</c:v>
                </c:pt>
                <c:pt idx="177">
                  <c:v>762.42000000000064</c:v>
                </c:pt>
                <c:pt idx="178">
                  <c:v>762.42000000000064</c:v>
                </c:pt>
                <c:pt idx="179">
                  <c:v>762.42000000000064</c:v>
                </c:pt>
                <c:pt idx="180">
                  <c:v>762.42000000000064</c:v>
                </c:pt>
                <c:pt idx="181">
                  <c:v>762.62000000000069</c:v>
                </c:pt>
                <c:pt idx="182">
                  <c:v>763.32000000000073</c:v>
                </c:pt>
                <c:pt idx="183">
                  <c:v>764.32000000000073</c:v>
                </c:pt>
                <c:pt idx="184">
                  <c:v>764.32000000000073</c:v>
                </c:pt>
                <c:pt idx="185">
                  <c:v>764.32000000000073</c:v>
                </c:pt>
                <c:pt idx="186">
                  <c:v>764.32000000000073</c:v>
                </c:pt>
                <c:pt idx="187">
                  <c:v>764.32000000000073</c:v>
                </c:pt>
                <c:pt idx="188">
                  <c:v>764.32000000000073</c:v>
                </c:pt>
                <c:pt idx="189">
                  <c:v>764.32000000000073</c:v>
                </c:pt>
                <c:pt idx="190">
                  <c:v>764.32000000000073</c:v>
                </c:pt>
                <c:pt idx="191">
                  <c:v>764.32000000000073</c:v>
                </c:pt>
                <c:pt idx="192">
                  <c:v>764.32000000000073</c:v>
                </c:pt>
              </c:numCache>
            </c:numRef>
          </c:yVal>
          <c:smooth val="0"/>
        </c:ser>
        <c:ser>
          <c:idx val="1"/>
          <c:order val="1"/>
          <c:tx>
            <c:v>Woodford Bcc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cumulative!$C$3:$C$195</c:f>
              <c:numCache>
                <c:formatCode>General</c:formatCode>
                <c:ptCount val="1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5.6</c:v>
                </c:pt>
                <c:pt idx="18">
                  <c:v>38.9</c:v>
                </c:pt>
                <c:pt idx="19">
                  <c:v>53.8</c:v>
                </c:pt>
                <c:pt idx="20">
                  <c:v>58.099999999999994</c:v>
                </c:pt>
                <c:pt idx="21">
                  <c:v>93.899999999999991</c:v>
                </c:pt>
                <c:pt idx="22">
                  <c:v>136.6</c:v>
                </c:pt>
                <c:pt idx="23">
                  <c:v>187.89999999999998</c:v>
                </c:pt>
                <c:pt idx="24">
                  <c:v>189.09999999999997</c:v>
                </c:pt>
                <c:pt idx="25">
                  <c:v>189.09999999999997</c:v>
                </c:pt>
                <c:pt idx="26">
                  <c:v>189.69999999999996</c:v>
                </c:pt>
                <c:pt idx="27">
                  <c:v>189.69999999999996</c:v>
                </c:pt>
                <c:pt idx="28">
                  <c:v>192.19999999999996</c:v>
                </c:pt>
                <c:pt idx="29">
                  <c:v>200.89999999999995</c:v>
                </c:pt>
                <c:pt idx="30">
                  <c:v>202.09999999999994</c:v>
                </c:pt>
                <c:pt idx="31">
                  <c:v>215.69999999999993</c:v>
                </c:pt>
                <c:pt idx="32">
                  <c:v>232.39999999999992</c:v>
                </c:pt>
                <c:pt idx="33">
                  <c:v>240.39999999999992</c:v>
                </c:pt>
                <c:pt idx="34">
                  <c:v>241.59999999999991</c:v>
                </c:pt>
                <c:pt idx="35">
                  <c:v>242.89999999999992</c:v>
                </c:pt>
                <c:pt idx="36">
                  <c:v>244.69999999999993</c:v>
                </c:pt>
                <c:pt idx="37">
                  <c:v>245.99999999999994</c:v>
                </c:pt>
                <c:pt idx="38">
                  <c:v>246.59999999999994</c:v>
                </c:pt>
                <c:pt idx="39">
                  <c:v>247.19999999999993</c:v>
                </c:pt>
                <c:pt idx="40">
                  <c:v>247.19999999999993</c:v>
                </c:pt>
                <c:pt idx="41">
                  <c:v>247.19999999999993</c:v>
                </c:pt>
                <c:pt idx="42">
                  <c:v>247.19999999999993</c:v>
                </c:pt>
                <c:pt idx="43">
                  <c:v>247.19999999999993</c:v>
                </c:pt>
                <c:pt idx="44">
                  <c:v>248.39999999999992</c:v>
                </c:pt>
                <c:pt idx="45">
                  <c:v>248.39999999999992</c:v>
                </c:pt>
                <c:pt idx="46">
                  <c:v>248.39999999999992</c:v>
                </c:pt>
                <c:pt idx="47">
                  <c:v>248.39999999999992</c:v>
                </c:pt>
                <c:pt idx="48">
                  <c:v>248.39999999999992</c:v>
                </c:pt>
                <c:pt idx="49">
                  <c:v>249.09999999999991</c:v>
                </c:pt>
                <c:pt idx="50">
                  <c:v>249.09999999999991</c:v>
                </c:pt>
                <c:pt idx="51">
                  <c:v>249.09999999999991</c:v>
                </c:pt>
                <c:pt idx="52">
                  <c:v>249.09999999999991</c:v>
                </c:pt>
                <c:pt idx="53">
                  <c:v>249.09999999999991</c:v>
                </c:pt>
                <c:pt idx="54">
                  <c:v>250.2999999999999</c:v>
                </c:pt>
                <c:pt idx="55">
                  <c:v>261.39999999999992</c:v>
                </c:pt>
                <c:pt idx="56">
                  <c:v>280.59999999999991</c:v>
                </c:pt>
                <c:pt idx="57">
                  <c:v>319.49999999999989</c:v>
                </c:pt>
                <c:pt idx="58">
                  <c:v>327.49999999999989</c:v>
                </c:pt>
                <c:pt idx="59">
                  <c:v>355.2999999999999</c:v>
                </c:pt>
                <c:pt idx="60">
                  <c:v>390.59999999999991</c:v>
                </c:pt>
                <c:pt idx="61">
                  <c:v>419.59999999999991</c:v>
                </c:pt>
                <c:pt idx="62">
                  <c:v>446.19999999999993</c:v>
                </c:pt>
                <c:pt idx="63">
                  <c:v>460.99999999999994</c:v>
                </c:pt>
                <c:pt idx="64">
                  <c:v>476.49999999999994</c:v>
                </c:pt>
                <c:pt idx="65">
                  <c:v>488.19999999999993</c:v>
                </c:pt>
                <c:pt idx="66">
                  <c:v>496.29999999999995</c:v>
                </c:pt>
                <c:pt idx="67">
                  <c:v>502.4</c:v>
                </c:pt>
                <c:pt idx="68">
                  <c:v>506.79999999999995</c:v>
                </c:pt>
                <c:pt idx="69">
                  <c:v>514.19999999999993</c:v>
                </c:pt>
                <c:pt idx="70">
                  <c:v>524.09999999999991</c:v>
                </c:pt>
                <c:pt idx="71">
                  <c:v>527.19999999999993</c:v>
                </c:pt>
                <c:pt idx="72">
                  <c:v>529.59999999999991</c:v>
                </c:pt>
                <c:pt idx="73">
                  <c:v>535.19999999999993</c:v>
                </c:pt>
                <c:pt idx="74">
                  <c:v>543.79999999999995</c:v>
                </c:pt>
                <c:pt idx="75">
                  <c:v>551.9</c:v>
                </c:pt>
                <c:pt idx="76">
                  <c:v>560.5</c:v>
                </c:pt>
                <c:pt idx="77">
                  <c:v>569.20000000000005</c:v>
                </c:pt>
                <c:pt idx="78">
                  <c:v>576.6</c:v>
                </c:pt>
                <c:pt idx="79">
                  <c:v>582.20000000000005</c:v>
                </c:pt>
                <c:pt idx="80">
                  <c:v>585.90000000000009</c:v>
                </c:pt>
                <c:pt idx="81">
                  <c:v>593.30000000000007</c:v>
                </c:pt>
                <c:pt idx="82">
                  <c:v>596.40000000000009</c:v>
                </c:pt>
                <c:pt idx="83">
                  <c:v>597.60000000000014</c:v>
                </c:pt>
                <c:pt idx="84">
                  <c:v>599.50000000000011</c:v>
                </c:pt>
                <c:pt idx="85">
                  <c:v>602.60000000000014</c:v>
                </c:pt>
                <c:pt idx="86">
                  <c:v>603.80000000000018</c:v>
                </c:pt>
                <c:pt idx="87">
                  <c:v>605.60000000000014</c:v>
                </c:pt>
                <c:pt idx="88">
                  <c:v>606.30000000000018</c:v>
                </c:pt>
                <c:pt idx="89">
                  <c:v>606.30000000000018</c:v>
                </c:pt>
                <c:pt idx="90">
                  <c:v>606.30000000000018</c:v>
                </c:pt>
                <c:pt idx="91">
                  <c:v>606.9000000000002</c:v>
                </c:pt>
                <c:pt idx="92">
                  <c:v>608.70000000000016</c:v>
                </c:pt>
                <c:pt idx="93">
                  <c:v>609.30000000000018</c:v>
                </c:pt>
                <c:pt idx="94">
                  <c:v>610.60000000000014</c:v>
                </c:pt>
                <c:pt idx="95">
                  <c:v>613.10000000000014</c:v>
                </c:pt>
                <c:pt idx="96">
                  <c:v>614.90000000000009</c:v>
                </c:pt>
                <c:pt idx="97">
                  <c:v>614.90000000000009</c:v>
                </c:pt>
                <c:pt idx="98">
                  <c:v>614.90000000000009</c:v>
                </c:pt>
                <c:pt idx="99">
                  <c:v>614.90000000000009</c:v>
                </c:pt>
                <c:pt idx="100">
                  <c:v>614.90000000000009</c:v>
                </c:pt>
                <c:pt idx="101">
                  <c:v>614.90000000000009</c:v>
                </c:pt>
                <c:pt idx="102">
                  <c:v>614.90000000000009</c:v>
                </c:pt>
                <c:pt idx="103">
                  <c:v>614.90000000000009</c:v>
                </c:pt>
                <c:pt idx="104">
                  <c:v>614.90000000000009</c:v>
                </c:pt>
                <c:pt idx="105">
                  <c:v>614.90000000000009</c:v>
                </c:pt>
                <c:pt idx="106">
                  <c:v>614.90000000000009</c:v>
                </c:pt>
                <c:pt idx="107">
                  <c:v>614.90000000000009</c:v>
                </c:pt>
                <c:pt idx="108">
                  <c:v>614.90000000000009</c:v>
                </c:pt>
                <c:pt idx="109">
                  <c:v>614.90000000000009</c:v>
                </c:pt>
                <c:pt idx="110">
                  <c:v>614.90000000000009</c:v>
                </c:pt>
                <c:pt idx="111">
                  <c:v>614.90000000000009</c:v>
                </c:pt>
                <c:pt idx="112">
                  <c:v>614.90000000000009</c:v>
                </c:pt>
                <c:pt idx="113">
                  <c:v>614.90000000000009</c:v>
                </c:pt>
                <c:pt idx="114">
                  <c:v>614.90000000000009</c:v>
                </c:pt>
                <c:pt idx="115">
                  <c:v>614.90000000000009</c:v>
                </c:pt>
                <c:pt idx="116">
                  <c:v>614.90000000000009</c:v>
                </c:pt>
                <c:pt idx="117">
                  <c:v>614.90000000000009</c:v>
                </c:pt>
                <c:pt idx="118">
                  <c:v>614.90000000000009</c:v>
                </c:pt>
                <c:pt idx="119">
                  <c:v>614.90000000000009</c:v>
                </c:pt>
                <c:pt idx="120">
                  <c:v>614.90000000000009</c:v>
                </c:pt>
                <c:pt idx="121">
                  <c:v>614.90000000000009</c:v>
                </c:pt>
                <c:pt idx="122">
                  <c:v>614.90000000000009</c:v>
                </c:pt>
                <c:pt idx="123">
                  <c:v>614.90000000000009</c:v>
                </c:pt>
                <c:pt idx="124">
                  <c:v>614.90000000000009</c:v>
                </c:pt>
                <c:pt idx="125">
                  <c:v>614.90000000000009</c:v>
                </c:pt>
                <c:pt idx="126">
                  <c:v>614.90000000000009</c:v>
                </c:pt>
                <c:pt idx="127">
                  <c:v>614.90000000000009</c:v>
                </c:pt>
                <c:pt idx="128">
                  <c:v>614.90000000000009</c:v>
                </c:pt>
                <c:pt idx="129">
                  <c:v>614.90000000000009</c:v>
                </c:pt>
                <c:pt idx="130">
                  <c:v>614.90000000000009</c:v>
                </c:pt>
                <c:pt idx="131">
                  <c:v>614.90000000000009</c:v>
                </c:pt>
                <c:pt idx="132">
                  <c:v>614.90000000000009</c:v>
                </c:pt>
                <c:pt idx="133">
                  <c:v>614.90000000000009</c:v>
                </c:pt>
                <c:pt idx="134">
                  <c:v>614.90000000000009</c:v>
                </c:pt>
                <c:pt idx="135">
                  <c:v>614.90000000000009</c:v>
                </c:pt>
                <c:pt idx="136">
                  <c:v>614.90000000000009</c:v>
                </c:pt>
                <c:pt idx="137">
                  <c:v>614.90000000000009</c:v>
                </c:pt>
                <c:pt idx="138">
                  <c:v>614.90000000000009</c:v>
                </c:pt>
                <c:pt idx="139">
                  <c:v>614.90000000000009</c:v>
                </c:pt>
                <c:pt idx="140">
                  <c:v>614.90000000000009</c:v>
                </c:pt>
                <c:pt idx="141">
                  <c:v>614.90000000000009</c:v>
                </c:pt>
                <c:pt idx="142">
                  <c:v>614.90000000000009</c:v>
                </c:pt>
                <c:pt idx="143">
                  <c:v>614.90000000000009</c:v>
                </c:pt>
                <c:pt idx="144">
                  <c:v>614.90000000000009</c:v>
                </c:pt>
                <c:pt idx="145">
                  <c:v>614.90000000000009</c:v>
                </c:pt>
                <c:pt idx="146">
                  <c:v>614.90000000000009</c:v>
                </c:pt>
                <c:pt idx="147">
                  <c:v>614.90000000000009</c:v>
                </c:pt>
                <c:pt idx="148">
                  <c:v>614.90000000000009</c:v>
                </c:pt>
                <c:pt idx="149">
                  <c:v>614.90000000000009</c:v>
                </c:pt>
                <c:pt idx="150">
                  <c:v>614.90000000000009</c:v>
                </c:pt>
                <c:pt idx="151">
                  <c:v>614.90000000000009</c:v>
                </c:pt>
                <c:pt idx="152">
                  <c:v>614.90000000000009</c:v>
                </c:pt>
                <c:pt idx="153">
                  <c:v>614.90000000000009</c:v>
                </c:pt>
                <c:pt idx="154">
                  <c:v>614.90000000000009</c:v>
                </c:pt>
                <c:pt idx="155">
                  <c:v>614.90000000000009</c:v>
                </c:pt>
                <c:pt idx="156">
                  <c:v>614.90000000000009</c:v>
                </c:pt>
                <c:pt idx="157">
                  <c:v>614.90000000000009</c:v>
                </c:pt>
                <c:pt idx="158">
                  <c:v>614.90000000000009</c:v>
                </c:pt>
                <c:pt idx="159">
                  <c:v>614.90000000000009</c:v>
                </c:pt>
                <c:pt idx="160">
                  <c:v>614.90000000000009</c:v>
                </c:pt>
                <c:pt idx="161">
                  <c:v>614.90000000000009</c:v>
                </c:pt>
                <c:pt idx="162">
                  <c:v>614.90000000000009</c:v>
                </c:pt>
                <c:pt idx="163">
                  <c:v>614.90000000000009</c:v>
                </c:pt>
                <c:pt idx="164">
                  <c:v>614.90000000000009</c:v>
                </c:pt>
                <c:pt idx="165">
                  <c:v>614.90000000000009</c:v>
                </c:pt>
                <c:pt idx="166">
                  <c:v>614.90000000000009</c:v>
                </c:pt>
                <c:pt idx="167">
                  <c:v>614.90000000000009</c:v>
                </c:pt>
                <c:pt idx="168">
                  <c:v>614.90000000000009</c:v>
                </c:pt>
                <c:pt idx="169">
                  <c:v>614.90000000000009</c:v>
                </c:pt>
                <c:pt idx="170">
                  <c:v>614.90000000000009</c:v>
                </c:pt>
                <c:pt idx="171">
                  <c:v>614.90000000000009</c:v>
                </c:pt>
                <c:pt idx="172">
                  <c:v>614.90000000000009</c:v>
                </c:pt>
                <c:pt idx="173">
                  <c:v>614.90000000000009</c:v>
                </c:pt>
                <c:pt idx="174">
                  <c:v>614.90000000000009</c:v>
                </c:pt>
                <c:pt idx="175">
                  <c:v>614.90000000000009</c:v>
                </c:pt>
                <c:pt idx="176">
                  <c:v>614.90000000000009</c:v>
                </c:pt>
                <c:pt idx="177">
                  <c:v>614.90000000000009</c:v>
                </c:pt>
                <c:pt idx="178">
                  <c:v>614.90000000000009</c:v>
                </c:pt>
                <c:pt idx="179">
                  <c:v>614.90000000000009</c:v>
                </c:pt>
                <c:pt idx="180">
                  <c:v>614.90000000000009</c:v>
                </c:pt>
                <c:pt idx="181">
                  <c:v>614.90000000000009</c:v>
                </c:pt>
                <c:pt idx="182">
                  <c:v>614.90000000000009</c:v>
                </c:pt>
                <c:pt idx="183">
                  <c:v>614.90000000000009</c:v>
                </c:pt>
                <c:pt idx="184">
                  <c:v>614.90000000000009</c:v>
                </c:pt>
                <c:pt idx="185">
                  <c:v>614.90000000000009</c:v>
                </c:pt>
                <c:pt idx="186">
                  <c:v>614.90000000000009</c:v>
                </c:pt>
                <c:pt idx="187">
                  <c:v>614.90000000000009</c:v>
                </c:pt>
                <c:pt idx="188">
                  <c:v>614.90000000000009</c:v>
                </c:pt>
                <c:pt idx="189">
                  <c:v>614.90000000000009</c:v>
                </c:pt>
                <c:pt idx="190">
                  <c:v>614.90000000000009</c:v>
                </c:pt>
                <c:pt idx="191">
                  <c:v>614.90000000000009</c:v>
                </c:pt>
                <c:pt idx="192">
                  <c:v>614.90000000000009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248960"/>
        <c:axId val="248783616"/>
      </c:scatterChart>
      <c:valAx>
        <c:axId val="248248960"/>
        <c:scaling>
          <c:orientation val="minMax"/>
          <c:max val="27061.375"/>
          <c:min val="27053.37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Date Time</a:t>
                </a:r>
                <a:endParaRPr/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txPr>
          <a:bodyPr rot="-900000" vert="horz"/>
          <a:lstStyle/>
          <a:p>
            <a:pPr>
              <a:defRPr/>
            </a:pPr>
            <a:endParaRPr lang="en-US"/>
          </a:p>
        </c:txPr>
        <c:crossAx val="248783616"/>
        <c:crosses val="autoZero"/>
        <c:crossBetween val="midCat"/>
      </c:valAx>
      <c:valAx>
        <c:axId val="2487836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Rainfall (mm)</a:t>
                </a:r>
                <a:endParaRPr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82489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Upper- Pluviograph</a:t>
            </a:r>
            <a:endParaRPr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Benarkin Forest Stn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cumulative!$D$3:$D$195</c:f>
              <c:numCache>
                <c:formatCode>General</c:formatCode>
                <c:ptCount val="19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4</c:v>
                </c:pt>
                <c:pt idx="4">
                  <c:v>7</c:v>
                </c:pt>
                <c:pt idx="5">
                  <c:v>11</c:v>
                </c:pt>
                <c:pt idx="6">
                  <c:v>12</c:v>
                </c:pt>
                <c:pt idx="7">
                  <c:v>15</c:v>
                </c:pt>
                <c:pt idx="8">
                  <c:v>20</c:v>
                </c:pt>
                <c:pt idx="9">
                  <c:v>21</c:v>
                </c:pt>
                <c:pt idx="10">
                  <c:v>22</c:v>
                </c:pt>
                <c:pt idx="11">
                  <c:v>25</c:v>
                </c:pt>
                <c:pt idx="12">
                  <c:v>28</c:v>
                </c:pt>
                <c:pt idx="13">
                  <c:v>31</c:v>
                </c:pt>
                <c:pt idx="14">
                  <c:v>35</c:v>
                </c:pt>
                <c:pt idx="15">
                  <c:v>38</c:v>
                </c:pt>
                <c:pt idx="16">
                  <c:v>42</c:v>
                </c:pt>
                <c:pt idx="17">
                  <c:v>49</c:v>
                </c:pt>
                <c:pt idx="18">
                  <c:v>54</c:v>
                </c:pt>
                <c:pt idx="19">
                  <c:v>60</c:v>
                </c:pt>
                <c:pt idx="20">
                  <c:v>64</c:v>
                </c:pt>
                <c:pt idx="21">
                  <c:v>67</c:v>
                </c:pt>
                <c:pt idx="22">
                  <c:v>70</c:v>
                </c:pt>
                <c:pt idx="23">
                  <c:v>74</c:v>
                </c:pt>
                <c:pt idx="24">
                  <c:v>76</c:v>
                </c:pt>
                <c:pt idx="25">
                  <c:v>76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81</c:v>
                </c:pt>
                <c:pt idx="33">
                  <c:v>81</c:v>
                </c:pt>
                <c:pt idx="34">
                  <c:v>84</c:v>
                </c:pt>
                <c:pt idx="35">
                  <c:v>89</c:v>
                </c:pt>
                <c:pt idx="36">
                  <c:v>100</c:v>
                </c:pt>
                <c:pt idx="37">
                  <c:v>110</c:v>
                </c:pt>
                <c:pt idx="38">
                  <c:v>132</c:v>
                </c:pt>
                <c:pt idx="39">
                  <c:v>141</c:v>
                </c:pt>
                <c:pt idx="40">
                  <c:v>153</c:v>
                </c:pt>
                <c:pt idx="41">
                  <c:v>165</c:v>
                </c:pt>
                <c:pt idx="42">
                  <c:v>178</c:v>
                </c:pt>
                <c:pt idx="43">
                  <c:v>181</c:v>
                </c:pt>
                <c:pt idx="44">
                  <c:v>181</c:v>
                </c:pt>
                <c:pt idx="45">
                  <c:v>182</c:v>
                </c:pt>
                <c:pt idx="46">
                  <c:v>182</c:v>
                </c:pt>
                <c:pt idx="47">
                  <c:v>182</c:v>
                </c:pt>
                <c:pt idx="48">
                  <c:v>182</c:v>
                </c:pt>
                <c:pt idx="49">
                  <c:v>182</c:v>
                </c:pt>
                <c:pt idx="50">
                  <c:v>184</c:v>
                </c:pt>
                <c:pt idx="51">
                  <c:v>184</c:v>
                </c:pt>
                <c:pt idx="52">
                  <c:v>186</c:v>
                </c:pt>
                <c:pt idx="53">
                  <c:v>194</c:v>
                </c:pt>
                <c:pt idx="54">
                  <c:v>195</c:v>
                </c:pt>
                <c:pt idx="55">
                  <c:v>206</c:v>
                </c:pt>
                <c:pt idx="56">
                  <c:v>206</c:v>
                </c:pt>
                <c:pt idx="57">
                  <c:v>209</c:v>
                </c:pt>
                <c:pt idx="58">
                  <c:v>215</c:v>
                </c:pt>
                <c:pt idx="59">
                  <c:v>227</c:v>
                </c:pt>
                <c:pt idx="60">
                  <c:v>231</c:v>
                </c:pt>
                <c:pt idx="61">
                  <c:v>234</c:v>
                </c:pt>
                <c:pt idx="62">
                  <c:v>239</c:v>
                </c:pt>
                <c:pt idx="63">
                  <c:v>256</c:v>
                </c:pt>
                <c:pt idx="64">
                  <c:v>274</c:v>
                </c:pt>
                <c:pt idx="65">
                  <c:v>283</c:v>
                </c:pt>
                <c:pt idx="66">
                  <c:v>291</c:v>
                </c:pt>
                <c:pt idx="67">
                  <c:v>303</c:v>
                </c:pt>
                <c:pt idx="68">
                  <c:v>310</c:v>
                </c:pt>
                <c:pt idx="69">
                  <c:v>313</c:v>
                </c:pt>
                <c:pt idx="70">
                  <c:v>319</c:v>
                </c:pt>
                <c:pt idx="71">
                  <c:v>321</c:v>
                </c:pt>
                <c:pt idx="72">
                  <c:v>323</c:v>
                </c:pt>
                <c:pt idx="73">
                  <c:v>325</c:v>
                </c:pt>
                <c:pt idx="74">
                  <c:v>328</c:v>
                </c:pt>
                <c:pt idx="75">
                  <c:v>330</c:v>
                </c:pt>
                <c:pt idx="76">
                  <c:v>332</c:v>
                </c:pt>
                <c:pt idx="77">
                  <c:v>334</c:v>
                </c:pt>
                <c:pt idx="78">
                  <c:v>337</c:v>
                </c:pt>
                <c:pt idx="79">
                  <c:v>343</c:v>
                </c:pt>
                <c:pt idx="80">
                  <c:v>348</c:v>
                </c:pt>
                <c:pt idx="81">
                  <c:v>354</c:v>
                </c:pt>
                <c:pt idx="82">
                  <c:v>359</c:v>
                </c:pt>
                <c:pt idx="83">
                  <c:v>361</c:v>
                </c:pt>
                <c:pt idx="84">
                  <c:v>361</c:v>
                </c:pt>
                <c:pt idx="85">
                  <c:v>362</c:v>
                </c:pt>
                <c:pt idx="86">
                  <c:v>363</c:v>
                </c:pt>
                <c:pt idx="87">
                  <c:v>364</c:v>
                </c:pt>
                <c:pt idx="88">
                  <c:v>366</c:v>
                </c:pt>
                <c:pt idx="89">
                  <c:v>369</c:v>
                </c:pt>
                <c:pt idx="90">
                  <c:v>372</c:v>
                </c:pt>
                <c:pt idx="91">
                  <c:v>373</c:v>
                </c:pt>
                <c:pt idx="92">
                  <c:v>373</c:v>
                </c:pt>
                <c:pt idx="93">
                  <c:v>374</c:v>
                </c:pt>
                <c:pt idx="94">
                  <c:v>374</c:v>
                </c:pt>
                <c:pt idx="95">
                  <c:v>374</c:v>
                </c:pt>
                <c:pt idx="96">
                  <c:v>375</c:v>
                </c:pt>
                <c:pt idx="97">
                  <c:v>375</c:v>
                </c:pt>
                <c:pt idx="98">
                  <c:v>375</c:v>
                </c:pt>
                <c:pt idx="99">
                  <c:v>375</c:v>
                </c:pt>
                <c:pt idx="100">
                  <c:v>375</c:v>
                </c:pt>
                <c:pt idx="101">
                  <c:v>375</c:v>
                </c:pt>
                <c:pt idx="102">
                  <c:v>375</c:v>
                </c:pt>
                <c:pt idx="103">
                  <c:v>375</c:v>
                </c:pt>
                <c:pt idx="104">
                  <c:v>375</c:v>
                </c:pt>
                <c:pt idx="105">
                  <c:v>375</c:v>
                </c:pt>
                <c:pt idx="106">
                  <c:v>375</c:v>
                </c:pt>
                <c:pt idx="107">
                  <c:v>375</c:v>
                </c:pt>
                <c:pt idx="108">
                  <c:v>375</c:v>
                </c:pt>
                <c:pt idx="109">
                  <c:v>375</c:v>
                </c:pt>
                <c:pt idx="110">
                  <c:v>375</c:v>
                </c:pt>
                <c:pt idx="111">
                  <c:v>375</c:v>
                </c:pt>
                <c:pt idx="112">
                  <c:v>375</c:v>
                </c:pt>
                <c:pt idx="113">
                  <c:v>375</c:v>
                </c:pt>
                <c:pt idx="114">
                  <c:v>375</c:v>
                </c:pt>
                <c:pt idx="115">
                  <c:v>375</c:v>
                </c:pt>
                <c:pt idx="116">
                  <c:v>375</c:v>
                </c:pt>
                <c:pt idx="117">
                  <c:v>375</c:v>
                </c:pt>
                <c:pt idx="118">
                  <c:v>375</c:v>
                </c:pt>
                <c:pt idx="119">
                  <c:v>375</c:v>
                </c:pt>
                <c:pt idx="120">
                  <c:v>375</c:v>
                </c:pt>
                <c:pt idx="121">
                  <c:v>375</c:v>
                </c:pt>
                <c:pt idx="122">
                  <c:v>375</c:v>
                </c:pt>
                <c:pt idx="123">
                  <c:v>375</c:v>
                </c:pt>
                <c:pt idx="124">
                  <c:v>375</c:v>
                </c:pt>
                <c:pt idx="125">
                  <c:v>375</c:v>
                </c:pt>
                <c:pt idx="126">
                  <c:v>375</c:v>
                </c:pt>
                <c:pt idx="127">
                  <c:v>375</c:v>
                </c:pt>
                <c:pt idx="128">
                  <c:v>375</c:v>
                </c:pt>
                <c:pt idx="129">
                  <c:v>375</c:v>
                </c:pt>
                <c:pt idx="130">
                  <c:v>375</c:v>
                </c:pt>
                <c:pt idx="131">
                  <c:v>375</c:v>
                </c:pt>
                <c:pt idx="132">
                  <c:v>375</c:v>
                </c:pt>
                <c:pt idx="133">
                  <c:v>375</c:v>
                </c:pt>
                <c:pt idx="134">
                  <c:v>375</c:v>
                </c:pt>
                <c:pt idx="135">
                  <c:v>375</c:v>
                </c:pt>
                <c:pt idx="136">
                  <c:v>375</c:v>
                </c:pt>
                <c:pt idx="137">
                  <c:v>375</c:v>
                </c:pt>
                <c:pt idx="138">
                  <c:v>375</c:v>
                </c:pt>
                <c:pt idx="139">
                  <c:v>375</c:v>
                </c:pt>
                <c:pt idx="140">
                  <c:v>375</c:v>
                </c:pt>
                <c:pt idx="141">
                  <c:v>375</c:v>
                </c:pt>
                <c:pt idx="142">
                  <c:v>375</c:v>
                </c:pt>
                <c:pt idx="143">
                  <c:v>375</c:v>
                </c:pt>
                <c:pt idx="144">
                  <c:v>375</c:v>
                </c:pt>
                <c:pt idx="145">
                  <c:v>375</c:v>
                </c:pt>
                <c:pt idx="146">
                  <c:v>375</c:v>
                </c:pt>
                <c:pt idx="147">
                  <c:v>375</c:v>
                </c:pt>
                <c:pt idx="148">
                  <c:v>375</c:v>
                </c:pt>
                <c:pt idx="149">
                  <c:v>375</c:v>
                </c:pt>
                <c:pt idx="150">
                  <c:v>375</c:v>
                </c:pt>
                <c:pt idx="151">
                  <c:v>375</c:v>
                </c:pt>
                <c:pt idx="152">
                  <c:v>375</c:v>
                </c:pt>
                <c:pt idx="153">
                  <c:v>375</c:v>
                </c:pt>
                <c:pt idx="154">
                  <c:v>375</c:v>
                </c:pt>
                <c:pt idx="155">
                  <c:v>375</c:v>
                </c:pt>
                <c:pt idx="156">
                  <c:v>375</c:v>
                </c:pt>
                <c:pt idx="157">
                  <c:v>375</c:v>
                </c:pt>
                <c:pt idx="158">
                  <c:v>375</c:v>
                </c:pt>
                <c:pt idx="159">
                  <c:v>375</c:v>
                </c:pt>
                <c:pt idx="160">
                  <c:v>375</c:v>
                </c:pt>
                <c:pt idx="161">
                  <c:v>375</c:v>
                </c:pt>
                <c:pt idx="162">
                  <c:v>375</c:v>
                </c:pt>
                <c:pt idx="163">
                  <c:v>375</c:v>
                </c:pt>
                <c:pt idx="164">
                  <c:v>375</c:v>
                </c:pt>
                <c:pt idx="165">
                  <c:v>375</c:v>
                </c:pt>
                <c:pt idx="166">
                  <c:v>375</c:v>
                </c:pt>
                <c:pt idx="167">
                  <c:v>375</c:v>
                </c:pt>
                <c:pt idx="168">
                  <c:v>375</c:v>
                </c:pt>
                <c:pt idx="169">
                  <c:v>375</c:v>
                </c:pt>
                <c:pt idx="170">
                  <c:v>375</c:v>
                </c:pt>
                <c:pt idx="171">
                  <c:v>375</c:v>
                </c:pt>
                <c:pt idx="172">
                  <c:v>375</c:v>
                </c:pt>
                <c:pt idx="173">
                  <c:v>375</c:v>
                </c:pt>
                <c:pt idx="174">
                  <c:v>375</c:v>
                </c:pt>
                <c:pt idx="175">
                  <c:v>375</c:v>
                </c:pt>
                <c:pt idx="176">
                  <c:v>375</c:v>
                </c:pt>
                <c:pt idx="177">
                  <c:v>375</c:v>
                </c:pt>
                <c:pt idx="178">
                  <c:v>375</c:v>
                </c:pt>
                <c:pt idx="179">
                  <c:v>375</c:v>
                </c:pt>
                <c:pt idx="180">
                  <c:v>375</c:v>
                </c:pt>
                <c:pt idx="181">
                  <c:v>375</c:v>
                </c:pt>
                <c:pt idx="182">
                  <c:v>375</c:v>
                </c:pt>
                <c:pt idx="183">
                  <c:v>375</c:v>
                </c:pt>
                <c:pt idx="184">
                  <c:v>375</c:v>
                </c:pt>
                <c:pt idx="185">
                  <c:v>375</c:v>
                </c:pt>
                <c:pt idx="186">
                  <c:v>375</c:v>
                </c:pt>
                <c:pt idx="187">
                  <c:v>375</c:v>
                </c:pt>
                <c:pt idx="188">
                  <c:v>375</c:v>
                </c:pt>
                <c:pt idx="189">
                  <c:v>375</c:v>
                </c:pt>
                <c:pt idx="190">
                  <c:v>375</c:v>
                </c:pt>
                <c:pt idx="191">
                  <c:v>375</c:v>
                </c:pt>
                <c:pt idx="192">
                  <c:v>375</c:v>
                </c:pt>
              </c:numCache>
            </c:numRef>
          </c:yVal>
          <c:smooth val="0"/>
        </c:ser>
        <c:ser>
          <c:idx val="1"/>
          <c:order val="1"/>
          <c:tx>
            <c:v>Esk Dale West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cumulative!$E$3:$E$195</c:f>
              <c:numCache>
                <c:formatCode>General</c:formatCode>
                <c:ptCount val="1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8</c:v>
                </c:pt>
                <c:pt idx="12">
                  <c:v>8</c:v>
                </c:pt>
                <c:pt idx="13">
                  <c:v>11</c:v>
                </c:pt>
                <c:pt idx="14">
                  <c:v>13</c:v>
                </c:pt>
                <c:pt idx="15">
                  <c:v>14</c:v>
                </c:pt>
                <c:pt idx="16">
                  <c:v>16</c:v>
                </c:pt>
                <c:pt idx="17">
                  <c:v>22</c:v>
                </c:pt>
                <c:pt idx="18">
                  <c:v>29</c:v>
                </c:pt>
                <c:pt idx="19">
                  <c:v>33</c:v>
                </c:pt>
                <c:pt idx="20">
                  <c:v>33</c:v>
                </c:pt>
                <c:pt idx="21">
                  <c:v>37</c:v>
                </c:pt>
                <c:pt idx="22">
                  <c:v>40</c:v>
                </c:pt>
                <c:pt idx="23">
                  <c:v>41</c:v>
                </c:pt>
                <c:pt idx="24">
                  <c:v>46</c:v>
                </c:pt>
                <c:pt idx="25">
                  <c:v>49</c:v>
                </c:pt>
                <c:pt idx="26">
                  <c:v>51</c:v>
                </c:pt>
                <c:pt idx="27">
                  <c:v>52</c:v>
                </c:pt>
                <c:pt idx="28">
                  <c:v>53</c:v>
                </c:pt>
                <c:pt idx="29">
                  <c:v>58</c:v>
                </c:pt>
                <c:pt idx="30">
                  <c:v>62</c:v>
                </c:pt>
                <c:pt idx="31">
                  <c:v>62</c:v>
                </c:pt>
                <c:pt idx="32">
                  <c:v>62</c:v>
                </c:pt>
                <c:pt idx="33">
                  <c:v>62</c:v>
                </c:pt>
                <c:pt idx="34">
                  <c:v>62</c:v>
                </c:pt>
                <c:pt idx="35">
                  <c:v>62</c:v>
                </c:pt>
                <c:pt idx="36">
                  <c:v>62</c:v>
                </c:pt>
                <c:pt idx="37">
                  <c:v>62</c:v>
                </c:pt>
                <c:pt idx="38">
                  <c:v>63</c:v>
                </c:pt>
                <c:pt idx="39">
                  <c:v>66</c:v>
                </c:pt>
                <c:pt idx="40">
                  <c:v>75</c:v>
                </c:pt>
                <c:pt idx="41">
                  <c:v>84</c:v>
                </c:pt>
                <c:pt idx="42">
                  <c:v>110</c:v>
                </c:pt>
                <c:pt idx="43">
                  <c:v>129</c:v>
                </c:pt>
                <c:pt idx="44">
                  <c:v>137</c:v>
                </c:pt>
                <c:pt idx="45">
                  <c:v>139</c:v>
                </c:pt>
                <c:pt idx="46">
                  <c:v>139</c:v>
                </c:pt>
                <c:pt idx="47">
                  <c:v>139</c:v>
                </c:pt>
                <c:pt idx="48">
                  <c:v>139</c:v>
                </c:pt>
                <c:pt idx="49">
                  <c:v>139</c:v>
                </c:pt>
                <c:pt idx="50">
                  <c:v>139</c:v>
                </c:pt>
                <c:pt idx="51">
                  <c:v>139</c:v>
                </c:pt>
                <c:pt idx="52">
                  <c:v>142</c:v>
                </c:pt>
                <c:pt idx="53">
                  <c:v>157</c:v>
                </c:pt>
                <c:pt idx="54">
                  <c:v>175</c:v>
                </c:pt>
                <c:pt idx="55">
                  <c:v>176</c:v>
                </c:pt>
                <c:pt idx="56">
                  <c:v>182</c:v>
                </c:pt>
                <c:pt idx="57">
                  <c:v>187</c:v>
                </c:pt>
                <c:pt idx="58">
                  <c:v>189</c:v>
                </c:pt>
                <c:pt idx="59">
                  <c:v>195</c:v>
                </c:pt>
                <c:pt idx="60">
                  <c:v>201</c:v>
                </c:pt>
                <c:pt idx="61">
                  <c:v>212</c:v>
                </c:pt>
                <c:pt idx="62">
                  <c:v>226</c:v>
                </c:pt>
                <c:pt idx="63">
                  <c:v>231</c:v>
                </c:pt>
                <c:pt idx="64">
                  <c:v>241</c:v>
                </c:pt>
                <c:pt idx="65">
                  <c:v>247</c:v>
                </c:pt>
                <c:pt idx="66">
                  <c:v>254</c:v>
                </c:pt>
                <c:pt idx="67">
                  <c:v>260</c:v>
                </c:pt>
                <c:pt idx="68">
                  <c:v>270</c:v>
                </c:pt>
                <c:pt idx="69">
                  <c:v>281</c:v>
                </c:pt>
                <c:pt idx="70">
                  <c:v>287</c:v>
                </c:pt>
                <c:pt idx="71">
                  <c:v>290</c:v>
                </c:pt>
                <c:pt idx="72">
                  <c:v>295</c:v>
                </c:pt>
                <c:pt idx="73">
                  <c:v>296</c:v>
                </c:pt>
                <c:pt idx="74">
                  <c:v>298</c:v>
                </c:pt>
                <c:pt idx="75">
                  <c:v>302</c:v>
                </c:pt>
                <c:pt idx="76">
                  <c:v>305</c:v>
                </c:pt>
                <c:pt idx="77">
                  <c:v>309</c:v>
                </c:pt>
                <c:pt idx="78">
                  <c:v>312</c:v>
                </c:pt>
                <c:pt idx="79">
                  <c:v>314</c:v>
                </c:pt>
                <c:pt idx="80">
                  <c:v>317</c:v>
                </c:pt>
                <c:pt idx="81">
                  <c:v>321</c:v>
                </c:pt>
                <c:pt idx="82">
                  <c:v>325</c:v>
                </c:pt>
                <c:pt idx="83">
                  <c:v>327</c:v>
                </c:pt>
                <c:pt idx="84">
                  <c:v>328</c:v>
                </c:pt>
                <c:pt idx="85">
                  <c:v>329</c:v>
                </c:pt>
                <c:pt idx="86">
                  <c:v>330</c:v>
                </c:pt>
                <c:pt idx="87">
                  <c:v>331</c:v>
                </c:pt>
                <c:pt idx="88">
                  <c:v>332</c:v>
                </c:pt>
                <c:pt idx="89">
                  <c:v>332</c:v>
                </c:pt>
                <c:pt idx="90">
                  <c:v>333</c:v>
                </c:pt>
                <c:pt idx="91">
                  <c:v>334</c:v>
                </c:pt>
                <c:pt idx="92">
                  <c:v>335</c:v>
                </c:pt>
                <c:pt idx="93">
                  <c:v>336</c:v>
                </c:pt>
                <c:pt idx="94">
                  <c:v>337</c:v>
                </c:pt>
                <c:pt idx="95">
                  <c:v>339</c:v>
                </c:pt>
                <c:pt idx="96">
                  <c:v>341</c:v>
                </c:pt>
                <c:pt idx="97">
                  <c:v>341</c:v>
                </c:pt>
                <c:pt idx="98">
                  <c:v>341</c:v>
                </c:pt>
                <c:pt idx="99">
                  <c:v>341</c:v>
                </c:pt>
                <c:pt idx="100">
                  <c:v>341</c:v>
                </c:pt>
                <c:pt idx="101">
                  <c:v>341</c:v>
                </c:pt>
                <c:pt idx="102">
                  <c:v>341</c:v>
                </c:pt>
                <c:pt idx="103">
                  <c:v>341</c:v>
                </c:pt>
                <c:pt idx="104">
                  <c:v>341</c:v>
                </c:pt>
                <c:pt idx="105">
                  <c:v>341</c:v>
                </c:pt>
                <c:pt idx="106">
                  <c:v>341</c:v>
                </c:pt>
                <c:pt idx="107">
                  <c:v>341</c:v>
                </c:pt>
                <c:pt idx="108">
                  <c:v>341</c:v>
                </c:pt>
                <c:pt idx="109">
                  <c:v>341</c:v>
                </c:pt>
                <c:pt idx="110">
                  <c:v>341</c:v>
                </c:pt>
                <c:pt idx="111">
                  <c:v>341</c:v>
                </c:pt>
                <c:pt idx="112">
                  <c:v>341</c:v>
                </c:pt>
                <c:pt idx="113">
                  <c:v>341</c:v>
                </c:pt>
                <c:pt idx="114">
                  <c:v>341</c:v>
                </c:pt>
                <c:pt idx="115">
                  <c:v>341</c:v>
                </c:pt>
                <c:pt idx="116">
                  <c:v>341</c:v>
                </c:pt>
                <c:pt idx="117">
                  <c:v>341</c:v>
                </c:pt>
                <c:pt idx="118">
                  <c:v>341</c:v>
                </c:pt>
                <c:pt idx="119">
                  <c:v>341</c:v>
                </c:pt>
                <c:pt idx="120">
                  <c:v>341</c:v>
                </c:pt>
                <c:pt idx="121">
                  <c:v>341</c:v>
                </c:pt>
                <c:pt idx="122">
                  <c:v>341</c:v>
                </c:pt>
                <c:pt idx="123">
                  <c:v>341</c:v>
                </c:pt>
                <c:pt idx="124">
                  <c:v>341</c:v>
                </c:pt>
                <c:pt idx="125">
                  <c:v>341</c:v>
                </c:pt>
                <c:pt idx="126">
                  <c:v>341</c:v>
                </c:pt>
                <c:pt idx="127">
                  <c:v>341</c:v>
                </c:pt>
                <c:pt idx="128">
                  <c:v>341</c:v>
                </c:pt>
                <c:pt idx="129">
                  <c:v>341</c:v>
                </c:pt>
                <c:pt idx="130">
                  <c:v>341</c:v>
                </c:pt>
                <c:pt idx="131">
                  <c:v>341</c:v>
                </c:pt>
                <c:pt idx="132">
                  <c:v>341</c:v>
                </c:pt>
                <c:pt idx="133">
                  <c:v>341</c:v>
                </c:pt>
                <c:pt idx="134">
                  <c:v>341</c:v>
                </c:pt>
                <c:pt idx="135">
                  <c:v>341</c:v>
                </c:pt>
                <c:pt idx="136">
                  <c:v>341</c:v>
                </c:pt>
                <c:pt idx="137">
                  <c:v>341</c:v>
                </c:pt>
                <c:pt idx="138">
                  <c:v>341</c:v>
                </c:pt>
                <c:pt idx="139">
                  <c:v>341</c:v>
                </c:pt>
                <c:pt idx="140">
                  <c:v>341</c:v>
                </c:pt>
                <c:pt idx="141">
                  <c:v>341</c:v>
                </c:pt>
                <c:pt idx="142">
                  <c:v>341</c:v>
                </c:pt>
                <c:pt idx="143">
                  <c:v>341</c:v>
                </c:pt>
                <c:pt idx="144">
                  <c:v>341</c:v>
                </c:pt>
                <c:pt idx="145">
                  <c:v>341</c:v>
                </c:pt>
                <c:pt idx="146">
                  <c:v>341</c:v>
                </c:pt>
                <c:pt idx="147">
                  <c:v>341</c:v>
                </c:pt>
                <c:pt idx="148">
                  <c:v>341</c:v>
                </c:pt>
                <c:pt idx="149">
                  <c:v>341</c:v>
                </c:pt>
                <c:pt idx="150">
                  <c:v>341</c:v>
                </c:pt>
                <c:pt idx="151">
                  <c:v>341</c:v>
                </c:pt>
                <c:pt idx="152">
                  <c:v>341</c:v>
                </c:pt>
                <c:pt idx="153">
                  <c:v>341</c:v>
                </c:pt>
                <c:pt idx="154">
                  <c:v>341</c:v>
                </c:pt>
                <c:pt idx="155">
                  <c:v>341</c:v>
                </c:pt>
                <c:pt idx="156">
                  <c:v>341</c:v>
                </c:pt>
                <c:pt idx="157">
                  <c:v>341</c:v>
                </c:pt>
                <c:pt idx="158">
                  <c:v>341</c:v>
                </c:pt>
                <c:pt idx="159">
                  <c:v>341</c:v>
                </c:pt>
                <c:pt idx="160">
                  <c:v>341</c:v>
                </c:pt>
                <c:pt idx="161">
                  <c:v>341</c:v>
                </c:pt>
                <c:pt idx="162">
                  <c:v>341</c:v>
                </c:pt>
                <c:pt idx="163">
                  <c:v>341</c:v>
                </c:pt>
                <c:pt idx="164">
                  <c:v>341</c:v>
                </c:pt>
                <c:pt idx="165">
                  <c:v>341</c:v>
                </c:pt>
                <c:pt idx="166">
                  <c:v>341</c:v>
                </c:pt>
                <c:pt idx="167">
                  <c:v>341</c:v>
                </c:pt>
                <c:pt idx="168">
                  <c:v>341</c:v>
                </c:pt>
                <c:pt idx="169">
                  <c:v>341</c:v>
                </c:pt>
                <c:pt idx="170">
                  <c:v>341</c:v>
                </c:pt>
                <c:pt idx="171">
                  <c:v>341</c:v>
                </c:pt>
                <c:pt idx="172">
                  <c:v>341</c:v>
                </c:pt>
                <c:pt idx="173">
                  <c:v>341</c:v>
                </c:pt>
                <c:pt idx="174">
                  <c:v>341</c:v>
                </c:pt>
                <c:pt idx="175">
                  <c:v>341</c:v>
                </c:pt>
                <c:pt idx="176">
                  <c:v>341</c:v>
                </c:pt>
                <c:pt idx="177">
                  <c:v>341</c:v>
                </c:pt>
                <c:pt idx="178">
                  <c:v>341</c:v>
                </c:pt>
                <c:pt idx="179">
                  <c:v>341</c:v>
                </c:pt>
                <c:pt idx="180">
                  <c:v>341</c:v>
                </c:pt>
                <c:pt idx="181">
                  <c:v>341</c:v>
                </c:pt>
                <c:pt idx="182">
                  <c:v>341</c:v>
                </c:pt>
                <c:pt idx="183">
                  <c:v>341</c:v>
                </c:pt>
                <c:pt idx="184">
                  <c:v>341</c:v>
                </c:pt>
                <c:pt idx="185">
                  <c:v>341</c:v>
                </c:pt>
                <c:pt idx="186">
                  <c:v>341</c:v>
                </c:pt>
                <c:pt idx="187">
                  <c:v>341</c:v>
                </c:pt>
                <c:pt idx="188">
                  <c:v>341</c:v>
                </c:pt>
                <c:pt idx="189">
                  <c:v>341</c:v>
                </c:pt>
                <c:pt idx="190">
                  <c:v>341</c:v>
                </c:pt>
                <c:pt idx="191">
                  <c:v>341</c:v>
                </c:pt>
                <c:pt idx="192">
                  <c:v>341</c:v>
                </c:pt>
              </c:numCache>
            </c:numRef>
          </c:yVal>
          <c:smooth val="0"/>
        </c:ser>
        <c:ser>
          <c:idx val="2"/>
          <c:order val="2"/>
          <c:tx>
            <c:v>Jimna Composite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cumulative!$F$3:$F$195</c:f>
              <c:numCache>
                <c:formatCode>General</c:formatCode>
                <c:ptCount val="193"/>
                <c:pt idx="0">
                  <c:v>0</c:v>
                </c:pt>
                <c:pt idx="1">
                  <c:v>0.9</c:v>
                </c:pt>
                <c:pt idx="2">
                  <c:v>2.56</c:v>
                </c:pt>
                <c:pt idx="3">
                  <c:v>4.5999999999999996</c:v>
                </c:pt>
                <c:pt idx="4">
                  <c:v>6.8</c:v>
                </c:pt>
                <c:pt idx="5">
                  <c:v>6.8999999999999995</c:v>
                </c:pt>
                <c:pt idx="6">
                  <c:v>7.4399999999999995</c:v>
                </c:pt>
                <c:pt idx="7">
                  <c:v>11.7</c:v>
                </c:pt>
                <c:pt idx="8">
                  <c:v>13</c:v>
                </c:pt>
                <c:pt idx="9">
                  <c:v>14.51</c:v>
                </c:pt>
                <c:pt idx="10">
                  <c:v>16.41</c:v>
                </c:pt>
                <c:pt idx="11">
                  <c:v>20.05</c:v>
                </c:pt>
                <c:pt idx="12">
                  <c:v>25.89</c:v>
                </c:pt>
                <c:pt idx="13">
                  <c:v>31.61</c:v>
                </c:pt>
                <c:pt idx="14">
                  <c:v>41.06</c:v>
                </c:pt>
                <c:pt idx="15">
                  <c:v>50.71</c:v>
                </c:pt>
                <c:pt idx="16">
                  <c:v>56.76</c:v>
                </c:pt>
                <c:pt idx="17">
                  <c:v>61.91</c:v>
                </c:pt>
                <c:pt idx="18">
                  <c:v>68.28</c:v>
                </c:pt>
                <c:pt idx="19">
                  <c:v>71</c:v>
                </c:pt>
                <c:pt idx="20">
                  <c:v>73.09</c:v>
                </c:pt>
                <c:pt idx="21">
                  <c:v>76.48</c:v>
                </c:pt>
                <c:pt idx="22">
                  <c:v>77.100000000000009</c:v>
                </c:pt>
                <c:pt idx="23">
                  <c:v>77.100000000000009</c:v>
                </c:pt>
                <c:pt idx="24">
                  <c:v>77.100000000000009</c:v>
                </c:pt>
                <c:pt idx="25">
                  <c:v>77.100000000000009</c:v>
                </c:pt>
                <c:pt idx="26">
                  <c:v>77.100000000000009</c:v>
                </c:pt>
                <c:pt idx="27">
                  <c:v>77.100000000000009</c:v>
                </c:pt>
                <c:pt idx="28">
                  <c:v>77.100000000000009</c:v>
                </c:pt>
                <c:pt idx="29">
                  <c:v>77.100000000000009</c:v>
                </c:pt>
                <c:pt idx="30">
                  <c:v>81.400000000000006</c:v>
                </c:pt>
                <c:pt idx="31">
                  <c:v>82.63000000000001</c:v>
                </c:pt>
                <c:pt idx="32">
                  <c:v>97.29</c:v>
                </c:pt>
                <c:pt idx="33">
                  <c:v>102.4</c:v>
                </c:pt>
                <c:pt idx="34">
                  <c:v>102.60000000000001</c:v>
                </c:pt>
                <c:pt idx="35">
                  <c:v>102.60000000000001</c:v>
                </c:pt>
                <c:pt idx="36">
                  <c:v>103.2</c:v>
                </c:pt>
                <c:pt idx="37">
                  <c:v>103.5</c:v>
                </c:pt>
                <c:pt idx="38">
                  <c:v>103.5</c:v>
                </c:pt>
                <c:pt idx="39">
                  <c:v>103.5</c:v>
                </c:pt>
                <c:pt idx="40">
                  <c:v>103.5</c:v>
                </c:pt>
                <c:pt idx="41">
                  <c:v>103.5</c:v>
                </c:pt>
                <c:pt idx="42">
                  <c:v>103.5</c:v>
                </c:pt>
                <c:pt idx="43">
                  <c:v>103.5</c:v>
                </c:pt>
                <c:pt idx="44">
                  <c:v>103.5</c:v>
                </c:pt>
                <c:pt idx="45">
                  <c:v>103.5</c:v>
                </c:pt>
                <c:pt idx="46">
                  <c:v>103.5</c:v>
                </c:pt>
                <c:pt idx="47">
                  <c:v>103.5</c:v>
                </c:pt>
                <c:pt idx="48">
                  <c:v>103.5</c:v>
                </c:pt>
                <c:pt idx="49">
                  <c:v>103.5</c:v>
                </c:pt>
                <c:pt idx="50">
                  <c:v>103.5</c:v>
                </c:pt>
                <c:pt idx="51">
                  <c:v>103.5</c:v>
                </c:pt>
                <c:pt idx="52">
                  <c:v>103.5</c:v>
                </c:pt>
                <c:pt idx="53">
                  <c:v>103.5</c:v>
                </c:pt>
                <c:pt idx="54">
                  <c:v>105.06</c:v>
                </c:pt>
                <c:pt idx="55">
                  <c:v>115.57000000000001</c:v>
                </c:pt>
                <c:pt idx="56">
                  <c:v>121.58000000000001</c:v>
                </c:pt>
                <c:pt idx="57">
                  <c:v>131.79000000000002</c:v>
                </c:pt>
                <c:pt idx="58">
                  <c:v>132.19000000000003</c:v>
                </c:pt>
                <c:pt idx="59">
                  <c:v>136.67000000000002</c:v>
                </c:pt>
                <c:pt idx="60">
                  <c:v>146.88000000000002</c:v>
                </c:pt>
                <c:pt idx="61">
                  <c:v>167.98000000000002</c:v>
                </c:pt>
                <c:pt idx="62">
                  <c:v>183.43</c:v>
                </c:pt>
                <c:pt idx="63">
                  <c:v>195.16</c:v>
                </c:pt>
                <c:pt idx="64">
                  <c:v>206.39</c:v>
                </c:pt>
                <c:pt idx="65">
                  <c:v>211.39999999999998</c:v>
                </c:pt>
                <c:pt idx="66">
                  <c:v>223.11999999999998</c:v>
                </c:pt>
                <c:pt idx="67">
                  <c:v>237.08999999999997</c:v>
                </c:pt>
                <c:pt idx="68">
                  <c:v>245.64</c:v>
                </c:pt>
                <c:pt idx="69">
                  <c:v>250.67999999999998</c:v>
                </c:pt>
                <c:pt idx="70">
                  <c:v>257.20999999999998</c:v>
                </c:pt>
                <c:pt idx="71">
                  <c:v>258.68</c:v>
                </c:pt>
                <c:pt idx="72">
                  <c:v>261.48</c:v>
                </c:pt>
                <c:pt idx="73">
                  <c:v>262.28000000000003</c:v>
                </c:pt>
                <c:pt idx="74">
                  <c:v>264.01000000000005</c:v>
                </c:pt>
                <c:pt idx="75">
                  <c:v>266.62000000000006</c:v>
                </c:pt>
                <c:pt idx="76">
                  <c:v>269.80000000000007</c:v>
                </c:pt>
                <c:pt idx="77">
                  <c:v>270.89000000000004</c:v>
                </c:pt>
                <c:pt idx="78">
                  <c:v>271.66000000000003</c:v>
                </c:pt>
                <c:pt idx="79">
                  <c:v>277.95000000000005</c:v>
                </c:pt>
                <c:pt idx="80">
                  <c:v>281.86000000000007</c:v>
                </c:pt>
                <c:pt idx="81">
                  <c:v>284.80000000000007</c:v>
                </c:pt>
                <c:pt idx="82">
                  <c:v>288.73000000000008</c:v>
                </c:pt>
                <c:pt idx="83">
                  <c:v>290.5800000000001</c:v>
                </c:pt>
                <c:pt idx="84">
                  <c:v>291.41000000000008</c:v>
                </c:pt>
                <c:pt idx="85">
                  <c:v>291.7000000000001</c:v>
                </c:pt>
                <c:pt idx="86">
                  <c:v>292.65000000000009</c:v>
                </c:pt>
                <c:pt idx="87">
                  <c:v>293.66000000000008</c:v>
                </c:pt>
                <c:pt idx="88">
                  <c:v>295.88000000000011</c:v>
                </c:pt>
                <c:pt idx="89">
                  <c:v>299.35000000000014</c:v>
                </c:pt>
                <c:pt idx="90">
                  <c:v>301.60000000000014</c:v>
                </c:pt>
                <c:pt idx="91">
                  <c:v>303.30000000000013</c:v>
                </c:pt>
                <c:pt idx="92">
                  <c:v>304.42000000000013</c:v>
                </c:pt>
                <c:pt idx="93">
                  <c:v>307.58000000000015</c:v>
                </c:pt>
                <c:pt idx="94">
                  <c:v>309.75000000000017</c:v>
                </c:pt>
                <c:pt idx="95">
                  <c:v>311.50000000000017</c:v>
                </c:pt>
                <c:pt idx="96">
                  <c:v>311.50000000000017</c:v>
                </c:pt>
                <c:pt idx="97">
                  <c:v>312.30000000000018</c:v>
                </c:pt>
                <c:pt idx="98">
                  <c:v>313.60000000000019</c:v>
                </c:pt>
                <c:pt idx="99">
                  <c:v>314.00000000000017</c:v>
                </c:pt>
                <c:pt idx="100">
                  <c:v>314.00000000000017</c:v>
                </c:pt>
                <c:pt idx="101">
                  <c:v>314.00000000000017</c:v>
                </c:pt>
                <c:pt idx="102">
                  <c:v>314.00000000000017</c:v>
                </c:pt>
                <c:pt idx="103">
                  <c:v>314.00000000000017</c:v>
                </c:pt>
                <c:pt idx="104">
                  <c:v>314.00000000000017</c:v>
                </c:pt>
                <c:pt idx="105">
                  <c:v>314.00000000000017</c:v>
                </c:pt>
                <c:pt idx="106">
                  <c:v>314.80000000000018</c:v>
                </c:pt>
                <c:pt idx="107">
                  <c:v>315.00000000000017</c:v>
                </c:pt>
                <c:pt idx="108">
                  <c:v>315.70000000000016</c:v>
                </c:pt>
                <c:pt idx="109">
                  <c:v>315.70000000000016</c:v>
                </c:pt>
                <c:pt idx="110">
                  <c:v>315.70000000000016</c:v>
                </c:pt>
                <c:pt idx="111">
                  <c:v>315.70000000000016</c:v>
                </c:pt>
                <c:pt idx="112">
                  <c:v>315.70000000000016</c:v>
                </c:pt>
                <c:pt idx="113">
                  <c:v>315.70000000000016</c:v>
                </c:pt>
                <c:pt idx="114">
                  <c:v>315.70000000000016</c:v>
                </c:pt>
                <c:pt idx="115">
                  <c:v>315.70000000000016</c:v>
                </c:pt>
                <c:pt idx="116">
                  <c:v>315.70000000000016</c:v>
                </c:pt>
                <c:pt idx="117">
                  <c:v>315.70000000000016</c:v>
                </c:pt>
                <c:pt idx="118">
                  <c:v>315.70000000000016</c:v>
                </c:pt>
                <c:pt idx="119">
                  <c:v>315.70000000000016</c:v>
                </c:pt>
                <c:pt idx="120">
                  <c:v>315.70000000000016</c:v>
                </c:pt>
                <c:pt idx="121">
                  <c:v>315.70000000000016</c:v>
                </c:pt>
                <c:pt idx="122">
                  <c:v>315.70000000000016</c:v>
                </c:pt>
                <c:pt idx="123">
                  <c:v>315.70000000000016</c:v>
                </c:pt>
                <c:pt idx="124">
                  <c:v>315.70000000000016</c:v>
                </c:pt>
                <c:pt idx="125">
                  <c:v>315.70000000000016</c:v>
                </c:pt>
                <c:pt idx="126">
                  <c:v>315.70000000000016</c:v>
                </c:pt>
                <c:pt idx="127">
                  <c:v>315.70000000000016</c:v>
                </c:pt>
                <c:pt idx="128">
                  <c:v>315.70000000000016</c:v>
                </c:pt>
                <c:pt idx="129">
                  <c:v>315.70000000000016</c:v>
                </c:pt>
                <c:pt idx="130">
                  <c:v>315.70000000000016</c:v>
                </c:pt>
                <c:pt idx="131">
                  <c:v>315.70000000000016</c:v>
                </c:pt>
                <c:pt idx="132">
                  <c:v>315.70000000000016</c:v>
                </c:pt>
                <c:pt idx="133">
                  <c:v>315.70000000000016</c:v>
                </c:pt>
                <c:pt idx="134">
                  <c:v>315.70000000000016</c:v>
                </c:pt>
                <c:pt idx="135">
                  <c:v>315.70000000000016</c:v>
                </c:pt>
                <c:pt idx="136">
                  <c:v>315.70000000000016</c:v>
                </c:pt>
                <c:pt idx="137">
                  <c:v>315.70000000000016</c:v>
                </c:pt>
                <c:pt idx="138">
                  <c:v>315.70000000000016</c:v>
                </c:pt>
                <c:pt idx="139">
                  <c:v>315.70000000000016</c:v>
                </c:pt>
                <c:pt idx="140">
                  <c:v>315.70000000000016</c:v>
                </c:pt>
                <c:pt idx="141">
                  <c:v>317.00000000000017</c:v>
                </c:pt>
                <c:pt idx="142">
                  <c:v>317.00000000000017</c:v>
                </c:pt>
                <c:pt idx="143">
                  <c:v>317.00000000000017</c:v>
                </c:pt>
                <c:pt idx="144">
                  <c:v>317.00000000000017</c:v>
                </c:pt>
                <c:pt idx="145">
                  <c:v>317.50000000000017</c:v>
                </c:pt>
                <c:pt idx="146">
                  <c:v>317.50000000000017</c:v>
                </c:pt>
                <c:pt idx="147">
                  <c:v>318.70000000000016</c:v>
                </c:pt>
                <c:pt idx="148">
                  <c:v>318.70000000000016</c:v>
                </c:pt>
                <c:pt idx="149">
                  <c:v>318.70000000000016</c:v>
                </c:pt>
                <c:pt idx="150">
                  <c:v>318.70000000000016</c:v>
                </c:pt>
                <c:pt idx="151">
                  <c:v>318.70000000000016</c:v>
                </c:pt>
                <c:pt idx="152">
                  <c:v>318.70000000000016</c:v>
                </c:pt>
                <c:pt idx="153">
                  <c:v>318.70000000000016</c:v>
                </c:pt>
                <c:pt idx="154">
                  <c:v>318.70000000000016</c:v>
                </c:pt>
                <c:pt idx="155">
                  <c:v>318.70000000000016</c:v>
                </c:pt>
                <c:pt idx="156">
                  <c:v>318.70000000000016</c:v>
                </c:pt>
                <c:pt idx="157">
                  <c:v>318.70000000000016</c:v>
                </c:pt>
                <c:pt idx="158">
                  <c:v>318.70000000000016</c:v>
                </c:pt>
                <c:pt idx="159">
                  <c:v>319.10000000000014</c:v>
                </c:pt>
                <c:pt idx="160">
                  <c:v>319.10000000000014</c:v>
                </c:pt>
                <c:pt idx="161">
                  <c:v>319.10000000000014</c:v>
                </c:pt>
                <c:pt idx="162">
                  <c:v>319.10000000000014</c:v>
                </c:pt>
                <c:pt idx="163">
                  <c:v>319.10000000000014</c:v>
                </c:pt>
                <c:pt idx="164">
                  <c:v>319.10000000000014</c:v>
                </c:pt>
                <c:pt idx="165">
                  <c:v>319.10000000000014</c:v>
                </c:pt>
                <c:pt idx="166">
                  <c:v>319.10000000000014</c:v>
                </c:pt>
                <c:pt idx="167">
                  <c:v>319.10000000000014</c:v>
                </c:pt>
                <c:pt idx="168">
                  <c:v>319.10000000000014</c:v>
                </c:pt>
                <c:pt idx="169">
                  <c:v>319.10000000000014</c:v>
                </c:pt>
                <c:pt idx="170">
                  <c:v>319.10000000000014</c:v>
                </c:pt>
                <c:pt idx="171">
                  <c:v>319.10000000000014</c:v>
                </c:pt>
                <c:pt idx="172">
                  <c:v>319.80000000000013</c:v>
                </c:pt>
                <c:pt idx="173">
                  <c:v>320.10000000000014</c:v>
                </c:pt>
                <c:pt idx="174">
                  <c:v>321.14000000000016</c:v>
                </c:pt>
                <c:pt idx="175">
                  <c:v>328.26000000000016</c:v>
                </c:pt>
                <c:pt idx="176">
                  <c:v>330.60000000000014</c:v>
                </c:pt>
                <c:pt idx="177">
                  <c:v>330.80000000000013</c:v>
                </c:pt>
                <c:pt idx="178">
                  <c:v>331.47000000000014</c:v>
                </c:pt>
                <c:pt idx="179">
                  <c:v>332.10000000000014</c:v>
                </c:pt>
                <c:pt idx="180">
                  <c:v>332.10000000000014</c:v>
                </c:pt>
                <c:pt idx="181">
                  <c:v>332.10000000000014</c:v>
                </c:pt>
                <c:pt idx="182">
                  <c:v>332.10000000000014</c:v>
                </c:pt>
                <c:pt idx="183">
                  <c:v>333.10000000000014</c:v>
                </c:pt>
                <c:pt idx="184">
                  <c:v>333.10000000000014</c:v>
                </c:pt>
                <c:pt idx="185">
                  <c:v>333.10000000000014</c:v>
                </c:pt>
                <c:pt idx="186">
                  <c:v>333.10000000000014</c:v>
                </c:pt>
                <c:pt idx="187">
                  <c:v>333.10000000000014</c:v>
                </c:pt>
                <c:pt idx="188">
                  <c:v>333.10000000000014</c:v>
                </c:pt>
                <c:pt idx="189">
                  <c:v>333.10000000000014</c:v>
                </c:pt>
                <c:pt idx="190">
                  <c:v>333.10000000000014</c:v>
                </c:pt>
                <c:pt idx="191">
                  <c:v>333.10000000000014</c:v>
                </c:pt>
                <c:pt idx="192">
                  <c:v>333.10000000000014</c:v>
                </c:pt>
              </c:numCache>
            </c:numRef>
          </c:yVal>
          <c:smooth val="0"/>
        </c:ser>
        <c:ser>
          <c:idx val="3"/>
          <c:order val="3"/>
          <c:tx>
            <c:v>Monsildale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cumulative!$G$3:$G$195</c:f>
              <c:numCache>
                <c:formatCode>General</c:formatCode>
                <c:ptCount val="193"/>
                <c:pt idx="0">
                  <c:v>0</c:v>
                </c:pt>
                <c:pt idx="1">
                  <c:v>0.5</c:v>
                </c:pt>
                <c:pt idx="2">
                  <c:v>1.68</c:v>
                </c:pt>
                <c:pt idx="3">
                  <c:v>2.98</c:v>
                </c:pt>
                <c:pt idx="4">
                  <c:v>4.2699999999999996</c:v>
                </c:pt>
                <c:pt idx="5">
                  <c:v>6.06</c:v>
                </c:pt>
                <c:pt idx="6">
                  <c:v>6.77</c:v>
                </c:pt>
                <c:pt idx="7">
                  <c:v>7.2299999999999995</c:v>
                </c:pt>
                <c:pt idx="8">
                  <c:v>8.48</c:v>
                </c:pt>
                <c:pt idx="9">
                  <c:v>9.51</c:v>
                </c:pt>
                <c:pt idx="10">
                  <c:v>10.15</c:v>
                </c:pt>
                <c:pt idx="11">
                  <c:v>11.09</c:v>
                </c:pt>
                <c:pt idx="12">
                  <c:v>12.25</c:v>
                </c:pt>
                <c:pt idx="13">
                  <c:v>17.11</c:v>
                </c:pt>
                <c:pt idx="14">
                  <c:v>21.939999999999998</c:v>
                </c:pt>
                <c:pt idx="15">
                  <c:v>23.83</c:v>
                </c:pt>
                <c:pt idx="16">
                  <c:v>30.099999999999998</c:v>
                </c:pt>
                <c:pt idx="17">
                  <c:v>34.099999999999994</c:v>
                </c:pt>
                <c:pt idx="18">
                  <c:v>36.329999999999991</c:v>
                </c:pt>
                <c:pt idx="19">
                  <c:v>40.199999999999989</c:v>
                </c:pt>
                <c:pt idx="20">
                  <c:v>41.879999999999988</c:v>
                </c:pt>
                <c:pt idx="21">
                  <c:v>43.019999999999989</c:v>
                </c:pt>
                <c:pt idx="22">
                  <c:v>44.109999999999992</c:v>
                </c:pt>
                <c:pt idx="23">
                  <c:v>44.109999999999992</c:v>
                </c:pt>
                <c:pt idx="24">
                  <c:v>44.209999999999994</c:v>
                </c:pt>
                <c:pt idx="25">
                  <c:v>44.509999999999991</c:v>
                </c:pt>
                <c:pt idx="26">
                  <c:v>44.509999999999991</c:v>
                </c:pt>
                <c:pt idx="27">
                  <c:v>44.509999999999991</c:v>
                </c:pt>
                <c:pt idx="28">
                  <c:v>44.609999999999992</c:v>
                </c:pt>
                <c:pt idx="29">
                  <c:v>44.709999999999994</c:v>
                </c:pt>
                <c:pt idx="30">
                  <c:v>45.009999999999991</c:v>
                </c:pt>
                <c:pt idx="31">
                  <c:v>45.409999999999989</c:v>
                </c:pt>
                <c:pt idx="32">
                  <c:v>45.709999999999987</c:v>
                </c:pt>
                <c:pt idx="33">
                  <c:v>46.119999999999983</c:v>
                </c:pt>
                <c:pt idx="34">
                  <c:v>46.609999999999985</c:v>
                </c:pt>
                <c:pt idx="35">
                  <c:v>46.709999999999987</c:v>
                </c:pt>
                <c:pt idx="36">
                  <c:v>47.009999999999984</c:v>
                </c:pt>
                <c:pt idx="37">
                  <c:v>47.379999999999981</c:v>
                </c:pt>
                <c:pt idx="38">
                  <c:v>47.70999999999998</c:v>
                </c:pt>
                <c:pt idx="39">
                  <c:v>47.70999999999998</c:v>
                </c:pt>
                <c:pt idx="40">
                  <c:v>47.70999999999998</c:v>
                </c:pt>
                <c:pt idx="41">
                  <c:v>47.70999999999998</c:v>
                </c:pt>
                <c:pt idx="42">
                  <c:v>47.70999999999998</c:v>
                </c:pt>
                <c:pt idx="43">
                  <c:v>47.70999999999998</c:v>
                </c:pt>
                <c:pt idx="44">
                  <c:v>47.70999999999998</c:v>
                </c:pt>
                <c:pt idx="45">
                  <c:v>47.70999999999998</c:v>
                </c:pt>
                <c:pt idx="46">
                  <c:v>47.809999999999981</c:v>
                </c:pt>
                <c:pt idx="47">
                  <c:v>47.809999999999981</c:v>
                </c:pt>
                <c:pt idx="48">
                  <c:v>47.809999999999981</c:v>
                </c:pt>
                <c:pt idx="49">
                  <c:v>47.809999999999981</c:v>
                </c:pt>
                <c:pt idx="50">
                  <c:v>47.809999999999981</c:v>
                </c:pt>
                <c:pt idx="51">
                  <c:v>47.809999999999981</c:v>
                </c:pt>
                <c:pt idx="52">
                  <c:v>49.369999999999983</c:v>
                </c:pt>
                <c:pt idx="53">
                  <c:v>56.179999999999986</c:v>
                </c:pt>
                <c:pt idx="54">
                  <c:v>60.079999999999984</c:v>
                </c:pt>
                <c:pt idx="55">
                  <c:v>63.809999999999981</c:v>
                </c:pt>
                <c:pt idx="56">
                  <c:v>63.989999999999981</c:v>
                </c:pt>
                <c:pt idx="57">
                  <c:v>68.249999999999986</c:v>
                </c:pt>
                <c:pt idx="58">
                  <c:v>72.859999999999985</c:v>
                </c:pt>
                <c:pt idx="59">
                  <c:v>76.419999999999987</c:v>
                </c:pt>
                <c:pt idx="60">
                  <c:v>81.569999999999993</c:v>
                </c:pt>
                <c:pt idx="61">
                  <c:v>87.699999999999989</c:v>
                </c:pt>
                <c:pt idx="62">
                  <c:v>93.109999999999985</c:v>
                </c:pt>
                <c:pt idx="63">
                  <c:v>99.189999999999984</c:v>
                </c:pt>
                <c:pt idx="64">
                  <c:v>106.61999999999998</c:v>
                </c:pt>
                <c:pt idx="65">
                  <c:v>118.00999999999998</c:v>
                </c:pt>
                <c:pt idx="66">
                  <c:v>124.76999999999998</c:v>
                </c:pt>
                <c:pt idx="67">
                  <c:v>138.55999999999997</c:v>
                </c:pt>
                <c:pt idx="68">
                  <c:v>147.62999999999997</c:v>
                </c:pt>
                <c:pt idx="69">
                  <c:v>160.77999999999997</c:v>
                </c:pt>
                <c:pt idx="70">
                  <c:v>166.12999999999997</c:v>
                </c:pt>
                <c:pt idx="71">
                  <c:v>173.92999999999998</c:v>
                </c:pt>
                <c:pt idx="72">
                  <c:v>180.17999999999998</c:v>
                </c:pt>
                <c:pt idx="73">
                  <c:v>181.39999999999998</c:v>
                </c:pt>
                <c:pt idx="74">
                  <c:v>182.99999999999997</c:v>
                </c:pt>
                <c:pt idx="75">
                  <c:v>183.59999999999997</c:v>
                </c:pt>
                <c:pt idx="76">
                  <c:v>183.70999999999998</c:v>
                </c:pt>
                <c:pt idx="77">
                  <c:v>184.2</c:v>
                </c:pt>
                <c:pt idx="78">
                  <c:v>184.76999999999998</c:v>
                </c:pt>
                <c:pt idx="79">
                  <c:v>185.46999999999997</c:v>
                </c:pt>
                <c:pt idx="80">
                  <c:v>187.07999999999998</c:v>
                </c:pt>
                <c:pt idx="81">
                  <c:v>188.1</c:v>
                </c:pt>
                <c:pt idx="82">
                  <c:v>189.64</c:v>
                </c:pt>
                <c:pt idx="83">
                  <c:v>190.64999999999998</c:v>
                </c:pt>
                <c:pt idx="84">
                  <c:v>192.02999999999997</c:v>
                </c:pt>
                <c:pt idx="85">
                  <c:v>193.58999999999997</c:v>
                </c:pt>
                <c:pt idx="86">
                  <c:v>195.48999999999998</c:v>
                </c:pt>
                <c:pt idx="87">
                  <c:v>196.82999999999998</c:v>
                </c:pt>
                <c:pt idx="88">
                  <c:v>198.94</c:v>
                </c:pt>
                <c:pt idx="89">
                  <c:v>200.39</c:v>
                </c:pt>
                <c:pt idx="90">
                  <c:v>200.6</c:v>
                </c:pt>
                <c:pt idx="91">
                  <c:v>202.47</c:v>
                </c:pt>
                <c:pt idx="92">
                  <c:v>204.42</c:v>
                </c:pt>
                <c:pt idx="93">
                  <c:v>206.83999999999997</c:v>
                </c:pt>
                <c:pt idx="94">
                  <c:v>207.27999999999997</c:v>
                </c:pt>
                <c:pt idx="95">
                  <c:v>208.37999999999997</c:v>
                </c:pt>
                <c:pt idx="96">
                  <c:v>209.70999999999998</c:v>
                </c:pt>
                <c:pt idx="97">
                  <c:v>210.29</c:v>
                </c:pt>
                <c:pt idx="98">
                  <c:v>212.5</c:v>
                </c:pt>
                <c:pt idx="99">
                  <c:v>213.29</c:v>
                </c:pt>
                <c:pt idx="100">
                  <c:v>213.39</c:v>
                </c:pt>
                <c:pt idx="101">
                  <c:v>213.39</c:v>
                </c:pt>
                <c:pt idx="102">
                  <c:v>213.39</c:v>
                </c:pt>
                <c:pt idx="103">
                  <c:v>213.39</c:v>
                </c:pt>
                <c:pt idx="104">
                  <c:v>213.39</c:v>
                </c:pt>
                <c:pt idx="105">
                  <c:v>213.48999999999998</c:v>
                </c:pt>
                <c:pt idx="106">
                  <c:v>214.08999999999997</c:v>
                </c:pt>
                <c:pt idx="107">
                  <c:v>214.08999999999997</c:v>
                </c:pt>
                <c:pt idx="108">
                  <c:v>214.18999999999997</c:v>
                </c:pt>
                <c:pt idx="109">
                  <c:v>214.28999999999996</c:v>
                </c:pt>
                <c:pt idx="110">
                  <c:v>214.39999999999998</c:v>
                </c:pt>
                <c:pt idx="111">
                  <c:v>214.48999999999998</c:v>
                </c:pt>
                <c:pt idx="112">
                  <c:v>214.48999999999998</c:v>
                </c:pt>
                <c:pt idx="113">
                  <c:v>214.48999999999998</c:v>
                </c:pt>
                <c:pt idx="114">
                  <c:v>214.48999999999998</c:v>
                </c:pt>
                <c:pt idx="115">
                  <c:v>214.58999999999997</c:v>
                </c:pt>
                <c:pt idx="116">
                  <c:v>214.58999999999997</c:v>
                </c:pt>
                <c:pt idx="117">
                  <c:v>214.58999999999997</c:v>
                </c:pt>
                <c:pt idx="118">
                  <c:v>214.58999999999997</c:v>
                </c:pt>
                <c:pt idx="119">
                  <c:v>214.89</c:v>
                </c:pt>
                <c:pt idx="120">
                  <c:v>214.92999999999998</c:v>
                </c:pt>
                <c:pt idx="121">
                  <c:v>214.98999999999998</c:v>
                </c:pt>
                <c:pt idx="122">
                  <c:v>214.98999999999998</c:v>
                </c:pt>
                <c:pt idx="123">
                  <c:v>214.98999999999998</c:v>
                </c:pt>
                <c:pt idx="124">
                  <c:v>214.98999999999998</c:v>
                </c:pt>
                <c:pt idx="125">
                  <c:v>215.08999999999997</c:v>
                </c:pt>
                <c:pt idx="126">
                  <c:v>215.28999999999996</c:v>
                </c:pt>
                <c:pt idx="127">
                  <c:v>215.28999999999996</c:v>
                </c:pt>
                <c:pt idx="128">
                  <c:v>215.28999999999996</c:v>
                </c:pt>
                <c:pt idx="129">
                  <c:v>215.28999999999996</c:v>
                </c:pt>
                <c:pt idx="130">
                  <c:v>215.28999999999996</c:v>
                </c:pt>
                <c:pt idx="131">
                  <c:v>215.28999999999996</c:v>
                </c:pt>
                <c:pt idx="132">
                  <c:v>215.28999999999996</c:v>
                </c:pt>
                <c:pt idx="133">
                  <c:v>215.28999999999996</c:v>
                </c:pt>
                <c:pt idx="134">
                  <c:v>215.28999999999996</c:v>
                </c:pt>
                <c:pt idx="135">
                  <c:v>215.28999999999996</c:v>
                </c:pt>
                <c:pt idx="136">
                  <c:v>215.28999999999996</c:v>
                </c:pt>
                <c:pt idx="137">
                  <c:v>215.28999999999996</c:v>
                </c:pt>
                <c:pt idx="138">
                  <c:v>215.48999999999995</c:v>
                </c:pt>
                <c:pt idx="139">
                  <c:v>215.48999999999995</c:v>
                </c:pt>
                <c:pt idx="140">
                  <c:v>215.68999999999994</c:v>
                </c:pt>
                <c:pt idx="141">
                  <c:v>215.88999999999993</c:v>
                </c:pt>
                <c:pt idx="142">
                  <c:v>216.21999999999994</c:v>
                </c:pt>
                <c:pt idx="143">
                  <c:v>216.49999999999994</c:v>
                </c:pt>
                <c:pt idx="144">
                  <c:v>217.06999999999994</c:v>
                </c:pt>
                <c:pt idx="145">
                  <c:v>217.09999999999994</c:v>
                </c:pt>
                <c:pt idx="146">
                  <c:v>217.86999999999995</c:v>
                </c:pt>
                <c:pt idx="147">
                  <c:v>218.16999999999996</c:v>
                </c:pt>
                <c:pt idx="148">
                  <c:v>218.19999999999996</c:v>
                </c:pt>
                <c:pt idx="149">
                  <c:v>218.19999999999996</c:v>
                </c:pt>
                <c:pt idx="150">
                  <c:v>218.19999999999996</c:v>
                </c:pt>
                <c:pt idx="151">
                  <c:v>218.19999999999996</c:v>
                </c:pt>
                <c:pt idx="152">
                  <c:v>218.19999999999996</c:v>
                </c:pt>
                <c:pt idx="153">
                  <c:v>218.19999999999996</c:v>
                </c:pt>
                <c:pt idx="154">
                  <c:v>218.19999999999996</c:v>
                </c:pt>
                <c:pt idx="155">
                  <c:v>218.19999999999996</c:v>
                </c:pt>
                <c:pt idx="156">
                  <c:v>218.19999999999996</c:v>
                </c:pt>
                <c:pt idx="157">
                  <c:v>218.19999999999996</c:v>
                </c:pt>
                <c:pt idx="158">
                  <c:v>218.19999999999996</c:v>
                </c:pt>
                <c:pt idx="159">
                  <c:v>218.19999999999996</c:v>
                </c:pt>
                <c:pt idx="160">
                  <c:v>218.19999999999996</c:v>
                </c:pt>
                <c:pt idx="161">
                  <c:v>218.19999999999996</c:v>
                </c:pt>
                <c:pt idx="162">
                  <c:v>218.19999999999996</c:v>
                </c:pt>
                <c:pt idx="163">
                  <c:v>218.19999999999996</c:v>
                </c:pt>
                <c:pt idx="164">
                  <c:v>218.19999999999996</c:v>
                </c:pt>
                <c:pt idx="165">
                  <c:v>218.19999999999996</c:v>
                </c:pt>
                <c:pt idx="166">
                  <c:v>218.19999999999996</c:v>
                </c:pt>
                <c:pt idx="167">
                  <c:v>218.19999999999996</c:v>
                </c:pt>
                <c:pt idx="168">
                  <c:v>218.39999999999995</c:v>
                </c:pt>
                <c:pt idx="169">
                  <c:v>218.39999999999995</c:v>
                </c:pt>
                <c:pt idx="170">
                  <c:v>218.59999999999994</c:v>
                </c:pt>
                <c:pt idx="171">
                  <c:v>218.84999999999994</c:v>
                </c:pt>
                <c:pt idx="172">
                  <c:v>219.36999999999995</c:v>
                </c:pt>
                <c:pt idx="173">
                  <c:v>220.18999999999994</c:v>
                </c:pt>
                <c:pt idx="174">
                  <c:v>220.90999999999994</c:v>
                </c:pt>
                <c:pt idx="175">
                  <c:v>221.37999999999994</c:v>
                </c:pt>
                <c:pt idx="176">
                  <c:v>222.35999999999993</c:v>
                </c:pt>
                <c:pt idx="177">
                  <c:v>224.45999999999992</c:v>
                </c:pt>
                <c:pt idx="178">
                  <c:v>226.01999999999992</c:v>
                </c:pt>
                <c:pt idx="179">
                  <c:v>226.27999999999992</c:v>
                </c:pt>
                <c:pt idx="180">
                  <c:v>226.27999999999992</c:v>
                </c:pt>
                <c:pt idx="181">
                  <c:v>226.37999999999991</c:v>
                </c:pt>
                <c:pt idx="182">
                  <c:v>226.5799999999999</c:v>
                </c:pt>
                <c:pt idx="183">
                  <c:v>227.5799999999999</c:v>
                </c:pt>
                <c:pt idx="184">
                  <c:v>227.5799999999999</c:v>
                </c:pt>
                <c:pt idx="185">
                  <c:v>227.5799999999999</c:v>
                </c:pt>
                <c:pt idx="186">
                  <c:v>227.5799999999999</c:v>
                </c:pt>
                <c:pt idx="187">
                  <c:v>227.5799999999999</c:v>
                </c:pt>
                <c:pt idx="188">
                  <c:v>227.5799999999999</c:v>
                </c:pt>
                <c:pt idx="189">
                  <c:v>227.5799999999999</c:v>
                </c:pt>
                <c:pt idx="190">
                  <c:v>227.5799999999999</c:v>
                </c:pt>
                <c:pt idx="191">
                  <c:v>227.5799999999999</c:v>
                </c:pt>
                <c:pt idx="192">
                  <c:v>227.5799999999999</c:v>
                </c:pt>
              </c:numCache>
            </c:numRef>
          </c:yVal>
          <c:smooth val="0"/>
        </c:ser>
        <c:ser>
          <c:idx val="4"/>
          <c:order val="4"/>
          <c:tx>
            <c:v>Ravensbourne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cumulative!$H$3:$H$195</c:f>
              <c:numCache>
                <c:formatCode>General</c:formatCode>
                <c:ptCount val="193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13</c:v>
                </c:pt>
                <c:pt idx="8">
                  <c:v>19</c:v>
                </c:pt>
                <c:pt idx="9">
                  <c:v>26</c:v>
                </c:pt>
                <c:pt idx="10">
                  <c:v>32</c:v>
                </c:pt>
                <c:pt idx="11">
                  <c:v>36</c:v>
                </c:pt>
                <c:pt idx="12">
                  <c:v>39</c:v>
                </c:pt>
                <c:pt idx="13">
                  <c:v>44</c:v>
                </c:pt>
                <c:pt idx="14">
                  <c:v>47</c:v>
                </c:pt>
                <c:pt idx="15">
                  <c:v>50</c:v>
                </c:pt>
                <c:pt idx="16">
                  <c:v>52</c:v>
                </c:pt>
                <c:pt idx="17">
                  <c:v>61</c:v>
                </c:pt>
                <c:pt idx="18">
                  <c:v>70</c:v>
                </c:pt>
                <c:pt idx="19">
                  <c:v>72</c:v>
                </c:pt>
                <c:pt idx="20">
                  <c:v>74</c:v>
                </c:pt>
                <c:pt idx="21">
                  <c:v>76</c:v>
                </c:pt>
                <c:pt idx="22">
                  <c:v>80</c:v>
                </c:pt>
                <c:pt idx="23">
                  <c:v>85</c:v>
                </c:pt>
                <c:pt idx="24">
                  <c:v>92</c:v>
                </c:pt>
                <c:pt idx="25">
                  <c:v>97</c:v>
                </c:pt>
                <c:pt idx="26">
                  <c:v>107</c:v>
                </c:pt>
                <c:pt idx="27">
                  <c:v>116</c:v>
                </c:pt>
                <c:pt idx="28">
                  <c:v>122</c:v>
                </c:pt>
                <c:pt idx="29">
                  <c:v>127</c:v>
                </c:pt>
                <c:pt idx="30">
                  <c:v>131</c:v>
                </c:pt>
                <c:pt idx="31">
                  <c:v>133</c:v>
                </c:pt>
                <c:pt idx="32">
                  <c:v>139</c:v>
                </c:pt>
                <c:pt idx="33">
                  <c:v>143</c:v>
                </c:pt>
                <c:pt idx="34">
                  <c:v>144</c:v>
                </c:pt>
                <c:pt idx="35">
                  <c:v>149</c:v>
                </c:pt>
                <c:pt idx="36">
                  <c:v>150</c:v>
                </c:pt>
                <c:pt idx="37">
                  <c:v>152</c:v>
                </c:pt>
                <c:pt idx="38">
                  <c:v>155</c:v>
                </c:pt>
                <c:pt idx="39">
                  <c:v>159</c:v>
                </c:pt>
                <c:pt idx="40">
                  <c:v>163</c:v>
                </c:pt>
                <c:pt idx="41">
                  <c:v>165</c:v>
                </c:pt>
                <c:pt idx="42">
                  <c:v>167</c:v>
                </c:pt>
                <c:pt idx="43">
                  <c:v>167</c:v>
                </c:pt>
                <c:pt idx="44">
                  <c:v>170</c:v>
                </c:pt>
                <c:pt idx="45">
                  <c:v>180</c:v>
                </c:pt>
                <c:pt idx="46">
                  <c:v>188</c:v>
                </c:pt>
                <c:pt idx="47">
                  <c:v>192</c:v>
                </c:pt>
                <c:pt idx="48">
                  <c:v>192</c:v>
                </c:pt>
                <c:pt idx="49">
                  <c:v>192</c:v>
                </c:pt>
                <c:pt idx="50">
                  <c:v>194</c:v>
                </c:pt>
                <c:pt idx="51">
                  <c:v>195</c:v>
                </c:pt>
                <c:pt idx="52">
                  <c:v>196</c:v>
                </c:pt>
                <c:pt idx="53">
                  <c:v>199</c:v>
                </c:pt>
                <c:pt idx="54">
                  <c:v>204</c:v>
                </c:pt>
                <c:pt idx="55">
                  <c:v>212</c:v>
                </c:pt>
                <c:pt idx="56">
                  <c:v>217</c:v>
                </c:pt>
                <c:pt idx="57">
                  <c:v>219</c:v>
                </c:pt>
                <c:pt idx="58">
                  <c:v>224</c:v>
                </c:pt>
                <c:pt idx="59">
                  <c:v>231</c:v>
                </c:pt>
                <c:pt idx="60">
                  <c:v>242</c:v>
                </c:pt>
                <c:pt idx="61">
                  <c:v>261</c:v>
                </c:pt>
                <c:pt idx="62">
                  <c:v>286</c:v>
                </c:pt>
                <c:pt idx="63">
                  <c:v>297</c:v>
                </c:pt>
                <c:pt idx="64">
                  <c:v>306</c:v>
                </c:pt>
                <c:pt idx="65">
                  <c:v>312</c:v>
                </c:pt>
                <c:pt idx="66">
                  <c:v>319</c:v>
                </c:pt>
                <c:pt idx="67">
                  <c:v>325</c:v>
                </c:pt>
                <c:pt idx="68">
                  <c:v>330</c:v>
                </c:pt>
                <c:pt idx="69">
                  <c:v>337</c:v>
                </c:pt>
                <c:pt idx="70">
                  <c:v>347</c:v>
                </c:pt>
                <c:pt idx="71">
                  <c:v>349</c:v>
                </c:pt>
                <c:pt idx="72">
                  <c:v>350</c:v>
                </c:pt>
                <c:pt idx="73">
                  <c:v>352</c:v>
                </c:pt>
                <c:pt idx="74">
                  <c:v>355</c:v>
                </c:pt>
                <c:pt idx="75">
                  <c:v>359</c:v>
                </c:pt>
                <c:pt idx="76">
                  <c:v>364</c:v>
                </c:pt>
                <c:pt idx="77">
                  <c:v>367</c:v>
                </c:pt>
                <c:pt idx="78">
                  <c:v>371</c:v>
                </c:pt>
                <c:pt idx="79">
                  <c:v>375</c:v>
                </c:pt>
                <c:pt idx="80">
                  <c:v>379</c:v>
                </c:pt>
                <c:pt idx="81">
                  <c:v>386</c:v>
                </c:pt>
                <c:pt idx="82">
                  <c:v>391</c:v>
                </c:pt>
                <c:pt idx="83">
                  <c:v>394</c:v>
                </c:pt>
                <c:pt idx="84">
                  <c:v>396</c:v>
                </c:pt>
                <c:pt idx="85">
                  <c:v>399</c:v>
                </c:pt>
                <c:pt idx="86">
                  <c:v>402</c:v>
                </c:pt>
                <c:pt idx="87">
                  <c:v>404</c:v>
                </c:pt>
                <c:pt idx="88">
                  <c:v>405</c:v>
                </c:pt>
                <c:pt idx="89">
                  <c:v>405</c:v>
                </c:pt>
                <c:pt idx="90">
                  <c:v>405</c:v>
                </c:pt>
                <c:pt idx="91">
                  <c:v>406</c:v>
                </c:pt>
                <c:pt idx="92">
                  <c:v>408</c:v>
                </c:pt>
                <c:pt idx="93">
                  <c:v>410</c:v>
                </c:pt>
                <c:pt idx="94">
                  <c:v>415</c:v>
                </c:pt>
                <c:pt idx="95">
                  <c:v>421</c:v>
                </c:pt>
                <c:pt idx="96">
                  <c:v>426</c:v>
                </c:pt>
                <c:pt idx="97">
                  <c:v>426</c:v>
                </c:pt>
                <c:pt idx="98">
                  <c:v>426</c:v>
                </c:pt>
                <c:pt idx="99">
                  <c:v>426</c:v>
                </c:pt>
                <c:pt idx="100">
                  <c:v>426</c:v>
                </c:pt>
                <c:pt idx="101">
                  <c:v>426</c:v>
                </c:pt>
                <c:pt idx="102">
                  <c:v>426</c:v>
                </c:pt>
                <c:pt idx="103">
                  <c:v>426</c:v>
                </c:pt>
                <c:pt idx="104">
                  <c:v>426</c:v>
                </c:pt>
                <c:pt idx="105">
                  <c:v>426</c:v>
                </c:pt>
                <c:pt idx="106">
                  <c:v>426</c:v>
                </c:pt>
                <c:pt idx="107">
                  <c:v>426</c:v>
                </c:pt>
                <c:pt idx="108">
                  <c:v>426</c:v>
                </c:pt>
                <c:pt idx="109">
                  <c:v>426</c:v>
                </c:pt>
                <c:pt idx="110">
                  <c:v>426</c:v>
                </c:pt>
                <c:pt idx="111">
                  <c:v>426</c:v>
                </c:pt>
                <c:pt idx="112">
                  <c:v>426</c:v>
                </c:pt>
                <c:pt idx="113">
                  <c:v>426</c:v>
                </c:pt>
                <c:pt idx="114">
                  <c:v>426</c:v>
                </c:pt>
                <c:pt idx="115">
                  <c:v>426</c:v>
                </c:pt>
                <c:pt idx="116">
                  <c:v>426</c:v>
                </c:pt>
                <c:pt idx="117">
                  <c:v>426</c:v>
                </c:pt>
                <c:pt idx="118">
                  <c:v>426</c:v>
                </c:pt>
                <c:pt idx="119">
                  <c:v>426</c:v>
                </c:pt>
                <c:pt idx="120">
                  <c:v>426</c:v>
                </c:pt>
                <c:pt idx="121">
                  <c:v>426</c:v>
                </c:pt>
                <c:pt idx="122">
                  <c:v>426</c:v>
                </c:pt>
                <c:pt idx="123">
                  <c:v>426</c:v>
                </c:pt>
                <c:pt idx="124">
                  <c:v>426</c:v>
                </c:pt>
                <c:pt idx="125">
                  <c:v>426</c:v>
                </c:pt>
                <c:pt idx="126">
                  <c:v>426</c:v>
                </c:pt>
                <c:pt idx="127">
                  <c:v>426</c:v>
                </c:pt>
                <c:pt idx="128">
                  <c:v>426</c:v>
                </c:pt>
                <c:pt idx="129">
                  <c:v>426</c:v>
                </c:pt>
                <c:pt idx="130">
                  <c:v>426</c:v>
                </c:pt>
                <c:pt idx="131">
                  <c:v>426</c:v>
                </c:pt>
                <c:pt idx="132">
                  <c:v>426</c:v>
                </c:pt>
                <c:pt idx="133">
                  <c:v>426</c:v>
                </c:pt>
                <c:pt idx="134">
                  <c:v>426</c:v>
                </c:pt>
                <c:pt idx="135">
                  <c:v>426</c:v>
                </c:pt>
                <c:pt idx="136">
                  <c:v>426</c:v>
                </c:pt>
                <c:pt idx="137">
                  <c:v>426</c:v>
                </c:pt>
                <c:pt idx="138">
                  <c:v>426</c:v>
                </c:pt>
                <c:pt idx="139">
                  <c:v>426</c:v>
                </c:pt>
                <c:pt idx="140">
                  <c:v>426</c:v>
                </c:pt>
                <c:pt idx="141">
                  <c:v>426</c:v>
                </c:pt>
                <c:pt idx="142">
                  <c:v>426</c:v>
                </c:pt>
                <c:pt idx="143">
                  <c:v>426</c:v>
                </c:pt>
                <c:pt idx="144">
                  <c:v>426</c:v>
                </c:pt>
                <c:pt idx="145">
                  <c:v>426</c:v>
                </c:pt>
                <c:pt idx="146">
                  <c:v>426</c:v>
                </c:pt>
                <c:pt idx="147">
                  <c:v>426</c:v>
                </c:pt>
                <c:pt idx="148">
                  <c:v>426</c:v>
                </c:pt>
                <c:pt idx="149">
                  <c:v>426</c:v>
                </c:pt>
                <c:pt idx="150">
                  <c:v>426</c:v>
                </c:pt>
                <c:pt idx="151">
                  <c:v>426</c:v>
                </c:pt>
                <c:pt idx="152">
                  <c:v>426</c:v>
                </c:pt>
                <c:pt idx="153">
                  <c:v>426</c:v>
                </c:pt>
                <c:pt idx="154">
                  <c:v>426</c:v>
                </c:pt>
                <c:pt idx="155">
                  <c:v>426</c:v>
                </c:pt>
                <c:pt idx="156">
                  <c:v>426</c:v>
                </c:pt>
                <c:pt idx="157">
                  <c:v>426</c:v>
                </c:pt>
                <c:pt idx="158">
                  <c:v>426</c:v>
                </c:pt>
                <c:pt idx="159">
                  <c:v>426</c:v>
                </c:pt>
                <c:pt idx="160">
                  <c:v>426</c:v>
                </c:pt>
                <c:pt idx="161">
                  <c:v>426</c:v>
                </c:pt>
                <c:pt idx="162">
                  <c:v>426</c:v>
                </c:pt>
                <c:pt idx="163">
                  <c:v>426</c:v>
                </c:pt>
                <c:pt idx="164">
                  <c:v>426</c:v>
                </c:pt>
                <c:pt idx="165">
                  <c:v>426</c:v>
                </c:pt>
                <c:pt idx="166">
                  <c:v>426</c:v>
                </c:pt>
                <c:pt idx="167">
                  <c:v>426</c:v>
                </c:pt>
                <c:pt idx="168">
                  <c:v>426</c:v>
                </c:pt>
                <c:pt idx="169">
                  <c:v>426</c:v>
                </c:pt>
                <c:pt idx="170">
                  <c:v>426</c:v>
                </c:pt>
                <c:pt idx="171">
                  <c:v>426</c:v>
                </c:pt>
                <c:pt idx="172">
                  <c:v>426</c:v>
                </c:pt>
                <c:pt idx="173">
                  <c:v>426</c:v>
                </c:pt>
                <c:pt idx="174">
                  <c:v>426</c:v>
                </c:pt>
                <c:pt idx="175">
                  <c:v>426</c:v>
                </c:pt>
                <c:pt idx="176">
                  <c:v>426</c:v>
                </c:pt>
                <c:pt idx="177">
                  <c:v>426</c:v>
                </c:pt>
                <c:pt idx="178">
                  <c:v>426</c:v>
                </c:pt>
                <c:pt idx="179">
                  <c:v>426</c:v>
                </c:pt>
                <c:pt idx="180">
                  <c:v>426</c:v>
                </c:pt>
                <c:pt idx="181">
                  <c:v>426</c:v>
                </c:pt>
                <c:pt idx="182">
                  <c:v>426</c:v>
                </c:pt>
                <c:pt idx="183">
                  <c:v>426</c:v>
                </c:pt>
                <c:pt idx="184">
                  <c:v>426</c:v>
                </c:pt>
                <c:pt idx="185">
                  <c:v>426</c:v>
                </c:pt>
                <c:pt idx="186">
                  <c:v>426</c:v>
                </c:pt>
                <c:pt idx="187">
                  <c:v>426</c:v>
                </c:pt>
                <c:pt idx="188">
                  <c:v>426</c:v>
                </c:pt>
                <c:pt idx="189">
                  <c:v>426</c:v>
                </c:pt>
                <c:pt idx="190">
                  <c:v>426</c:v>
                </c:pt>
                <c:pt idx="191">
                  <c:v>426</c:v>
                </c:pt>
                <c:pt idx="192">
                  <c:v>426</c:v>
                </c:pt>
              </c:numCache>
            </c:numRef>
          </c:yVal>
          <c:smooth val="0"/>
        </c:ser>
        <c:ser>
          <c:idx val="5"/>
          <c:order val="5"/>
          <c:tx>
            <c:v>Crows Nest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cumulative!$I$3:$I$195</c:f>
              <c:numCache>
                <c:formatCode>General</c:formatCode>
                <c:ptCount val="1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1.1000000000000001</c:v>
                </c:pt>
                <c:pt idx="7">
                  <c:v>1.6500000000000001</c:v>
                </c:pt>
                <c:pt idx="8">
                  <c:v>3.1</c:v>
                </c:pt>
                <c:pt idx="9">
                  <c:v>4.33</c:v>
                </c:pt>
                <c:pt idx="10">
                  <c:v>7.1400000000000006</c:v>
                </c:pt>
                <c:pt idx="11">
                  <c:v>10</c:v>
                </c:pt>
                <c:pt idx="12">
                  <c:v>11.33</c:v>
                </c:pt>
                <c:pt idx="13">
                  <c:v>12.06</c:v>
                </c:pt>
                <c:pt idx="14">
                  <c:v>14.190000000000001</c:v>
                </c:pt>
                <c:pt idx="15">
                  <c:v>17.100000000000001</c:v>
                </c:pt>
                <c:pt idx="16">
                  <c:v>18.170000000000002</c:v>
                </c:pt>
                <c:pt idx="17">
                  <c:v>26.410000000000004</c:v>
                </c:pt>
                <c:pt idx="18">
                  <c:v>29.350000000000005</c:v>
                </c:pt>
                <c:pt idx="19">
                  <c:v>30.210000000000004</c:v>
                </c:pt>
                <c:pt idx="20">
                  <c:v>31.220000000000006</c:v>
                </c:pt>
                <c:pt idx="21">
                  <c:v>32.010000000000005</c:v>
                </c:pt>
                <c:pt idx="22">
                  <c:v>32.010000000000005</c:v>
                </c:pt>
                <c:pt idx="23">
                  <c:v>32.010000000000005</c:v>
                </c:pt>
                <c:pt idx="24">
                  <c:v>32.010000000000005</c:v>
                </c:pt>
                <c:pt idx="25">
                  <c:v>34.710000000000008</c:v>
                </c:pt>
                <c:pt idx="26">
                  <c:v>36.620000000000005</c:v>
                </c:pt>
                <c:pt idx="27">
                  <c:v>37.610000000000007</c:v>
                </c:pt>
                <c:pt idx="28">
                  <c:v>38.100000000000009</c:v>
                </c:pt>
                <c:pt idx="29">
                  <c:v>40.430000000000007</c:v>
                </c:pt>
                <c:pt idx="30">
                  <c:v>42.860000000000007</c:v>
                </c:pt>
                <c:pt idx="31">
                  <c:v>45.300000000000004</c:v>
                </c:pt>
                <c:pt idx="32">
                  <c:v>45.500000000000007</c:v>
                </c:pt>
                <c:pt idx="33">
                  <c:v>45.500000000000007</c:v>
                </c:pt>
                <c:pt idx="34">
                  <c:v>45.70000000000001</c:v>
                </c:pt>
                <c:pt idx="35">
                  <c:v>46.000000000000007</c:v>
                </c:pt>
                <c:pt idx="36">
                  <c:v>46.000000000000007</c:v>
                </c:pt>
                <c:pt idx="37">
                  <c:v>46.180000000000007</c:v>
                </c:pt>
                <c:pt idx="38">
                  <c:v>46.400000000000006</c:v>
                </c:pt>
                <c:pt idx="39">
                  <c:v>48.170000000000009</c:v>
                </c:pt>
                <c:pt idx="40">
                  <c:v>49.45000000000001</c:v>
                </c:pt>
                <c:pt idx="41">
                  <c:v>50.210000000000008</c:v>
                </c:pt>
                <c:pt idx="42">
                  <c:v>51.410000000000011</c:v>
                </c:pt>
                <c:pt idx="43">
                  <c:v>54.260000000000012</c:v>
                </c:pt>
                <c:pt idx="44">
                  <c:v>74.740000000000009</c:v>
                </c:pt>
                <c:pt idx="45">
                  <c:v>81.070000000000007</c:v>
                </c:pt>
                <c:pt idx="46">
                  <c:v>81.610000000000014</c:v>
                </c:pt>
                <c:pt idx="47">
                  <c:v>81.940000000000012</c:v>
                </c:pt>
                <c:pt idx="48">
                  <c:v>82.610000000000014</c:v>
                </c:pt>
                <c:pt idx="49">
                  <c:v>83.170000000000016</c:v>
                </c:pt>
                <c:pt idx="50">
                  <c:v>84.410000000000011</c:v>
                </c:pt>
                <c:pt idx="51">
                  <c:v>85.51</c:v>
                </c:pt>
                <c:pt idx="52">
                  <c:v>96.14</c:v>
                </c:pt>
                <c:pt idx="53">
                  <c:v>109.51</c:v>
                </c:pt>
                <c:pt idx="54">
                  <c:v>118.67</c:v>
                </c:pt>
                <c:pt idx="55">
                  <c:v>125.24000000000001</c:v>
                </c:pt>
                <c:pt idx="56">
                  <c:v>127.30000000000001</c:v>
                </c:pt>
                <c:pt idx="57">
                  <c:v>133.47</c:v>
                </c:pt>
                <c:pt idx="58">
                  <c:v>140.55000000000001</c:v>
                </c:pt>
                <c:pt idx="59">
                  <c:v>144.24</c:v>
                </c:pt>
                <c:pt idx="60">
                  <c:v>156.59</c:v>
                </c:pt>
                <c:pt idx="61">
                  <c:v>170.49</c:v>
                </c:pt>
                <c:pt idx="62">
                  <c:v>182.18</c:v>
                </c:pt>
                <c:pt idx="63">
                  <c:v>185.88</c:v>
                </c:pt>
                <c:pt idx="64">
                  <c:v>189.38</c:v>
                </c:pt>
                <c:pt idx="65">
                  <c:v>194.22</c:v>
                </c:pt>
                <c:pt idx="66">
                  <c:v>199.08</c:v>
                </c:pt>
                <c:pt idx="67">
                  <c:v>203.35000000000002</c:v>
                </c:pt>
                <c:pt idx="68">
                  <c:v>210.45000000000002</c:v>
                </c:pt>
                <c:pt idx="69">
                  <c:v>216.68</c:v>
                </c:pt>
                <c:pt idx="70">
                  <c:v>219.15</c:v>
                </c:pt>
                <c:pt idx="71">
                  <c:v>221.35</c:v>
                </c:pt>
                <c:pt idx="72">
                  <c:v>225.01999999999998</c:v>
                </c:pt>
                <c:pt idx="73">
                  <c:v>227.2</c:v>
                </c:pt>
                <c:pt idx="74">
                  <c:v>227.98</c:v>
                </c:pt>
                <c:pt idx="75">
                  <c:v>230.85999999999999</c:v>
                </c:pt>
                <c:pt idx="76">
                  <c:v>233.55999999999997</c:v>
                </c:pt>
                <c:pt idx="77">
                  <c:v>237.33999999999997</c:v>
                </c:pt>
                <c:pt idx="78">
                  <c:v>242.82999999999998</c:v>
                </c:pt>
                <c:pt idx="79">
                  <c:v>244.63</c:v>
                </c:pt>
                <c:pt idx="80">
                  <c:v>248.45</c:v>
                </c:pt>
                <c:pt idx="81">
                  <c:v>252.26999999999998</c:v>
                </c:pt>
                <c:pt idx="82">
                  <c:v>255.33999999999997</c:v>
                </c:pt>
                <c:pt idx="83">
                  <c:v>258.11999999999995</c:v>
                </c:pt>
                <c:pt idx="84">
                  <c:v>259.97999999999996</c:v>
                </c:pt>
                <c:pt idx="85">
                  <c:v>260.77999999999997</c:v>
                </c:pt>
                <c:pt idx="86">
                  <c:v>262.08</c:v>
                </c:pt>
                <c:pt idx="87">
                  <c:v>263.40999999999997</c:v>
                </c:pt>
                <c:pt idx="88">
                  <c:v>263.91999999999996</c:v>
                </c:pt>
                <c:pt idx="89">
                  <c:v>264.18999999999994</c:v>
                </c:pt>
                <c:pt idx="90">
                  <c:v>264.61999999999995</c:v>
                </c:pt>
                <c:pt idx="91">
                  <c:v>265.30999999999995</c:v>
                </c:pt>
                <c:pt idx="92">
                  <c:v>266.39999999999992</c:v>
                </c:pt>
                <c:pt idx="93">
                  <c:v>267.12999999999994</c:v>
                </c:pt>
                <c:pt idx="94">
                  <c:v>269.28999999999996</c:v>
                </c:pt>
                <c:pt idx="95">
                  <c:v>270.21999999999997</c:v>
                </c:pt>
                <c:pt idx="96">
                  <c:v>271.41999999999996</c:v>
                </c:pt>
                <c:pt idx="97">
                  <c:v>273.22999999999996</c:v>
                </c:pt>
                <c:pt idx="98">
                  <c:v>275.95999999999998</c:v>
                </c:pt>
                <c:pt idx="99">
                  <c:v>276.43</c:v>
                </c:pt>
                <c:pt idx="100">
                  <c:v>276.43</c:v>
                </c:pt>
                <c:pt idx="101">
                  <c:v>276.43</c:v>
                </c:pt>
                <c:pt idx="102">
                  <c:v>276.43</c:v>
                </c:pt>
                <c:pt idx="103">
                  <c:v>276.43</c:v>
                </c:pt>
                <c:pt idx="104">
                  <c:v>276.43</c:v>
                </c:pt>
                <c:pt idx="105">
                  <c:v>276.43</c:v>
                </c:pt>
                <c:pt idx="106">
                  <c:v>276.43</c:v>
                </c:pt>
                <c:pt idx="107">
                  <c:v>276.43</c:v>
                </c:pt>
                <c:pt idx="108">
                  <c:v>276.43</c:v>
                </c:pt>
                <c:pt idx="109">
                  <c:v>276.43</c:v>
                </c:pt>
                <c:pt idx="110">
                  <c:v>276.43</c:v>
                </c:pt>
                <c:pt idx="111">
                  <c:v>276.43</c:v>
                </c:pt>
                <c:pt idx="112">
                  <c:v>276.43</c:v>
                </c:pt>
                <c:pt idx="113">
                  <c:v>276.43</c:v>
                </c:pt>
                <c:pt idx="114">
                  <c:v>276.43</c:v>
                </c:pt>
                <c:pt idx="115">
                  <c:v>276.43</c:v>
                </c:pt>
                <c:pt idx="116">
                  <c:v>276.43</c:v>
                </c:pt>
                <c:pt idx="117">
                  <c:v>276.43</c:v>
                </c:pt>
                <c:pt idx="118">
                  <c:v>276.43</c:v>
                </c:pt>
                <c:pt idx="119">
                  <c:v>276.43</c:v>
                </c:pt>
                <c:pt idx="120">
                  <c:v>276.43</c:v>
                </c:pt>
                <c:pt idx="121">
                  <c:v>276.43</c:v>
                </c:pt>
                <c:pt idx="122">
                  <c:v>276.43</c:v>
                </c:pt>
                <c:pt idx="123">
                  <c:v>276.43</c:v>
                </c:pt>
                <c:pt idx="124">
                  <c:v>276.43</c:v>
                </c:pt>
                <c:pt idx="125">
                  <c:v>276.43</c:v>
                </c:pt>
                <c:pt idx="126">
                  <c:v>276.43</c:v>
                </c:pt>
                <c:pt idx="127">
                  <c:v>276.43</c:v>
                </c:pt>
                <c:pt idx="128">
                  <c:v>276.43</c:v>
                </c:pt>
                <c:pt idx="129">
                  <c:v>276.43</c:v>
                </c:pt>
                <c:pt idx="130">
                  <c:v>276.43</c:v>
                </c:pt>
                <c:pt idx="131">
                  <c:v>276.43</c:v>
                </c:pt>
                <c:pt idx="132">
                  <c:v>276.43</c:v>
                </c:pt>
                <c:pt idx="133">
                  <c:v>276.43</c:v>
                </c:pt>
                <c:pt idx="134">
                  <c:v>276.43</c:v>
                </c:pt>
                <c:pt idx="135">
                  <c:v>276.43</c:v>
                </c:pt>
                <c:pt idx="136">
                  <c:v>276.43</c:v>
                </c:pt>
                <c:pt idx="137">
                  <c:v>276.43</c:v>
                </c:pt>
                <c:pt idx="138">
                  <c:v>276.43</c:v>
                </c:pt>
                <c:pt idx="139">
                  <c:v>276.43</c:v>
                </c:pt>
                <c:pt idx="140">
                  <c:v>276.43</c:v>
                </c:pt>
                <c:pt idx="141">
                  <c:v>276.43</c:v>
                </c:pt>
                <c:pt idx="142">
                  <c:v>276.43</c:v>
                </c:pt>
                <c:pt idx="143">
                  <c:v>276.43</c:v>
                </c:pt>
                <c:pt idx="144">
                  <c:v>276.43</c:v>
                </c:pt>
                <c:pt idx="145">
                  <c:v>276.43</c:v>
                </c:pt>
                <c:pt idx="146">
                  <c:v>276.43</c:v>
                </c:pt>
                <c:pt idx="147">
                  <c:v>277.13</c:v>
                </c:pt>
                <c:pt idx="148">
                  <c:v>277.13</c:v>
                </c:pt>
                <c:pt idx="149">
                  <c:v>277.13</c:v>
                </c:pt>
                <c:pt idx="150">
                  <c:v>277.13</c:v>
                </c:pt>
                <c:pt idx="151">
                  <c:v>277.13</c:v>
                </c:pt>
                <c:pt idx="152">
                  <c:v>278.02999999999997</c:v>
                </c:pt>
                <c:pt idx="153">
                  <c:v>278.02999999999997</c:v>
                </c:pt>
                <c:pt idx="154">
                  <c:v>278.02999999999997</c:v>
                </c:pt>
                <c:pt idx="155">
                  <c:v>278.02999999999997</c:v>
                </c:pt>
                <c:pt idx="156">
                  <c:v>278.02999999999997</c:v>
                </c:pt>
                <c:pt idx="157">
                  <c:v>278.02999999999997</c:v>
                </c:pt>
                <c:pt idx="158">
                  <c:v>278.02999999999997</c:v>
                </c:pt>
                <c:pt idx="159">
                  <c:v>278.02999999999997</c:v>
                </c:pt>
                <c:pt idx="160">
                  <c:v>278.02999999999997</c:v>
                </c:pt>
                <c:pt idx="161">
                  <c:v>278.02999999999997</c:v>
                </c:pt>
                <c:pt idx="162">
                  <c:v>280.02999999999997</c:v>
                </c:pt>
                <c:pt idx="163">
                  <c:v>280.22999999999996</c:v>
                </c:pt>
                <c:pt idx="164">
                  <c:v>280.62999999999994</c:v>
                </c:pt>
                <c:pt idx="165">
                  <c:v>280.62999999999994</c:v>
                </c:pt>
                <c:pt idx="166">
                  <c:v>280.62999999999994</c:v>
                </c:pt>
                <c:pt idx="167">
                  <c:v>280.62999999999994</c:v>
                </c:pt>
                <c:pt idx="168">
                  <c:v>280.62999999999994</c:v>
                </c:pt>
                <c:pt idx="169">
                  <c:v>280.62999999999994</c:v>
                </c:pt>
                <c:pt idx="170">
                  <c:v>280.62999999999994</c:v>
                </c:pt>
                <c:pt idx="171">
                  <c:v>280.62999999999994</c:v>
                </c:pt>
                <c:pt idx="172">
                  <c:v>280.62999999999994</c:v>
                </c:pt>
                <c:pt idx="173">
                  <c:v>280.62999999999994</c:v>
                </c:pt>
                <c:pt idx="174">
                  <c:v>280.62999999999994</c:v>
                </c:pt>
                <c:pt idx="175">
                  <c:v>280.62999999999994</c:v>
                </c:pt>
                <c:pt idx="176">
                  <c:v>280.62999999999994</c:v>
                </c:pt>
                <c:pt idx="177">
                  <c:v>280.62999999999994</c:v>
                </c:pt>
                <c:pt idx="178">
                  <c:v>280.62999999999994</c:v>
                </c:pt>
                <c:pt idx="179">
                  <c:v>280.62999999999994</c:v>
                </c:pt>
                <c:pt idx="180">
                  <c:v>280.62999999999994</c:v>
                </c:pt>
                <c:pt idx="181">
                  <c:v>280.62999999999994</c:v>
                </c:pt>
                <c:pt idx="182">
                  <c:v>280.62999999999994</c:v>
                </c:pt>
                <c:pt idx="183">
                  <c:v>281.62999999999994</c:v>
                </c:pt>
                <c:pt idx="184">
                  <c:v>281.62999999999994</c:v>
                </c:pt>
                <c:pt idx="185">
                  <c:v>281.62999999999994</c:v>
                </c:pt>
                <c:pt idx="186">
                  <c:v>281.62999999999994</c:v>
                </c:pt>
                <c:pt idx="187">
                  <c:v>281.62999999999994</c:v>
                </c:pt>
                <c:pt idx="188">
                  <c:v>281.62999999999994</c:v>
                </c:pt>
                <c:pt idx="189">
                  <c:v>281.62999999999994</c:v>
                </c:pt>
                <c:pt idx="190">
                  <c:v>281.62999999999994</c:v>
                </c:pt>
                <c:pt idx="191">
                  <c:v>281.62999999999994</c:v>
                </c:pt>
                <c:pt idx="192">
                  <c:v>281.62999999999994</c:v>
                </c:pt>
              </c:numCache>
            </c:numRef>
          </c:yVal>
          <c:smooth val="0"/>
        </c:ser>
        <c:ser>
          <c:idx val="6"/>
          <c:order val="6"/>
          <c:tx>
            <c:v>Perseverance Dam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cumulative!$J$3:$J$195</c:f>
              <c:numCache>
                <c:formatCode>General</c:formatCode>
                <c:ptCount val="1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6</c:v>
                </c:pt>
                <c:pt idx="10">
                  <c:v>10</c:v>
                </c:pt>
                <c:pt idx="11">
                  <c:v>14</c:v>
                </c:pt>
                <c:pt idx="12">
                  <c:v>15</c:v>
                </c:pt>
                <c:pt idx="13">
                  <c:v>18</c:v>
                </c:pt>
                <c:pt idx="14">
                  <c:v>21</c:v>
                </c:pt>
                <c:pt idx="15">
                  <c:v>22</c:v>
                </c:pt>
                <c:pt idx="16">
                  <c:v>24</c:v>
                </c:pt>
                <c:pt idx="17">
                  <c:v>29</c:v>
                </c:pt>
                <c:pt idx="18">
                  <c:v>33</c:v>
                </c:pt>
                <c:pt idx="19">
                  <c:v>34</c:v>
                </c:pt>
                <c:pt idx="20">
                  <c:v>36</c:v>
                </c:pt>
                <c:pt idx="21">
                  <c:v>39</c:v>
                </c:pt>
                <c:pt idx="22">
                  <c:v>41</c:v>
                </c:pt>
                <c:pt idx="23">
                  <c:v>43</c:v>
                </c:pt>
                <c:pt idx="24">
                  <c:v>45</c:v>
                </c:pt>
                <c:pt idx="25">
                  <c:v>48</c:v>
                </c:pt>
                <c:pt idx="26">
                  <c:v>51</c:v>
                </c:pt>
                <c:pt idx="27">
                  <c:v>51</c:v>
                </c:pt>
                <c:pt idx="28">
                  <c:v>51</c:v>
                </c:pt>
                <c:pt idx="29">
                  <c:v>54</c:v>
                </c:pt>
                <c:pt idx="30">
                  <c:v>56</c:v>
                </c:pt>
                <c:pt idx="31">
                  <c:v>58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61</c:v>
                </c:pt>
                <c:pt idx="37">
                  <c:v>61</c:v>
                </c:pt>
                <c:pt idx="38">
                  <c:v>62</c:v>
                </c:pt>
                <c:pt idx="39">
                  <c:v>62</c:v>
                </c:pt>
                <c:pt idx="40">
                  <c:v>64</c:v>
                </c:pt>
                <c:pt idx="41">
                  <c:v>64</c:v>
                </c:pt>
                <c:pt idx="42">
                  <c:v>65</c:v>
                </c:pt>
                <c:pt idx="43">
                  <c:v>69</c:v>
                </c:pt>
                <c:pt idx="44">
                  <c:v>73</c:v>
                </c:pt>
                <c:pt idx="45">
                  <c:v>78</c:v>
                </c:pt>
                <c:pt idx="46">
                  <c:v>81</c:v>
                </c:pt>
                <c:pt idx="47">
                  <c:v>81</c:v>
                </c:pt>
                <c:pt idx="48">
                  <c:v>82</c:v>
                </c:pt>
                <c:pt idx="49">
                  <c:v>82</c:v>
                </c:pt>
                <c:pt idx="50">
                  <c:v>85</c:v>
                </c:pt>
                <c:pt idx="51">
                  <c:v>90</c:v>
                </c:pt>
                <c:pt idx="52">
                  <c:v>93</c:v>
                </c:pt>
                <c:pt idx="53">
                  <c:v>99</c:v>
                </c:pt>
                <c:pt idx="54">
                  <c:v>108</c:v>
                </c:pt>
                <c:pt idx="55">
                  <c:v>114</c:v>
                </c:pt>
                <c:pt idx="56">
                  <c:v>117</c:v>
                </c:pt>
                <c:pt idx="57">
                  <c:v>121</c:v>
                </c:pt>
                <c:pt idx="58">
                  <c:v>124</c:v>
                </c:pt>
                <c:pt idx="59">
                  <c:v>134</c:v>
                </c:pt>
                <c:pt idx="60">
                  <c:v>147</c:v>
                </c:pt>
                <c:pt idx="61">
                  <c:v>162</c:v>
                </c:pt>
                <c:pt idx="62">
                  <c:v>171</c:v>
                </c:pt>
                <c:pt idx="63">
                  <c:v>174</c:v>
                </c:pt>
                <c:pt idx="64">
                  <c:v>179</c:v>
                </c:pt>
                <c:pt idx="65">
                  <c:v>186</c:v>
                </c:pt>
                <c:pt idx="66">
                  <c:v>192</c:v>
                </c:pt>
                <c:pt idx="67">
                  <c:v>199</c:v>
                </c:pt>
                <c:pt idx="68">
                  <c:v>208</c:v>
                </c:pt>
                <c:pt idx="69">
                  <c:v>217</c:v>
                </c:pt>
                <c:pt idx="70">
                  <c:v>221</c:v>
                </c:pt>
                <c:pt idx="71">
                  <c:v>222</c:v>
                </c:pt>
                <c:pt idx="72">
                  <c:v>225</c:v>
                </c:pt>
                <c:pt idx="73">
                  <c:v>227</c:v>
                </c:pt>
                <c:pt idx="74">
                  <c:v>228</c:v>
                </c:pt>
                <c:pt idx="75">
                  <c:v>230</c:v>
                </c:pt>
                <c:pt idx="76">
                  <c:v>236</c:v>
                </c:pt>
                <c:pt idx="77">
                  <c:v>238</c:v>
                </c:pt>
                <c:pt idx="78">
                  <c:v>242</c:v>
                </c:pt>
                <c:pt idx="79">
                  <c:v>244</c:v>
                </c:pt>
                <c:pt idx="80">
                  <c:v>249</c:v>
                </c:pt>
                <c:pt idx="81">
                  <c:v>252</c:v>
                </c:pt>
                <c:pt idx="82">
                  <c:v>255</c:v>
                </c:pt>
                <c:pt idx="83">
                  <c:v>257</c:v>
                </c:pt>
                <c:pt idx="84">
                  <c:v>257</c:v>
                </c:pt>
                <c:pt idx="85">
                  <c:v>258</c:v>
                </c:pt>
                <c:pt idx="86">
                  <c:v>260</c:v>
                </c:pt>
                <c:pt idx="87">
                  <c:v>261</c:v>
                </c:pt>
                <c:pt idx="88">
                  <c:v>261</c:v>
                </c:pt>
                <c:pt idx="89">
                  <c:v>261</c:v>
                </c:pt>
                <c:pt idx="90">
                  <c:v>261</c:v>
                </c:pt>
                <c:pt idx="91">
                  <c:v>263</c:v>
                </c:pt>
                <c:pt idx="92">
                  <c:v>264</c:v>
                </c:pt>
                <c:pt idx="93">
                  <c:v>264</c:v>
                </c:pt>
                <c:pt idx="94">
                  <c:v>267</c:v>
                </c:pt>
                <c:pt idx="95">
                  <c:v>268</c:v>
                </c:pt>
                <c:pt idx="96">
                  <c:v>269</c:v>
                </c:pt>
                <c:pt idx="97">
                  <c:v>269</c:v>
                </c:pt>
                <c:pt idx="98">
                  <c:v>269</c:v>
                </c:pt>
                <c:pt idx="99">
                  <c:v>269</c:v>
                </c:pt>
                <c:pt idx="100">
                  <c:v>269</c:v>
                </c:pt>
                <c:pt idx="101">
                  <c:v>269</c:v>
                </c:pt>
                <c:pt idx="102">
                  <c:v>269</c:v>
                </c:pt>
                <c:pt idx="103">
                  <c:v>269</c:v>
                </c:pt>
                <c:pt idx="104">
                  <c:v>269</c:v>
                </c:pt>
                <c:pt idx="105">
                  <c:v>269</c:v>
                </c:pt>
                <c:pt idx="106">
                  <c:v>269</c:v>
                </c:pt>
                <c:pt idx="107">
                  <c:v>269</c:v>
                </c:pt>
                <c:pt idx="108">
                  <c:v>269</c:v>
                </c:pt>
                <c:pt idx="109">
                  <c:v>269</c:v>
                </c:pt>
                <c:pt idx="110">
                  <c:v>269</c:v>
                </c:pt>
                <c:pt idx="111">
                  <c:v>269</c:v>
                </c:pt>
                <c:pt idx="112">
                  <c:v>269</c:v>
                </c:pt>
                <c:pt idx="113">
                  <c:v>269</c:v>
                </c:pt>
                <c:pt idx="114">
                  <c:v>269</c:v>
                </c:pt>
                <c:pt idx="115">
                  <c:v>269</c:v>
                </c:pt>
                <c:pt idx="116">
                  <c:v>269</c:v>
                </c:pt>
                <c:pt idx="117">
                  <c:v>269</c:v>
                </c:pt>
                <c:pt idx="118">
                  <c:v>269</c:v>
                </c:pt>
                <c:pt idx="119">
                  <c:v>269</c:v>
                </c:pt>
                <c:pt idx="120">
                  <c:v>269</c:v>
                </c:pt>
                <c:pt idx="121">
                  <c:v>269</c:v>
                </c:pt>
                <c:pt idx="122">
                  <c:v>269</c:v>
                </c:pt>
                <c:pt idx="123">
                  <c:v>269</c:v>
                </c:pt>
                <c:pt idx="124">
                  <c:v>269</c:v>
                </c:pt>
                <c:pt idx="125">
                  <c:v>269</c:v>
                </c:pt>
                <c:pt idx="126">
                  <c:v>269</c:v>
                </c:pt>
                <c:pt idx="127">
                  <c:v>269</c:v>
                </c:pt>
                <c:pt idx="128">
                  <c:v>269</c:v>
                </c:pt>
                <c:pt idx="129">
                  <c:v>269</c:v>
                </c:pt>
                <c:pt idx="130">
                  <c:v>269</c:v>
                </c:pt>
                <c:pt idx="131">
                  <c:v>269</c:v>
                </c:pt>
                <c:pt idx="132">
                  <c:v>269</c:v>
                </c:pt>
                <c:pt idx="133">
                  <c:v>269</c:v>
                </c:pt>
                <c:pt idx="134">
                  <c:v>269</c:v>
                </c:pt>
                <c:pt idx="135">
                  <c:v>269</c:v>
                </c:pt>
                <c:pt idx="136">
                  <c:v>269</c:v>
                </c:pt>
                <c:pt idx="137">
                  <c:v>269</c:v>
                </c:pt>
                <c:pt idx="138">
                  <c:v>269</c:v>
                </c:pt>
                <c:pt idx="139">
                  <c:v>269</c:v>
                </c:pt>
                <c:pt idx="140">
                  <c:v>269</c:v>
                </c:pt>
                <c:pt idx="141">
                  <c:v>269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269</c:v>
                </c:pt>
                <c:pt idx="147">
                  <c:v>269</c:v>
                </c:pt>
                <c:pt idx="148">
                  <c:v>269</c:v>
                </c:pt>
                <c:pt idx="149">
                  <c:v>269</c:v>
                </c:pt>
                <c:pt idx="150">
                  <c:v>269</c:v>
                </c:pt>
                <c:pt idx="151">
                  <c:v>269</c:v>
                </c:pt>
                <c:pt idx="152">
                  <c:v>269</c:v>
                </c:pt>
                <c:pt idx="153">
                  <c:v>269</c:v>
                </c:pt>
                <c:pt idx="154">
                  <c:v>269</c:v>
                </c:pt>
                <c:pt idx="155">
                  <c:v>269</c:v>
                </c:pt>
                <c:pt idx="156">
                  <c:v>269</c:v>
                </c:pt>
                <c:pt idx="157">
                  <c:v>269</c:v>
                </c:pt>
                <c:pt idx="158">
                  <c:v>269</c:v>
                </c:pt>
                <c:pt idx="159">
                  <c:v>269</c:v>
                </c:pt>
                <c:pt idx="160">
                  <c:v>269</c:v>
                </c:pt>
                <c:pt idx="161">
                  <c:v>269</c:v>
                </c:pt>
                <c:pt idx="162">
                  <c:v>269</c:v>
                </c:pt>
                <c:pt idx="163">
                  <c:v>269</c:v>
                </c:pt>
                <c:pt idx="164">
                  <c:v>269</c:v>
                </c:pt>
                <c:pt idx="165">
                  <c:v>269</c:v>
                </c:pt>
                <c:pt idx="166">
                  <c:v>269</c:v>
                </c:pt>
                <c:pt idx="167">
                  <c:v>269</c:v>
                </c:pt>
                <c:pt idx="168">
                  <c:v>269</c:v>
                </c:pt>
                <c:pt idx="169">
                  <c:v>269</c:v>
                </c:pt>
                <c:pt idx="170">
                  <c:v>269</c:v>
                </c:pt>
                <c:pt idx="171">
                  <c:v>269</c:v>
                </c:pt>
                <c:pt idx="172">
                  <c:v>269</c:v>
                </c:pt>
                <c:pt idx="173">
                  <c:v>269</c:v>
                </c:pt>
                <c:pt idx="174">
                  <c:v>269</c:v>
                </c:pt>
                <c:pt idx="175">
                  <c:v>269</c:v>
                </c:pt>
                <c:pt idx="176">
                  <c:v>269</c:v>
                </c:pt>
                <c:pt idx="177">
                  <c:v>269</c:v>
                </c:pt>
                <c:pt idx="178">
                  <c:v>269</c:v>
                </c:pt>
                <c:pt idx="179">
                  <c:v>269</c:v>
                </c:pt>
                <c:pt idx="180">
                  <c:v>269</c:v>
                </c:pt>
                <c:pt idx="181">
                  <c:v>269</c:v>
                </c:pt>
                <c:pt idx="182">
                  <c:v>269</c:v>
                </c:pt>
                <c:pt idx="183">
                  <c:v>269</c:v>
                </c:pt>
                <c:pt idx="184">
                  <c:v>269</c:v>
                </c:pt>
                <c:pt idx="185">
                  <c:v>269</c:v>
                </c:pt>
                <c:pt idx="186">
                  <c:v>269</c:v>
                </c:pt>
                <c:pt idx="187">
                  <c:v>269</c:v>
                </c:pt>
                <c:pt idx="188">
                  <c:v>269</c:v>
                </c:pt>
                <c:pt idx="189">
                  <c:v>269</c:v>
                </c:pt>
                <c:pt idx="190">
                  <c:v>269</c:v>
                </c:pt>
                <c:pt idx="191">
                  <c:v>269</c:v>
                </c:pt>
                <c:pt idx="192">
                  <c:v>269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739520"/>
        <c:axId val="249745792"/>
      </c:scatterChart>
      <c:valAx>
        <c:axId val="249739520"/>
        <c:scaling>
          <c:orientation val="minMax"/>
          <c:max val="27061.375"/>
          <c:min val="27053.37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Date Time</a:t>
                </a:r>
                <a:endParaRPr/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txPr>
          <a:bodyPr rot="-900000" vert="horz"/>
          <a:lstStyle/>
          <a:p>
            <a:pPr>
              <a:defRPr/>
            </a:pPr>
            <a:endParaRPr lang="en-US"/>
          </a:p>
        </c:txPr>
        <c:crossAx val="249745792"/>
        <c:crosses val="autoZero"/>
        <c:crossBetween val="midCat"/>
      </c:valAx>
      <c:valAx>
        <c:axId val="2497457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Rainfall (mm)</a:t>
                </a:r>
                <a:endParaRPr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97395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Wivenhoe- Pluviograph</a:t>
            </a:r>
            <a:endParaRPr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Esk Post Office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cumulative!$K$3:$K$195</c:f>
              <c:numCache>
                <c:formatCode>General</c:formatCode>
                <c:ptCount val="19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5</c:v>
                </c:pt>
                <c:pt idx="7">
                  <c:v>10</c:v>
                </c:pt>
                <c:pt idx="8">
                  <c:v>10</c:v>
                </c:pt>
                <c:pt idx="9">
                  <c:v>12</c:v>
                </c:pt>
                <c:pt idx="10">
                  <c:v>14</c:v>
                </c:pt>
                <c:pt idx="11">
                  <c:v>14</c:v>
                </c:pt>
                <c:pt idx="12">
                  <c:v>16</c:v>
                </c:pt>
                <c:pt idx="13">
                  <c:v>21</c:v>
                </c:pt>
                <c:pt idx="14">
                  <c:v>25</c:v>
                </c:pt>
                <c:pt idx="15">
                  <c:v>27</c:v>
                </c:pt>
                <c:pt idx="16">
                  <c:v>27</c:v>
                </c:pt>
                <c:pt idx="17">
                  <c:v>34</c:v>
                </c:pt>
                <c:pt idx="18">
                  <c:v>40</c:v>
                </c:pt>
                <c:pt idx="19">
                  <c:v>40</c:v>
                </c:pt>
                <c:pt idx="20">
                  <c:v>41</c:v>
                </c:pt>
                <c:pt idx="21">
                  <c:v>47</c:v>
                </c:pt>
                <c:pt idx="22">
                  <c:v>52</c:v>
                </c:pt>
                <c:pt idx="23">
                  <c:v>61</c:v>
                </c:pt>
                <c:pt idx="24">
                  <c:v>76</c:v>
                </c:pt>
                <c:pt idx="25">
                  <c:v>89</c:v>
                </c:pt>
                <c:pt idx="26">
                  <c:v>97</c:v>
                </c:pt>
                <c:pt idx="27">
                  <c:v>100</c:v>
                </c:pt>
                <c:pt idx="28">
                  <c:v>104</c:v>
                </c:pt>
                <c:pt idx="29">
                  <c:v>110</c:v>
                </c:pt>
                <c:pt idx="30">
                  <c:v>116</c:v>
                </c:pt>
                <c:pt idx="31">
                  <c:v>119</c:v>
                </c:pt>
                <c:pt idx="32">
                  <c:v>119</c:v>
                </c:pt>
                <c:pt idx="33">
                  <c:v>119</c:v>
                </c:pt>
                <c:pt idx="34">
                  <c:v>119</c:v>
                </c:pt>
                <c:pt idx="35">
                  <c:v>119</c:v>
                </c:pt>
                <c:pt idx="36">
                  <c:v>120</c:v>
                </c:pt>
                <c:pt idx="37">
                  <c:v>120</c:v>
                </c:pt>
                <c:pt idx="38">
                  <c:v>121</c:v>
                </c:pt>
                <c:pt idx="39">
                  <c:v>123</c:v>
                </c:pt>
                <c:pt idx="40">
                  <c:v>125</c:v>
                </c:pt>
                <c:pt idx="41">
                  <c:v>126</c:v>
                </c:pt>
                <c:pt idx="42">
                  <c:v>134</c:v>
                </c:pt>
                <c:pt idx="43">
                  <c:v>142</c:v>
                </c:pt>
                <c:pt idx="44">
                  <c:v>150</c:v>
                </c:pt>
                <c:pt idx="45">
                  <c:v>158</c:v>
                </c:pt>
                <c:pt idx="46">
                  <c:v>163</c:v>
                </c:pt>
                <c:pt idx="47">
                  <c:v>163</c:v>
                </c:pt>
                <c:pt idx="48">
                  <c:v>164</c:v>
                </c:pt>
                <c:pt idx="49">
                  <c:v>165</c:v>
                </c:pt>
                <c:pt idx="50">
                  <c:v>165</c:v>
                </c:pt>
                <c:pt idx="51">
                  <c:v>165</c:v>
                </c:pt>
                <c:pt idx="52">
                  <c:v>165</c:v>
                </c:pt>
                <c:pt idx="53">
                  <c:v>166</c:v>
                </c:pt>
                <c:pt idx="54">
                  <c:v>170</c:v>
                </c:pt>
                <c:pt idx="55">
                  <c:v>177</c:v>
                </c:pt>
                <c:pt idx="56">
                  <c:v>185</c:v>
                </c:pt>
                <c:pt idx="57">
                  <c:v>192</c:v>
                </c:pt>
                <c:pt idx="58">
                  <c:v>201</c:v>
                </c:pt>
                <c:pt idx="59">
                  <c:v>212</c:v>
                </c:pt>
                <c:pt idx="60">
                  <c:v>223</c:v>
                </c:pt>
                <c:pt idx="61">
                  <c:v>232</c:v>
                </c:pt>
                <c:pt idx="62">
                  <c:v>238</c:v>
                </c:pt>
                <c:pt idx="63">
                  <c:v>256</c:v>
                </c:pt>
                <c:pt idx="64">
                  <c:v>268</c:v>
                </c:pt>
                <c:pt idx="65">
                  <c:v>286</c:v>
                </c:pt>
                <c:pt idx="66">
                  <c:v>298</c:v>
                </c:pt>
                <c:pt idx="67">
                  <c:v>315</c:v>
                </c:pt>
                <c:pt idx="68">
                  <c:v>327</c:v>
                </c:pt>
                <c:pt idx="69">
                  <c:v>347</c:v>
                </c:pt>
                <c:pt idx="70">
                  <c:v>355</c:v>
                </c:pt>
                <c:pt idx="71">
                  <c:v>373</c:v>
                </c:pt>
                <c:pt idx="72">
                  <c:v>382</c:v>
                </c:pt>
                <c:pt idx="73">
                  <c:v>389</c:v>
                </c:pt>
                <c:pt idx="74">
                  <c:v>395</c:v>
                </c:pt>
                <c:pt idx="75">
                  <c:v>399</c:v>
                </c:pt>
                <c:pt idx="76">
                  <c:v>404</c:v>
                </c:pt>
                <c:pt idx="77">
                  <c:v>410</c:v>
                </c:pt>
                <c:pt idx="78">
                  <c:v>415</c:v>
                </c:pt>
                <c:pt idx="79">
                  <c:v>418</c:v>
                </c:pt>
                <c:pt idx="80">
                  <c:v>422</c:v>
                </c:pt>
                <c:pt idx="81">
                  <c:v>426</c:v>
                </c:pt>
                <c:pt idx="82">
                  <c:v>432</c:v>
                </c:pt>
                <c:pt idx="83">
                  <c:v>433</c:v>
                </c:pt>
                <c:pt idx="84">
                  <c:v>433</c:v>
                </c:pt>
                <c:pt idx="85">
                  <c:v>435</c:v>
                </c:pt>
                <c:pt idx="86">
                  <c:v>435</c:v>
                </c:pt>
                <c:pt idx="87">
                  <c:v>436</c:v>
                </c:pt>
                <c:pt idx="88">
                  <c:v>437</c:v>
                </c:pt>
                <c:pt idx="89">
                  <c:v>438</c:v>
                </c:pt>
                <c:pt idx="90">
                  <c:v>438</c:v>
                </c:pt>
                <c:pt idx="91">
                  <c:v>439</c:v>
                </c:pt>
                <c:pt idx="92">
                  <c:v>440</c:v>
                </c:pt>
                <c:pt idx="93">
                  <c:v>441</c:v>
                </c:pt>
                <c:pt idx="94">
                  <c:v>444</c:v>
                </c:pt>
                <c:pt idx="95">
                  <c:v>445</c:v>
                </c:pt>
                <c:pt idx="96">
                  <c:v>445</c:v>
                </c:pt>
                <c:pt idx="97">
                  <c:v>445</c:v>
                </c:pt>
                <c:pt idx="98">
                  <c:v>445</c:v>
                </c:pt>
                <c:pt idx="99">
                  <c:v>445</c:v>
                </c:pt>
                <c:pt idx="100">
                  <c:v>445</c:v>
                </c:pt>
                <c:pt idx="101">
                  <c:v>445</c:v>
                </c:pt>
                <c:pt idx="102">
                  <c:v>445</c:v>
                </c:pt>
                <c:pt idx="103">
                  <c:v>445</c:v>
                </c:pt>
                <c:pt idx="104">
                  <c:v>445</c:v>
                </c:pt>
                <c:pt idx="105">
                  <c:v>445</c:v>
                </c:pt>
                <c:pt idx="106">
                  <c:v>445</c:v>
                </c:pt>
                <c:pt idx="107">
                  <c:v>445</c:v>
                </c:pt>
                <c:pt idx="108">
                  <c:v>445</c:v>
                </c:pt>
                <c:pt idx="109">
                  <c:v>445</c:v>
                </c:pt>
                <c:pt idx="110">
                  <c:v>445</c:v>
                </c:pt>
                <c:pt idx="111">
                  <c:v>445</c:v>
                </c:pt>
                <c:pt idx="112">
                  <c:v>445</c:v>
                </c:pt>
                <c:pt idx="113">
                  <c:v>445</c:v>
                </c:pt>
                <c:pt idx="114">
                  <c:v>445</c:v>
                </c:pt>
                <c:pt idx="115">
                  <c:v>445</c:v>
                </c:pt>
                <c:pt idx="116">
                  <c:v>445</c:v>
                </c:pt>
                <c:pt idx="117">
                  <c:v>445</c:v>
                </c:pt>
                <c:pt idx="118">
                  <c:v>445</c:v>
                </c:pt>
                <c:pt idx="119">
                  <c:v>445</c:v>
                </c:pt>
                <c:pt idx="120">
                  <c:v>445</c:v>
                </c:pt>
                <c:pt idx="121">
                  <c:v>445</c:v>
                </c:pt>
                <c:pt idx="122">
                  <c:v>445</c:v>
                </c:pt>
                <c:pt idx="123">
                  <c:v>445</c:v>
                </c:pt>
                <c:pt idx="124">
                  <c:v>445</c:v>
                </c:pt>
                <c:pt idx="125">
                  <c:v>445</c:v>
                </c:pt>
                <c:pt idx="126">
                  <c:v>445</c:v>
                </c:pt>
                <c:pt idx="127">
                  <c:v>445</c:v>
                </c:pt>
                <c:pt idx="128">
                  <c:v>445</c:v>
                </c:pt>
                <c:pt idx="129">
                  <c:v>445</c:v>
                </c:pt>
                <c:pt idx="130">
                  <c:v>445</c:v>
                </c:pt>
                <c:pt idx="131">
                  <c:v>445</c:v>
                </c:pt>
                <c:pt idx="132">
                  <c:v>445</c:v>
                </c:pt>
                <c:pt idx="133">
                  <c:v>445</c:v>
                </c:pt>
                <c:pt idx="134">
                  <c:v>445</c:v>
                </c:pt>
                <c:pt idx="135">
                  <c:v>445</c:v>
                </c:pt>
                <c:pt idx="136">
                  <c:v>445</c:v>
                </c:pt>
                <c:pt idx="137">
                  <c:v>445</c:v>
                </c:pt>
                <c:pt idx="138">
                  <c:v>445</c:v>
                </c:pt>
                <c:pt idx="139">
                  <c:v>445</c:v>
                </c:pt>
                <c:pt idx="140">
                  <c:v>445</c:v>
                </c:pt>
                <c:pt idx="141">
                  <c:v>445</c:v>
                </c:pt>
                <c:pt idx="142">
                  <c:v>445</c:v>
                </c:pt>
                <c:pt idx="143">
                  <c:v>445</c:v>
                </c:pt>
                <c:pt idx="144">
                  <c:v>445</c:v>
                </c:pt>
                <c:pt idx="145">
                  <c:v>445</c:v>
                </c:pt>
                <c:pt idx="146">
                  <c:v>445</c:v>
                </c:pt>
                <c:pt idx="147">
                  <c:v>445</c:v>
                </c:pt>
                <c:pt idx="148">
                  <c:v>445</c:v>
                </c:pt>
                <c:pt idx="149">
                  <c:v>445</c:v>
                </c:pt>
                <c:pt idx="150">
                  <c:v>445</c:v>
                </c:pt>
                <c:pt idx="151">
                  <c:v>445</c:v>
                </c:pt>
                <c:pt idx="152">
                  <c:v>445</c:v>
                </c:pt>
                <c:pt idx="153">
                  <c:v>445</c:v>
                </c:pt>
                <c:pt idx="154">
                  <c:v>445</c:v>
                </c:pt>
                <c:pt idx="155">
                  <c:v>445</c:v>
                </c:pt>
                <c:pt idx="156">
                  <c:v>445</c:v>
                </c:pt>
                <c:pt idx="157">
                  <c:v>445</c:v>
                </c:pt>
                <c:pt idx="158">
                  <c:v>445</c:v>
                </c:pt>
                <c:pt idx="159">
                  <c:v>445</c:v>
                </c:pt>
                <c:pt idx="160">
                  <c:v>445</c:v>
                </c:pt>
                <c:pt idx="161">
                  <c:v>445</c:v>
                </c:pt>
                <c:pt idx="162">
                  <c:v>445</c:v>
                </c:pt>
                <c:pt idx="163">
                  <c:v>445</c:v>
                </c:pt>
                <c:pt idx="164">
                  <c:v>445</c:v>
                </c:pt>
                <c:pt idx="165">
                  <c:v>445</c:v>
                </c:pt>
                <c:pt idx="166">
                  <c:v>445</c:v>
                </c:pt>
                <c:pt idx="167">
                  <c:v>445</c:v>
                </c:pt>
                <c:pt idx="168">
                  <c:v>445</c:v>
                </c:pt>
                <c:pt idx="169">
                  <c:v>445</c:v>
                </c:pt>
                <c:pt idx="170">
                  <c:v>445</c:v>
                </c:pt>
                <c:pt idx="171">
                  <c:v>445</c:v>
                </c:pt>
                <c:pt idx="172">
                  <c:v>445</c:v>
                </c:pt>
                <c:pt idx="173">
                  <c:v>445</c:v>
                </c:pt>
                <c:pt idx="174">
                  <c:v>445</c:v>
                </c:pt>
                <c:pt idx="175">
                  <c:v>445</c:v>
                </c:pt>
                <c:pt idx="176">
                  <c:v>445</c:v>
                </c:pt>
                <c:pt idx="177">
                  <c:v>445</c:v>
                </c:pt>
                <c:pt idx="178">
                  <c:v>445</c:v>
                </c:pt>
                <c:pt idx="179">
                  <c:v>445</c:v>
                </c:pt>
                <c:pt idx="180">
                  <c:v>445</c:v>
                </c:pt>
                <c:pt idx="181">
                  <c:v>445</c:v>
                </c:pt>
                <c:pt idx="182">
                  <c:v>445</c:v>
                </c:pt>
                <c:pt idx="183">
                  <c:v>445</c:v>
                </c:pt>
                <c:pt idx="184">
                  <c:v>445</c:v>
                </c:pt>
                <c:pt idx="185">
                  <c:v>445</c:v>
                </c:pt>
                <c:pt idx="186">
                  <c:v>445</c:v>
                </c:pt>
                <c:pt idx="187">
                  <c:v>445</c:v>
                </c:pt>
                <c:pt idx="188">
                  <c:v>445</c:v>
                </c:pt>
                <c:pt idx="189">
                  <c:v>445</c:v>
                </c:pt>
                <c:pt idx="190">
                  <c:v>445</c:v>
                </c:pt>
                <c:pt idx="191">
                  <c:v>445</c:v>
                </c:pt>
                <c:pt idx="192">
                  <c:v>445</c:v>
                </c:pt>
              </c:numCache>
            </c:numRef>
          </c:yVal>
          <c:smooth val="0"/>
        </c:ser>
        <c:ser>
          <c:idx val="1"/>
          <c:order val="1"/>
          <c:tx>
            <c:v>Fairview</c:v>
          </c:tx>
          <c:spPr>
            <a:ln w="25400">
              <a:prstDash val="sysDash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cumulative!$L$3:$L$195</c:f>
              <c:numCache>
                <c:formatCode>General</c:formatCode>
                <c:ptCount val="193"/>
                <c:pt idx="0">
                  <c:v>0</c:v>
                </c:pt>
                <c:pt idx="1">
                  <c:v>1.33</c:v>
                </c:pt>
                <c:pt idx="2">
                  <c:v>2.66</c:v>
                </c:pt>
                <c:pt idx="3">
                  <c:v>3.99</c:v>
                </c:pt>
                <c:pt idx="4">
                  <c:v>5.32</c:v>
                </c:pt>
                <c:pt idx="5">
                  <c:v>6.65</c:v>
                </c:pt>
                <c:pt idx="6">
                  <c:v>7.98</c:v>
                </c:pt>
                <c:pt idx="7">
                  <c:v>9.31</c:v>
                </c:pt>
                <c:pt idx="8">
                  <c:v>10.64</c:v>
                </c:pt>
                <c:pt idx="9">
                  <c:v>11.97</c:v>
                </c:pt>
                <c:pt idx="10">
                  <c:v>13.3</c:v>
                </c:pt>
                <c:pt idx="11">
                  <c:v>14.63</c:v>
                </c:pt>
                <c:pt idx="12">
                  <c:v>15.96</c:v>
                </c:pt>
                <c:pt idx="13">
                  <c:v>17.29</c:v>
                </c:pt>
                <c:pt idx="14">
                  <c:v>18.619999999999997</c:v>
                </c:pt>
                <c:pt idx="15">
                  <c:v>19.949999999999996</c:v>
                </c:pt>
                <c:pt idx="16">
                  <c:v>21.279999999999994</c:v>
                </c:pt>
                <c:pt idx="17">
                  <c:v>22.609999999999992</c:v>
                </c:pt>
                <c:pt idx="18">
                  <c:v>23.939999999999991</c:v>
                </c:pt>
                <c:pt idx="19">
                  <c:v>25.269999999999989</c:v>
                </c:pt>
                <c:pt idx="20">
                  <c:v>26.599999999999987</c:v>
                </c:pt>
                <c:pt idx="21">
                  <c:v>27.929999999999986</c:v>
                </c:pt>
                <c:pt idx="22">
                  <c:v>29.259999999999984</c:v>
                </c:pt>
                <c:pt idx="23">
                  <c:v>30.589999999999982</c:v>
                </c:pt>
                <c:pt idx="24">
                  <c:v>31.91999999999998</c:v>
                </c:pt>
                <c:pt idx="25">
                  <c:v>35.70999999999998</c:v>
                </c:pt>
                <c:pt idx="26">
                  <c:v>39.499999999999979</c:v>
                </c:pt>
                <c:pt idx="27">
                  <c:v>43.289999999999978</c:v>
                </c:pt>
                <c:pt idx="28">
                  <c:v>47.079999999999977</c:v>
                </c:pt>
                <c:pt idx="29">
                  <c:v>50.869999999999976</c:v>
                </c:pt>
                <c:pt idx="30">
                  <c:v>54.659999999999975</c:v>
                </c:pt>
                <c:pt idx="31">
                  <c:v>58.449999999999974</c:v>
                </c:pt>
                <c:pt idx="32">
                  <c:v>62.239999999999974</c:v>
                </c:pt>
                <c:pt idx="33">
                  <c:v>66.029999999999973</c:v>
                </c:pt>
                <c:pt idx="34">
                  <c:v>69.819999999999979</c:v>
                </c:pt>
                <c:pt idx="35">
                  <c:v>73.609999999999985</c:v>
                </c:pt>
                <c:pt idx="36">
                  <c:v>77.399999999999991</c:v>
                </c:pt>
                <c:pt idx="37">
                  <c:v>81.19</c:v>
                </c:pt>
                <c:pt idx="38">
                  <c:v>84.98</c:v>
                </c:pt>
                <c:pt idx="39">
                  <c:v>88.77000000000001</c:v>
                </c:pt>
                <c:pt idx="40">
                  <c:v>92.560000000000016</c:v>
                </c:pt>
                <c:pt idx="41">
                  <c:v>96.350000000000023</c:v>
                </c:pt>
                <c:pt idx="42">
                  <c:v>100.14000000000003</c:v>
                </c:pt>
                <c:pt idx="43">
                  <c:v>103.93000000000004</c:v>
                </c:pt>
                <c:pt idx="44">
                  <c:v>107.72000000000004</c:v>
                </c:pt>
                <c:pt idx="45">
                  <c:v>111.51000000000005</c:v>
                </c:pt>
                <c:pt idx="46">
                  <c:v>115.30000000000005</c:v>
                </c:pt>
                <c:pt idx="47">
                  <c:v>119.09000000000006</c:v>
                </c:pt>
                <c:pt idx="48">
                  <c:v>122.88000000000007</c:v>
                </c:pt>
                <c:pt idx="49">
                  <c:v>132.59000000000006</c:v>
                </c:pt>
                <c:pt idx="50">
                  <c:v>142.30000000000007</c:v>
                </c:pt>
                <c:pt idx="51">
                  <c:v>152.01000000000008</c:v>
                </c:pt>
                <c:pt idx="52">
                  <c:v>161.72000000000008</c:v>
                </c:pt>
                <c:pt idx="53">
                  <c:v>171.43000000000009</c:v>
                </c:pt>
                <c:pt idx="54">
                  <c:v>181.1400000000001</c:v>
                </c:pt>
                <c:pt idx="55">
                  <c:v>190.85000000000011</c:v>
                </c:pt>
                <c:pt idx="56">
                  <c:v>200.56000000000012</c:v>
                </c:pt>
                <c:pt idx="57">
                  <c:v>210.27000000000012</c:v>
                </c:pt>
                <c:pt idx="58">
                  <c:v>219.98000000000013</c:v>
                </c:pt>
                <c:pt idx="59">
                  <c:v>229.69000000000014</c:v>
                </c:pt>
                <c:pt idx="60">
                  <c:v>239.40000000000015</c:v>
                </c:pt>
                <c:pt idx="61">
                  <c:v>249.11000000000016</c:v>
                </c:pt>
                <c:pt idx="62">
                  <c:v>258.82000000000016</c:v>
                </c:pt>
                <c:pt idx="63">
                  <c:v>268.53000000000014</c:v>
                </c:pt>
                <c:pt idx="64">
                  <c:v>278.24000000000012</c:v>
                </c:pt>
                <c:pt idx="65">
                  <c:v>287.9500000000001</c:v>
                </c:pt>
                <c:pt idx="66">
                  <c:v>297.66000000000008</c:v>
                </c:pt>
                <c:pt idx="67">
                  <c:v>307.37000000000006</c:v>
                </c:pt>
                <c:pt idx="68">
                  <c:v>317.08000000000004</c:v>
                </c:pt>
                <c:pt idx="69">
                  <c:v>326.79000000000002</c:v>
                </c:pt>
                <c:pt idx="70">
                  <c:v>336.5</c:v>
                </c:pt>
                <c:pt idx="71">
                  <c:v>346.21</c:v>
                </c:pt>
                <c:pt idx="72">
                  <c:v>355.91999999999996</c:v>
                </c:pt>
                <c:pt idx="73">
                  <c:v>357.49999999999994</c:v>
                </c:pt>
                <c:pt idx="74">
                  <c:v>359.07999999999993</c:v>
                </c:pt>
                <c:pt idx="75">
                  <c:v>360.65999999999991</c:v>
                </c:pt>
                <c:pt idx="76">
                  <c:v>362.2399999999999</c:v>
                </c:pt>
                <c:pt idx="77">
                  <c:v>363.81999999999988</c:v>
                </c:pt>
                <c:pt idx="78">
                  <c:v>365.39999999999986</c:v>
                </c:pt>
                <c:pt idx="79">
                  <c:v>366.97999999999985</c:v>
                </c:pt>
                <c:pt idx="80">
                  <c:v>368.55999999999983</c:v>
                </c:pt>
                <c:pt idx="81">
                  <c:v>370.13999999999982</c:v>
                </c:pt>
                <c:pt idx="82">
                  <c:v>371.7199999999998</c:v>
                </c:pt>
                <c:pt idx="83">
                  <c:v>373.29999999999978</c:v>
                </c:pt>
                <c:pt idx="84">
                  <c:v>374.87999999999977</c:v>
                </c:pt>
                <c:pt idx="85">
                  <c:v>376.45999999999975</c:v>
                </c:pt>
                <c:pt idx="86">
                  <c:v>378.03999999999974</c:v>
                </c:pt>
                <c:pt idx="87">
                  <c:v>379.61999999999972</c:v>
                </c:pt>
                <c:pt idx="88">
                  <c:v>381.1999999999997</c:v>
                </c:pt>
                <c:pt idx="89">
                  <c:v>382.77999999999969</c:v>
                </c:pt>
                <c:pt idx="90">
                  <c:v>384.35999999999967</c:v>
                </c:pt>
                <c:pt idx="91">
                  <c:v>385.93999999999966</c:v>
                </c:pt>
                <c:pt idx="92">
                  <c:v>387.51999999999964</c:v>
                </c:pt>
                <c:pt idx="93">
                  <c:v>389.09999999999962</c:v>
                </c:pt>
                <c:pt idx="94">
                  <c:v>390.67999999999961</c:v>
                </c:pt>
                <c:pt idx="95">
                  <c:v>392.25999999999959</c:v>
                </c:pt>
                <c:pt idx="96">
                  <c:v>393.83999999999958</c:v>
                </c:pt>
                <c:pt idx="97">
                  <c:v>393.97999999999956</c:v>
                </c:pt>
                <c:pt idx="98">
                  <c:v>394.11999999999955</c:v>
                </c:pt>
                <c:pt idx="99">
                  <c:v>394.25999999999954</c:v>
                </c:pt>
                <c:pt idx="100">
                  <c:v>394.39999999999952</c:v>
                </c:pt>
                <c:pt idx="101">
                  <c:v>394.53999999999951</c:v>
                </c:pt>
                <c:pt idx="102">
                  <c:v>394.6799999999995</c:v>
                </c:pt>
                <c:pt idx="103">
                  <c:v>394.81999999999948</c:v>
                </c:pt>
                <c:pt idx="104">
                  <c:v>394.95999999999947</c:v>
                </c:pt>
                <c:pt idx="105">
                  <c:v>395.09999999999945</c:v>
                </c:pt>
                <c:pt idx="106">
                  <c:v>395.23999999999944</c:v>
                </c:pt>
                <c:pt idx="107">
                  <c:v>395.37999999999943</c:v>
                </c:pt>
                <c:pt idx="108">
                  <c:v>395.51999999999941</c:v>
                </c:pt>
                <c:pt idx="109">
                  <c:v>395.6599999999994</c:v>
                </c:pt>
                <c:pt idx="110">
                  <c:v>395.79999999999939</c:v>
                </c:pt>
                <c:pt idx="111">
                  <c:v>395.93999999999937</c:v>
                </c:pt>
                <c:pt idx="112">
                  <c:v>396.07999999999936</c:v>
                </c:pt>
                <c:pt idx="113">
                  <c:v>396.21999999999935</c:v>
                </c:pt>
                <c:pt idx="114">
                  <c:v>396.35999999999933</c:v>
                </c:pt>
                <c:pt idx="115">
                  <c:v>396.49999999999932</c:v>
                </c:pt>
                <c:pt idx="116">
                  <c:v>396.6399999999993</c:v>
                </c:pt>
                <c:pt idx="117">
                  <c:v>396.77999999999929</c:v>
                </c:pt>
                <c:pt idx="118">
                  <c:v>396.91999999999928</c:v>
                </c:pt>
                <c:pt idx="119">
                  <c:v>397.05999999999926</c:v>
                </c:pt>
                <c:pt idx="120">
                  <c:v>397.19999999999925</c:v>
                </c:pt>
                <c:pt idx="121">
                  <c:v>397.19999999999925</c:v>
                </c:pt>
                <c:pt idx="122">
                  <c:v>397.19999999999925</c:v>
                </c:pt>
                <c:pt idx="123">
                  <c:v>397.19999999999925</c:v>
                </c:pt>
                <c:pt idx="124">
                  <c:v>397.19999999999925</c:v>
                </c:pt>
                <c:pt idx="125">
                  <c:v>397.19999999999925</c:v>
                </c:pt>
                <c:pt idx="126">
                  <c:v>397.19999999999925</c:v>
                </c:pt>
                <c:pt idx="127">
                  <c:v>397.19999999999925</c:v>
                </c:pt>
                <c:pt idx="128">
                  <c:v>397.19999999999925</c:v>
                </c:pt>
                <c:pt idx="129">
                  <c:v>397.19999999999925</c:v>
                </c:pt>
                <c:pt idx="130">
                  <c:v>397.19999999999925</c:v>
                </c:pt>
                <c:pt idx="131">
                  <c:v>397.19999999999925</c:v>
                </c:pt>
                <c:pt idx="132">
                  <c:v>397.19999999999925</c:v>
                </c:pt>
                <c:pt idx="133">
                  <c:v>397.19999999999925</c:v>
                </c:pt>
                <c:pt idx="134">
                  <c:v>397.19999999999925</c:v>
                </c:pt>
                <c:pt idx="135">
                  <c:v>397.19999999999925</c:v>
                </c:pt>
                <c:pt idx="136">
                  <c:v>397.19999999999925</c:v>
                </c:pt>
                <c:pt idx="137">
                  <c:v>397.19999999999925</c:v>
                </c:pt>
                <c:pt idx="138">
                  <c:v>397.19999999999925</c:v>
                </c:pt>
                <c:pt idx="139">
                  <c:v>397.19999999999925</c:v>
                </c:pt>
                <c:pt idx="140">
                  <c:v>397.19999999999925</c:v>
                </c:pt>
                <c:pt idx="141">
                  <c:v>397.19999999999925</c:v>
                </c:pt>
                <c:pt idx="142">
                  <c:v>397.19999999999925</c:v>
                </c:pt>
                <c:pt idx="143">
                  <c:v>397.19999999999925</c:v>
                </c:pt>
                <c:pt idx="144">
                  <c:v>397.19999999999925</c:v>
                </c:pt>
                <c:pt idx="145">
                  <c:v>397.32999999999925</c:v>
                </c:pt>
                <c:pt idx="146">
                  <c:v>397.45999999999924</c:v>
                </c:pt>
                <c:pt idx="147">
                  <c:v>397.58999999999924</c:v>
                </c:pt>
                <c:pt idx="148">
                  <c:v>397.71999999999923</c:v>
                </c:pt>
                <c:pt idx="149">
                  <c:v>397.84999999999923</c:v>
                </c:pt>
                <c:pt idx="150">
                  <c:v>397.97999999999922</c:v>
                </c:pt>
                <c:pt idx="151">
                  <c:v>398.10999999999922</c:v>
                </c:pt>
                <c:pt idx="152">
                  <c:v>398.23999999999921</c:v>
                </c:pt>
                <c:pt idx="153">
                  <c:v>398.36999999999921</c:v>
                </c:pt>
                <c:pt idx="154">
                  <c:v>398.4999999999992</c:v>
                </c:pt>
                <c:pt idx="155">
                  <c:v>398.6299999999992</c:v>
                </c:pt>
                <c:pt idx="156">
                  <c:v>398.7599999999992</c:v>
                </c:pt>
                <c:pt idx="157">
                  <c:v>398.88999999999919</c:v>
                </c:pt>
                <c:pt idx="158">
                  <c:v>399.01999999999919</c:v>
                </c:pt>
                <c:pt idx="159">
                  <c:v>399.14999999999918</c:v>
                </c:pt>
                <c:pt idx="160">
                  <c:v>399.27999999999918</c:v>
                </c:pt>
                <c:pt idx="161">
                  <c:v>399.40999999999917</c:v>
                </c:pt>
                <c:pt idx="162">
                  <c:v>399.53999999999917</c:v>
                </c:pt>
                <c:pt idx="163">
                  <c:v>399.66999999999916</c:v>
                </c:pt>
                <c:pt idx="164">
                  <c:v>399.79999999999916</c:v>
                </c:pt>
                <c:pt idx="165">
                  <c:v>399.92999999999915</c:v>
                </c:pt>
                <c:pt idx="166">
                  <c:v>400.05999999999915</c:v>
                </c:pt>
                <c:pt idx="167">
                  <c:v>400.18999999999915</c:v>
                </c:pt>
                <c:pt idx="168">
                  <c:v>400.31999999999914</c:v>
                </c:pt>
                <c:pt idx="169">
                  <c:v>400.31999999999914</c:v>
                </c:pt>
                <c:pt idx="170">
                  <c:v>400.31999999999914</c:v>
                </c:pt>
                <c:pt idx="171">
                  <c:v>400.31999999999914</c:v>
                </c:pt>
                <c:pt idx="172">
                  <c:v>400.31999999999914</c:v>
                </c:pt>
                <c:pt idx="173">
                  <c:v>400.31999999999914</c:v>
                </c:pt>
                <c:pt idx="174">
                  <c:v>400.31999999999914</c:v>
                </c:pt>
                <c:pt idx="175">
                  <c:v>400.31999999999914</c:v>
                </c:pt>
                <c:pt idx="176">
                  <c:v>400.31999999999914</c:v>
                </c:pt>
                <c:pt idx="177">
                  <c:v>400.31999999999914</c:v>
                </c:pt>
                <c:pt idx="178">
                  <c:v>400.31999999999914</c:v>
                </c:pt>
                <c:pt idx="179">
                  <c:v>400.31999999999914</c:v>
                </c:pt>
                <c:pt idx="180">
                  <c:v>400.31999999999914</c:v>
                </c:pt>
                <c:pt idx="181">
                  <c:v>400.31999999999914</c:v>
                </c:pt>
                <c:pt idx="182">
                  <c:v>400.31999999999914</c:v>
                </c:pt>
                <c:pt idx="183">
                  <c:v>400.31999999999914</c:v>
                </c:pt>
                <c:pt idx="184">
                  <c:v>400.31999999999914</c:v>
                </c:pt>
                <c:pt idx="185">
                  <c:v>400.31999999999914</c:v>
                </c:pt>
                <c:pt idx="186">
                  <c:v>400.31999999999914</c:v>
                </c:pt>
                <c:pt idx="187">
                  <c:v>400.31999999999914</c:v>
                </c:pt>
                <c:pt idx="188">
                  <c:v>400.31999999999914</c:v>
                </c:pt>
                <c:pt idx="189">
                  <c:v>400.31999999999914</c:v>
                </c:pt>
                <c:pt idx="190">
                  <c:v>400.31999999999914</c:v>
                </c:pt>
                <c:pt idx="191">
                  <c:v>400.31999999999914</c:v>
                </c:pt>
                <c:pt idx="192">
                  <c:v>400.31999999999914</c:v>
                </c:pt>
              </c:numCache>
            </c:numRef>
          </c:yVal>
          <c:smooth val="0"/>
        </c:ser>
        <c:ser>
          <c:idx val="2"/>
          <c:order val="2"/>
          <c:tx>
            <c:v>Mt Glorious Fahey Rd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cumulative!$M$3:$M$195</c:f>
              <c:numCache>
                <c:formatCode>General</c:formatCode>
                <c:ptCount val="193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11</c:v>
                </c:pt>
                <c:pt idx="4">
                  <c:v>21</c:v>
                </c:pt>
                <c:pt idx="5">
                  <c:v>29</c:v>
                </c:pt>
                <c:pt idx="6">
                  <c:v>38</c:v>
                </c:pt>
                <c:pt idx="7">
                  <c:v>39</c:v>
                </c:pt>
                <c:pt idx="8">
                  <c:v>41</c:v>
                </c:pt>
                <c:pt idx="9">
                  <c:v>50</c:v>
                </c:pt>
                <c:pt idx="10">
                  <c:v>50</c:v>
                </c:pt>
                <c:pt idx="11">
                  <c:v>54</c:v>
                </c:pt>
                <c:pt idx="12">
                  <c:v>60</c:v>
                </c:pt>
                <c:pt idx="13">
                  <c:v>68</c:v>
                </c:pt>
                <c:pt idx="14">
                  <c:v>73</c:v>
                </c:pt>
                <c:pt idx="15">
                  <c:v>77</c:v>
                </c:pt>
                <c:pt idx="16">
                  <c:v>86</c:v>
                </c:pt>
                <c:pt idx="17">
                  <c:v>95</c:v>
                </c:pt>
                <c:pt idx="18">
                  <c:v>113</c:v>
                </c:pt>
                <c:pt idx="19">
                  <c:v>131</c:v>
                </c:pt>
                <c:pt idx="20">
                  <c:v>151</c:v>
                </c:pt>
                <c:pt idx="21">
                  <c:v>170</c:v>
                </c:pt>
                <c:pt idx="22">
                  <c:v>220</c:v>
                </c:pt>
                <c:pt idx="23">
                  <c:v>252</c:v>
                </c:pt>
                <c:pt idx="24">
                  <c:v>279</c:v>
                </c:pt>
                <c:pt idx="25">
                  <c:v>294</c:v>
                </c:pt>
                <c:pt idx="26">
                  <c:v>312</c:v>
                </c:pt>
                <c:pt idx="27">
                  <c:v>336</c:v>
                </c:pt>
                <c:pt idx="28">
                  <c:v>395</c:v>
                </c:pt>
                <c:pt idx="29">
                  <c:v>431</c:v>
                </c:pt>
                <c:pt idx="30">
                  <c:v>455</c:v>
                </c:pt>
                <c:pt idx="31">
                  <c:v>464</c:v>
                </c:pt>
                <c:pt idx="32">
                  <c:v>484</c:v>
                </c:pt>
                <c:pt idx="33">
                  <c:v>491</c:v>
                </c:pt>
                <c:pt idx="34">
                  <c:v>497</c:v>
                </c:pt>
                <c:pt idx="35">
                  <c:v>508</c:v>
                </c:pt>
                <c:pt idx="36">
                  <c:v>521</c:v>
                </c:pt>
                <c:pt idx="37">
                  <c:v>557</c:v>
                </c:pt>
                <c:pt idx="38">
                  <c:v>588</c:v>
                </c:pt>
                <c:pt idx="39">
                  <c:v>596</c:v>
                </c:pt>
                <c:pt idx="40">
                  <c:v>598</c:v>
                </c:pt>
                <c:pt idx="41">
                  <c:v>605</c:v>
                </c:pt>
                <c:pt idx="42">
                  <c:v>612</c:v>
                </c:pt>
                <c:pt idx="43">
                  <c:v>619</c:v>
                </c:pt>
                <c:pt idx="44">
                  <c:v>632</c:v>
                </c:pt>
                <c:pt idx="45">
                  <c:v>643</c:v>
                </c:pt>
                <c:pt idx="46">
                  <c:v>646</c:v>
                </c:pt>
                <c:pt idx="47">
                  <c:v>649</c:v>
                </c:pt>
                <c:pt idx="48">
                  <c:v>654</c:v>
                </c:pt>
                <c:pt idx="49">
                  <c:v>656</c:v>
                </c:pt>
                <c:pt idx="50">
                  <c:v>658</c:v>
                </c:pt>
                <c:pt idx="51">
                  <c:v>660</c:v>
                </c:pt>
                <c:pt idx="52">
                  <c:v>662</c:v>
                </c:pt>
                <c:pt idx="53">
                  <c:v>668</c:v>
                </c:pt>
                <c:pt idx="54">
                  <c:v>675</c:v>
                </c:pt>
                <c:pt idx="55">
                  <c:v>685</c:v>
                </c:pt>
                <c:pt idx="56">
                  <c:v>698</c:v>
                </c:pt>
                <c:pt idx="57">
                  <c:v>721</c:v>
                </c:pt>
                <c:pt idx="58">
                  <c:v>743</c:v>
                </c:pt>
                <c:pt idx="59">
                  <c:v>784</c:v>
                </c:pt>
                <c:pt idx="60">
                  <c:v>845</c:v>
                </c:pt>
                <c:pt idx="61">
                  <c:v>898</c:v>
                </c:pt>
                <c:pt idx="62">
                  <c:v>940</c:v>
                </c:pt>
                <c:pt idx="63">
                  <c:v>968</c:v>
                </c:pt>
                <c:pt idx="64">
                  <c:v>1002</c:v>
                </c:pt>
                <c:pt idx="65">
                  <c:v>1035</c:v>
                </c:pt>
                <c:pt idx="66">
                  <c:v>1051</c:v>
                </c:pt>
                <c:pt idx="67">
                  <c:v>1071</c:v>
                </c:pt>
                <c:pt idx="68">
                  <c:v>1094</c:v>
                </c:pt>
                <c:pt idx="69">
                  <c:v>1113</c:v>
                </c:pt>
                <c:pt idx="70">
                  <c:v>1127</c:v>
                </c:pt>
                <c:pt idx="71">
                  <c:v>1137</c:v>
                </c:pt>
                <c:pt idx="72">
                  <c:v>1150</c:v>
                </c:pt>
                <c:pt idx="73">
                  <c:v>1159</c:v>
                </c:pt>
                <c:pt idx="74">
                  <c:v>1171</c:v>
                </c:pt>
                <c:pt idx="75">
                  <c:v>1178</c:v>
                </c:pt>
                <c:pt idx="76">
                  <c:v>1193</c:v>
                </c:pt>
                <c:pt idx="77">
                  <c:v>1203</c:v>
                </c:pt>
                <c:pt idx="78">
                  <c:v>1216</c:v>
                </c:pt>
                <c:pt idx="79">
                  <c:v>1224</c:v>
                </c:pt>
                <c:pt idx="80">
                  <c:v>1234</c:v>
                </c:pt>
                <c:pt idx="81">
                  <c:v>1245</c:v>
                </c:pt>
                <c:pt idx="82">
                  <c:v>1250</c:v>
                </c:pt>
                <c:pt idx="83">
                  <c:v>1254</c:v>
                </c:pt>
                <c:pt idx="84">
                  <c:v>1256</c:v>
                </c:pt>
                <c:pt idx="85">
                  <c:v>1258</c:v>
                </c:pt>
                <c:pt idx="86">
                  <c:v>1263</c:v>
                </c:pt>
                <c:pt idx="87">
                  <c:v>1272</c:v>
                </c:pt>
                <c:pt idx="88">
                  <c:v>1274</c:v>
                </c:pt>
                <c:pt idx="89">
                  <c:v>1275</c:v>
                </c:pt>
                <c:pt idx="90">
                  <c:v>1278</c:v>
                </c:pt>
                <c:pt idx="91">
                  <c:v>1282</c:v>
                </c:pt>
                <c:pt idx="92">
                  <c:v>1292</c:v>
                </c:pt>
                <c:pt idx="93">
                  <c:v>1293</c:v>
                </c:pt>
                <c:pt idx="94">
                  <c:v>1298</c:v>
                </c:pt>
                <c:pt idx="95">
                  <c:v>1301</c:v>
                </c:pt>
                <c:pt idx="96">
                  <c:v>1303</c:v>
                </c:pt>
                <c:pt idx="97">
                  <c:v>1303</c:v>
                </c:pt>
                <c:pt idx="98">
                  <c:v>1303</c:v>
                </c:pt>
                <c:pt idx="99">
                  <c:v>1303</c:v>
                </c:pt>
                <c:pt idx="100">
                  <c:v>1303</c:v>
                </c:pt>
                <c:pt idx="101">
                  <c:v>1303</c:v>
                </c:pt>
                <c:pt idx="102">
                  <c:v>1303</c:v>
                </c:pt>
                <c:pt idx="103">
                  <c:v>1303</c:v>
                </c:pt>
                <c:pt idx="104">
                  <c:v>1303</c:v>
                </c:pt>
                <c:pt idx="105">
                  <c:v>1303</c:v>
                </c:pt>
                <c:pt idx="106">
                  <c:v>1303</c:v>
                </c:pt>
                <c:pt idx="107">
                  <c:v>1303</c:v>
                </c:pt>
                <c:pt idx="108">
                  <c:v>1303</c:v>
                </c:pt>
                <c:pt idx="109">
                  <c:v>1303</c:v>
                </c:pt>
                <c:pt idx="110">
                  <c:v>1303</c:v>
                </c:pt>
                <c:pt idx="111">
                  <c:v>1303</c:v>
                </c:pt>
                <c:pt idx="112">
                  <c:v>1303</c:v>
                </c:pt>
                <c:pt idx="113">
                  <c:v>1303</c:v>
                </c:pt>
                <c:pt idx="114">
                  <c:v>1303</c:v>
                </c:pt>
                <c:pt idx="115">
                  <c:v>1303</c:v>
                </c:pt>
                <c:pt idx="116">
                  <c:v>1303</c:v>
                </c:pt>
                <c:pt idx="117">
                  <c:v>1303</c:v>
                </c:pt>
                <c:pt idx="118">
                  <c:v>1303</c:v>
                </c:pt>
                <c:pt idx="119">
                  <c:v>1303</c:v>
                </c:pt>
                <c:pt idx="120">
                  <c:v>1303</c:v>
                </c:pt>
                <c:pt idx="121">
                  <c:v>1303</c:v>
                </c:pt>
                <c:pt idx="122">
                  <c:v>1303</c:v>
                </c:pt>
                <c:pt idx="123">
                  <c:v>1303</c:v>
                </c:pt>
                <c:pt idx="124">
                  <c:v>1303</c:v>
                </c:pt>
                <c:pt idx="125">
                  <c:v>1303</c:v>
                </c:pt>
                <c:pt idx="126">
                  <c:v>1303</c:v>
                </c:pt>
                <c:pt idx="127">
                  <c:v>1303</c:v>
                </c:pt>
                <c:pt idx="128">
                  <c:v>1303</c:v>
                </c:pt>
                <c:pt idx="129">
                  <c:v>1303</c:v>
                </c:pt>
                <c:pt idx="130">
                  <c:v>1303</c:v>
                </c:pt>
                <c:pt idx="131">
                  <c:v>1303</c:v>
                </c:pt>
                <c:pt idx="132">
                  <c:v>1303</c:v>
                </c:pt>
                <c:pt idx="133">
                  <c:v>1303</c:v>
                </c:pt>
                <c:pt idx="134">
                  <c:v>1303</c:v>
                </c:pt>
                <c:pt idx="135">
                  <c:v>1303</c:v>
                </c:pt>
                <c:pt idx="136">
                  <c:v>1303</c:v>
                </c:pt>
                <c:pt idx="137">
                  <c:v>1303</c:v>
                </c:pt>
                <c:pt idx="138">
                  <c:v>1303</c:v>
                </c:pt>
                <c:pt idx="139">
                  <c:v>1303</c:v>
                </c:pt>
                <c:pt idx="140">
                  <c:v>1303</c:v>
                </c:pt>
                <c:pt idx="141">
                  <c:v>1303</c:v>
                </c:pt>
                <c:pt idx="142">
                  <c:v>1303</c:v>
                </c:pt>
                <c:pt idx="143">
                  <c:v>1303</c:v>
                </c:pt>
                <c:pt idx="144">
                  <c:v>1303</c:v>
                </c:pt>
                <c:pt idx="145">
                  <c:v>1303</c:v>
                </c:pt>
                <c:pt idx="146">
                  <c:v>1303</c:v>
                </c:pt>
                <c:pt idx="147">
                  <c:v>1303</c:v>
                </c:pt>
                <c:pt idx="148">
                  <c:v>1303</c:v>
                </c:pt>
                <c:pt idx="149">
                  <c:v>1303</c:v>
                </c:pt>
                <c:pt idx="150">
                  <c:v>1303</c:v>
                </c:pt>
                <c:pt idx="151">
                  <c:v>1303</c:v>
                </c:pt>
                <c:pt idx="152">
                  <c:v>1303</c:v>
                </c:pt>
                <c:pt idx="153">
                  <c:v>1303</c:v>
                </c:pt>
                <c:pt idx="154">
                  <c:v>1303</c:v>
                </c:pt>
                <c:pt idx="155">
                  <c:v>1303</c:v>
                </c:pt>
                <c:pt idx="156">
                  <c:v>1303</c:v>
                </c:pt>
                <c:pt idx="157">
                  <c:v>1303</c:v>
                </c:pt>
                <c:pt idx="158">
                  <c:v>1303</c:v>
                </c:pt>
                <c:pt idx="159">
                  <c:v>1303</c:v>
                </c:pt>
                <c:pt idx="160">
                  <c:v>1303</c:v>
                </c:pt>
                <c:pt idx="161">
                  <c:v>1303</c:v>
                </c:pt>
                <c:pt idx="162">
                  <c:v>1303</c:v>
                </c:pt>
                <c:pt idx="163">
                  <c:v>1303</c:v>
                </c:pt>
                <c:pt idx="164">
                  <c:v>1303</c:v>
                </c:pt>
                <c:pt idx="165">
                  <c:v>1303</c:v>
                </c:pt>
                <c:pt idx="166">
                  <c:v>1303</c:v>
                </c:pt>
                <c:pt idx="167">
                  <c:v>1303</c:v>
                </c:pt>
                <c:pt idx="168">
                  <c:v>1303</c:v>
                </c:pt>
                <c:pt idx="169">
                  <c:v>1303</c:v>
                </c:pt>
                <c:pt idx="170">
                  <c:v>1303</c:v>
                </c:pt>
                <c:pt idx="171">
                  <c:v>1303</c:v>
                </c:pt>
                <c:pt idx="172">
                  <c:v>1303</c:v>
                </c:pt>
                <c:pt idx="173">
                  <c:v>1303</c:v>
                </c:pt>
                <c:pt idx="174">
                  <c:v>1303</c:v>
                </c:pt>
                <c:pt idx="175">
                  <c:v>1303</c:v>
                </c:pt>
                <c:pt idx="176">
                  <c:v>1303</c:v>
                </c:pt>
                <c:pt idx="177">
                  <c:v>1303</c:v>
                </c:pt>
                <c:pt idx="178">
                  <c:v>1303</c:v>
                </c:pt>
                <c:pt idx="179">
                  <c:v>1303</c:v>
                </c:pt>
                <c:pt idx="180">
                  <c:v>1303</c:v>
                </c:pt>
                <c:pt idx="181">
                  <c:v>1303</c:v>
                </c:pt>
                <c:pt idx="182">
                  <c:v>1303</c:v>
                </c:pt>
                <c:pt idx="183">
                  <c:v>1303</c:v>
                </c:pt>
                <c:pt idx="184">
                  <c:v>1303</c:v>
                </c:pt>
                <c:pt idx="185">
                  <c:v>1303</c:v>
                </c:pt>
                <c:pt idx="186">
                  <c:v>1303</c:v>
                </c:pt>
                <c:pt idx="187">
                  <c:v>1303</c:v>
                </c:pt>
                <c:pt idx="188">
                  <c:v>1303</c:v>
                </c:pt>
                <c:pt idx="189">
                  <c:v>1303</c:v>
                </c:pt>
                <c:pt idx="190">
                  <c:v>1303</c:v>
                </c:pt>
                <c:pt idx="191">
                  <c:v>1303</c:v>
                </c:pt>
                <c:pt idx="192">
                  <c:v>1303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510528"/>
        <c:axId val="249524992"/>
      </c:scatterChart>
      <c:valAx>
        <c:axId val="249510528"/>
        <c:scaling>
          <c:orientation val="minMax"/>
          <c:max val="27061.375"/>
          <c:min val="27053.37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Date Time</a:t>
                </a:r>
                <a:endParaRPr/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txPr>
          <a:bodyPr rot="-900000" vert="horz"/>
          <a:lstStyle/>
          <a:p>
            <a:pPr>
              <a:defRPr/>
            </a:pPr>
            <a:endParaRPr lang="en-US"/>
          </a:p>
        </c:txPr>
        <c:crossAx val="249524992"/>
        <c:crosses val="autoZero"/>
        <c:crossBetween val="midCat"/>
      </c:valAx>
      <c:valAx>
        <c:axId val="249524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Rainfall (mm)</a:t>
                </a:r>
                <a:endParaRPr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95105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Lockyer- Pluviograph</a:t>
            </a:r>
            <a:endParaRPr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University of Queensland Gatton</c:v>
          </c:tx>
          <c:spPr>
            <a:ln w="25400">
              <a:prstDash val="sysDash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cumulative!$N$3:$N$195</c:f>
              <c:numCache>
                <c:formatCode>General</c:formatCode>
                <c:ptCount val="1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0.90999999999999992</c:v>
                </c:pt>
                <c:pt idx="8">
                  <c:v>3.4699999999999998</c:v>
                </c:pt>
                <c:pt idx="9">
                  <c:v>5.84</c:v>
                </c:pt>
                <c:pt idx="10">
                  <c:v>8.9600000000000009</c:v>
                </c:pt>
                <c:pt idx="11">
                  <c:v>11.610000000000001</c:v>
                </c:pt>
                <c:pt idx="12">
                  <c:v>12.110000000000001</c:v>
                </c:pt>
                <c:pt idx="13">
                  <c:v>12.700000000000001</c:v>
                </c:pt>
                <c:pt idx="14">
                  <c:v>13.71</c:v>
                </c:pt>
                <c:pt idx="15">
                  <c:v>13.91</c:v>
                </c:pt>
                <c:pt idx="16">
                  <c:v>14.08</c:v>
                </c:pt>
                <c:pt idx="17">
                  <c:v>14.71</c:v>
                </c:pt>
                <c:pt idx="18">
                  <c:v>16.96</c:v>
                </c:pt>
                <c:pt idx="19">
                  <c:v>18.11</c:v>
                </c:pt>
                <c:pt idx="20">
                  <c:v>19.509999999999998</c:v>
                </c:pt>
                <c:pt idx="21">
                  <c:v>21.81</c:v>
                </c:pt>
                <c:pt idx="22">
                  <c:v>22.209999999999997</c:v>
                </c:pt>
                <c:pt idx="23">
                  <c:v>24.609999999999996</c:v>
                </c:pt>
                <c:pt idx="24">
                  <c:v>27.209999999999997</c:v>
                </c:pt>
                <c:pt idx="25">
                  <c:v>27.209999999999997</c:v>
                </c:pt>
                <c:pt idx="26">
                  <c:v>27.209999999999997</c:v>
                </c:pt>
                <c:pt idx="27">
                  <c:v>27.209999999999997</c:v>
                </c:pt>
                <c:pt idx="28">
                  <c:v>27.209999999999997</c:v>
                </c:pt>
                <c:pt idx="29">
                  <c:v>27.209999999999997</c:v>
                </c:pt>
                <c:pt idx="30">
                  <c:v>27.209999999999997</c:v>
                </c:pt>
                <c:pt idx="31">
                  <c:v>27.209999999999997</c:v>
                </c:pt>
                <c:pt idx="32">
                  <c:v>27.209999999999997</c:v>
                </c:pt>
                <c:pt idx="33">
                  <c:v>27.209999999999997</c:v>
                </c:pt>
                <c:pt idx="34">
                  <c:v>27.209999999999997</c:v>
                </c:pt>
                <c:pt idx="35">
                  <c:v>27.209999999999997</c:v>
                </c:pt>
                <c:pt idx="36">
                  <c:v>27.209999999999997</c:v>
                </c:pt>
                <c:pt idx="37">
                  <c:v>27.209999999999997</c:v>
                </c:pt>
                <c:pt idx="38">
                  <c:v>27.209999999999997</c:v>
                </c:pt>
                <c:pt idx="39">
                  <c:v>27.209999999999997</c:v>
                </c:pt>
                <c:pt idx="40">
                  <c:v>27.209999999999997</c:v>
                </c:pt>
                <c:pt idx="41">
                  <c:v>27.209999999999997</c:v>
                </c:pt>
                <c:pt idx="42">
                  <c:v>27.209999999999997</c:v>
                </c:pt>
                <c:pt idx="43">
                  <c:v>27.209999999999997</c:v>
                </c:pt>
                <c:pt idx="44">
                  <c:v>27.209999999999997</c:v>
                </c:pt>
                <c:pt idx="45">
                  <c:v>27.209999999999997</c:v>
                </c:pt>
                <c:pt idx="46">
                  <c:v>27.209999999999997</c:v>
                </c:pt>
                <c:pt idx="47">
                  <c:v>27.209999999999997</c:v>
                </c:pt>
                <c:pt idx="48">
                  <c:v>27.209999999999997</c:v>
                </c:pt>
                <c:pt idx="49">
                  <c:v>27.209999999999997</c:v>
                </c:pt>
                <c:pt idx="50">
                  <c:v>27.209999999999997</c:v>
                </c:pt>
                <c:pt idx="51">
                  <c:v>28.499999999999996</c:v>
                </c:pt>
                <c:pt idx="52">
                  <c:v>32.25</c:v>
                </c:pt>
                <c:pt idx="53">
                  <c:v>34.24</c:v>
                </c:pt>
                <c:pt idx="54">
                  <c:v>36.1</c:v>
                </c:pt>
                <c:pt idx="55">
                  <c:v>39.78</c:v>
                </c:pt>
                <c:pt idx="56">
                  <c:v>43.5</c:v>
                </c:pt>
                <c:pt idx="57">
                  <c:v>44.6</c:v>
                </c:pt>
                <c:pt idx="58">
                  <c:v>45.300000000000004</c:v>
                </c:pt>
                <c:pt idx="59">
                  <c:v>46.17</c:v>
                </c:pt>
                <c:pt idx="60">
                  <c:v>47.35</c:v>
                </c:pt>
                <c:pt idx="61">
                  <c:v>51.43</c:v>
                </c:pt>
                <c:pt idx="62">
                  <c:v>59.66</c:v>
                </c:pt>
                <c:pt idx="63">
                  <c:v>62.599999999999994</c:v>
                </c:pt>
                <c:pt idx="64">
                  <c:v>62.699999999999996</c:v>
                </c:pt>
                <c:pt idx="65">
                  <c:v>63.099999999999994</c:v>
                </c:pt>
                <c:pt idx="66">
                  <c:v>71.47</c:v>
                </c:pt>
                <c:pt idx="67">
                  <c:v>71.5</c:v>
                </c:pt>
                <c:pt idx="68">
                  <c:v>71.5</c:v>
                </c:pt>
                <c:pt idx="69">
                  <c:v>71.5</c:v>
                </c:pt>
                <c:pt idx="70">
                  <c:v>71.5</c:v>
                </c:pt>
                <c:pt idx="71">
                  <c:v>71.5</c:v>
                </c:pt>
                <c:pt idx="72">
                  <c:v>71.5</c:v>
                </c:pt>
                <c:pt idx="73">
                  <c:v>71.5</c:v>
                </c:pt>
                <c:pt idx="74">
                  <c:v>72.87</c:v>
                </c:pt>
                <c:pt idx="75">
                  <c:v>76.960000000000008</c:v>
                </c:pt>
                <c:pt idx="76">
                  <c:v>81.48</c:v>
                </c:pt>
                <c:pt idx="77">
                  <c:v>84.78</c:v>
                </c:pt>
                <c:pt idx="78">
                  <c:v>87.1</c:v>
                </c:pt>
                <c:pt idx="79">
                  <c:v>88.71</c:v>
                </c:pt>
                <c:pt idx="80">
                  <c:v>90.11</c:v>
                </c:pt>
                <c:pt idx="81">
                  <c:v>95.01</c:v>
                </c:pt>
                <c:pt idx="82">
                  <c:v>99.75</c:v>
                </c:pt>
                <c:pt idx="83">
                  <c:v>100.5</c:v>
                </c:pt>
                <c:pt idx="84">
                  <c:v>100.64</c:v>
                </c:pt>
                <c:pt idx="85">
                  <c:v>102</c:v>
                </c:pt>
                <c:pt idx="86">
                  <c:v>102.49</c:v>
                </c:pt>
                <c:pt idx="87">
                  <c:v>102.99</c:v>
                </c:pt>
                <c:pt idx="88">
                  <c:v>103.49</c:v>
                </c:pt>
                <c:pt idx="89">
                  <c:v>103.99</c:v>
                </c:pt>
                <c:pt idx="90">
                  <c:v>104.49</c:v>
                </c:pt>
                <c:pt idx="91">
                  <c:v>104.99</c:v>
                </c:pt>
                <c:pt idx="92">
                  <c:v>105.49</c:v>
                </c:pt>
                <c:pt idx="93">
                  <c:v>105.99</c:v>
                </c:pt>
                <c:pt idx="94">
                  <c:v>106.49</c:v>
                </c:pt>
                <c:pt idx="95">
                  <c:v>106.99</c:v>
                </c:pt>
                <c:pt idx="96">
                  <c:v>107.49</c:v>
                </c:pt>
                <c:pt idx="97">
                  <c:v>107.57</c:v>
                </c:pt>
                <c:pt idx="98">
                  <c:v>107.64999999999999</c:v>
                </c:pt>
                <c:pt idx="99">
                  <c:v>107.72999999999999</c:v>
                </c:pt>
                <c:pt idx="100">
                  <c:v>107.80999999999999</c:v>
                </c:pt>
                <c:pt idx="101">
                  <c:v>107.88999999999999</c:v>
                </c:pt>
                <c:pt idx="102">
                  <c:v>107.96999999999998</c:v>
                </c:pt>
                <c:pt idx="103">
                  <c:v>108.04999999999998</c:v>
                </c:pt>
                <c:pt idx="104">
                  <c:v>108.12999999999998</c:v>
                </c:pt>
                <c:pt idx="105">
                  <c:v>108.20999999999998</c:v>
                </c:pt>
                <c:pt idx="106">
                  <c:v>108.28999999999998</c:v>
                </c:pt>
                <c:pt idx="107">
                  <c:v>108.36999999999998</c:v>
                </c:pt>
                <c:pt idx="108">
                  <c:v>108.44999999999997</c:v>
                </c:pt>
                <c:pt idx="109">
                  <c:v>108.52999999999997</c:v>
                </c:pt>
                <c:pt idx="110">
                  <c:v>108.60999999999997</c:v>
                </c:pt>
                <c:pt idx="111">
                  <c:v>108.68999999999997</c:v>
                </c:pt>
                <c:pt idx="112">
                  <c:v>108.76999999999997</c:v>
                </c:pt>
                <c:pt idx="113">
                  <c:v>108.84999999999997</c:v>
                </c:pt>
                <c:pt idx="114">
                  <c:v>108.92999999999996</c:v>
                </c:pt>
                <c:pt idx="115">
                  <c:v>109.00999999999996</c:v>
                </c:pt>
                <c:pt idx="116">
                  <c:v>109.08999999999996</c:v>
                </c:pt>
                <c:pt idx="117">
                  <c:v>109.16999999999996</c:v>
                </c:pt>
                <c:pt idx="118">
                  <c:v>109.24999999999996</c:v>
                </c:pt>
                <c:pt idx="119">
                  <c:v>109.32999999999996</c:v>
                </c:pt>
                <c:pt idx="120">
                  <c:v>109.40999999999995</c:v>
                </c:pt>
                <c:pt idx="121">
                  <c:v>109.40999999999995</c:v>
                </c:pt>
                <c:pt idx="122">
                  <c:v>109.40999999999995</c:v>
                </c:pt>
                <c:pt idx="123">
                  <c:v>109.40999999999995</c:v>
                </c:pt>
                <c:pt idx="124">
                  <c:v>109.40999999999995</c:v>
                </c:pt>
                <c:pt idx="125">
                  <c:v>109.60999999999996</c:v>
                </c:pt>
                <c:pt idx="126">
                  <c:v>110.40999999999995</c:v>
                </c:pt>
                <c:pt idx="127">
                  <c:v>110.40999999999995</c:v>
                </c:pt>
                <c:pt idx="128">
                  <c:v>110.40999999999995</c:v>
                </c:pt>
                <c:pt idx="129">
                  <c:v>110.40999999999995</c:v>
                </c:pt>
                <c:pt idx="130">
                  <c:v>110.40999999999995</c:v>
                </c:pt>
                <c:pt idx="131">
                  <c:v>110.40999999999995</c:v>
                </c:pt>
                <c:pt idx="132">
                  <c:v>110.40999999999995</c:v>
                </c:pt>
                <c:pt idx="133">
                  <c:v>110.40999999999995</c:v>
                </c:pt>
                <c:pt idx="134">
                  <c:v>110.40999999999995</c:v>
                </c:pt>
                <c:pt idx="135">
                  <c:v>110.40999999999995</c:v>
                </c:pt>
                <c:pt idx="136">
                  <c:v>110.40999999999995</c:v>
                </c:pt>
                <c:pt idx="137">
                  <c:v>110.40999999999995</c:v>
                </c:pt>
                <c:pt idx="138">
                  <c:v>110.40999999999995</c:v>
                </c:pt>
                <c:pt idx="139">
                  <c:v>110.40999999999995</c:v>
                </c:pt>
                <c:pt idx="140">
                  <c:v>110.40999999999995</c:v>
                </c:pt>
                <c:pt idx="141">
                  <c:v>110.40999999999995</c:v>
                </c:pt>
                <c:pt idx="142">
                  <c:v>110.40999999999995</c:v>
                </c:pt>
                <c:pt idx="143">
                  <c:v>110.40999999999995</c:v>
                </c:pt>
                <c:pt idx="144">
                  <c:v>110.40999999999995</c:v>
                </c:pt>
                <c:pt idx="145">
                  <c:v>110.40999999999995</c:v>
                </c:pt>
                <c:pt idx="146">
                  <c:v>110.40999999999995</c:v>
                </c:pt>
                <c:pt idx="147">
                  <c:v>110.40999999999995</c:v>
                </c:pt>
                <c:pt idx="148">
                  <c:v>110.40999999999995</c:v>
                </c:pt>
                <c:pt idx="149">
                  <c:v>110.40999999999995</c:v>
                </c:pt>
                <c:pt idx="150">
                  <c:v>110.40999999999995</c:v>
                </c:pt>
                <c:pt idx="151">
                  <c:v>110.40999999999995</c:v>
                </c:pt>
                <c:pt idx="152">
                  <c:v>110.40999999999995</c:v>
                </c:pt>
                <c:pt idx="153">
                  <c:v>110.40999999999995</c:v>
                </c:pt>
                <c:pt idx="154">
                  <c:v>110.40999999999995</c:v>
                </c:pt>
                <c:pt idx="155">
                  <c:v>110.40999999999995</c:v>
                </c:pt>
                <c:pt idx="156">
                  <c:v>110.40999999999995</c:v>
                </c:pt>
                <c:pt idx="157">
                  <c:v>110.40999999999995</c:v>
                </c:pt>
                <c:pt idx="158">
                  <c:v>110.40999999999995</c:v>
                </c:pt>
                <c:pt idx="159">
                  <c:v>110.40999999999995</c:v>
                </c:pt>
                <c:pt idx="160">
                  <c:v>110.40999999999995</c:v>
                </c:pt>
                <c:pt idx="161">
                  <c:v>110.40999999999995</c:v>
                </c:pt>
                <c:pt idx="162">
                  <c:v>110.40999999999995</c:v>
                </c:pt>
                <c:pt idx="163">
                  <c:v>110.40999999999995</c:v>
                </c:pt>
                <c:pt idx="164">
                  <c:v>110.40999999999995</c:v>
                </c:pt>
                <c:pt idx="165">
                  <c:v>110.40999999999995</c:v>
                </c:pt>
                <c:pt idx="166">
                  <c:v>110.40999999999995</c:v>
                </c:pt>
                <c:pt idx="167">
                  <c:v>110.40999999999995</c:v>
                </c:pt>
                <c:pt idx="168">
                  <c:v>110.40999999999995</c:v>
                </c:pt>
                <c:pt idx="169">
                  <c:v>110.40999999999995</c:v>
                </c:pt>
                <c:pt idx="170">
                  <c:v>110.40999999999995</c:v>
                </c:pt>
                <c:pt idx="171">
                  <c:v>110.40999999999995</c:v>
                </c:pt>
                <c:pt idx="172">
                  <c:v>110.40999999999995</c:v>
                </c:pt>
                <c:pt idx="173">
                  <c:v>110.40999999999995</c:v>
                </c:pt>
                <c:pt idx="174">
                  <c:v>110.40999999999995</c:v>
                </c:pt>
                <c:pt idx="175">
                  <c:v>110.40999999999995</c:v>
                </c:pt>
                <c:pt idx="176">
                  <c:v>110.40999999999995</c:v>
                </c:pt>
                <c:pt idx="177">
                  <c:v>110.40999999999995</c:v>
                </c:pt>
                <c:pt idx="178">
                  <c:v>110.40999999999995</c:v>
                </c:pt>
                <c:pt idx="179">
                  <c:v>110.40999999999995</c:v>
                </c:pt>
                <c:pt idx="180">
                  <c:v>110.40999999999995</c:v>
                </c:pt>
                <c:pt idx="181">
                  <c:v>110.40999999999995</c:v>
                </c:pt>
                <c:pt idx="182">
                  <c:v>110.40999999999995</c:v>
                </c:pt>
                <c:pt idx="183">
                  <c:v>111.40999999999995</c:v>
                </c:pt>
                <c:pt idx="184">
                  <c:v>111.40999999999995</c:v>
                </c:pt>
                <c:pt idx="185">
                  <c:v>111.40999999999995</c:v>
                </c:pt>
                <c:pt idx="186">
                  <c:v>111.40999999999995</c:v>
                </c:pt>
                <c:pt idx="187">
                  <c:v>111.40999999999995</c:v>
                </c:pt>
                <c:pt idx="188">
                  <c:v>111.40999999999995</c:v>
                </c:pt>
                <c:pt idx="189">
                  <c:v>111.40999999999995</c:v>
                </c:pt>
                <c:pt idx="190">
                  <c:v>111.40999999999995</c:v>
                </c:pt>
                <c:pt idx="191">
                  <c:v>111.40999999999995</c:v>
                </c:pt>
                <c:pt idx="192">
                  <c:v>111.40999999999995</c:v>
                </c:pt>
              </c:numCache>
            </c:numRef>
          </c:yVal>
          <c:smooth val="0"/>
        </c:ser>
        <c:ser>
          <c:idx val="1"/>
          <c:order val="1"/>
          <c:tx>
            <c:v>Thornton Bvrt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cumulative!$O$3:$O$195</c:f>
              <c:numCache>
                <c:formatCode>General</c:formatCode>
                <c:ptCount val="19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9</c:v>
                </c:pt>
                <c:pt idx="9">
                  <c:v>15</c:v>
                </c:pt>
                <c:pt idx="10">
                  <c:v>22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31</c:v>
                </c:pt>
                <c:pt idx="15">
                  <c:v>32</c:v>
                </c:pt>
                <c:pt idx="16">
                  <c:v>33</c:v>
                </c:pt>
                <c:pt idx="17">
                  <c:v>35</c:v>
                </c:pt>
                <c:pt idx="18">
                  <c:v>39</c:v>
                </c:pt>
                <c:pt idx="19">
                  <c:v>41</c:v>
                </c:pt>
                <c:pt idx="20">
                  <c:v>45</c:v>
                </c:pt>
                <c:pt idx="21">
                  <c:v>50</c:v>
                </c:pt>
                <c:pt idx="22">
                  <c:v>51</c:v>
                </c:pt>
                <c:pt idx="23">
                  <c:v>56</c:v>
                </c:pt>
                <c:pt idx="24">
                  <c:v>62</c:v>
                </c:pt>
                <c:pt idx="25">
                  <c:v>64</c:v>
                </c:pt>
                <c:pt idx="26">
                  <c:v>70</c:v>
                </c:pt>
                <c:pt idx="27">
                  <c:v>79</c:v>
                </c:pt>
                <c:pt idx="28">
                  <c:v>88</c:v>
                </c:pt>
                <c:pt idx="29">
                  <c:v>98</c:v>
                </c:pt>
                <c:pt idx="30">
                  <c:v>108</c:v>
                </c:pt>
                <c:pt idx="31">
                  <c:v>125</c:v>
                </c:pt>
                <c:pt idx="32">
                  <c:v>138</c:v>
                </c:pt>
                <c:pt idx="33">
                  <c:v>148</c:v>
                </c:pt>
                <c:pt idx="34">
                  <c:v>151</c:v>
                </c:pt>
                <c:pt idx="35">
                  <c:v>156</c:v>
                </c:pt>
                <c:pt idx="36">
                  <c:v>162</c:v>
                </c:pt>
                <c:pt idx="37">
                  <c:v>173</c:v>
                </c:pt>
                <c:pt idx="38">
                  <c:v>189</c:v>
                </c:pt>
                <c:pt idx="39">
                  <c:v>198</c:v>
                </c:pt>
                <c:pt idx="40">
                  <c:v>204</c:v>
                </c:pt>
                <c:pt idx="41">
                  <c:v>209</c:v>
                </c:pt>
                <c:pt idx="42">
                  <c:v>212</c:v>
                </c:pt>
                <c:pt idx="43">
                  <c:v>216</c:v>
                </c:pt>
                <c:pt idx="44">
                  <c:v>221</c:v>
                </c:pt>
                <c:pt idx="45">
                  <c:v>236</c:v>
                </c:pt>
                <c:pt idx="46">
                  <c:v>244</c:v>
                </c:pt>
                <c:pt idx="47">
                  <c:v>249</c:v>
                </c:pt>
                <c:pt idx="48">
                  <c:v>262</c:v>
                </c:pt>
                <c:pt idx="49">
                  <c:v>271</c:v>
                </c:pt>
                <c:pt idx="50">
                  <c:v>277</c:v>
                </c:pt>
                <c:pt idx="51">
                  <c:v>285</c:v>
                </c:pt>
                <c:pt idx="52">
                  <c:v>289</c:v>
                </c:pt>
                <c:pt idx="53">
                  <c:v>298</c:v>
                </c:pt>
                <c:pt idx="54">
                  <c:v>309</c:v>
                </c:pt>
                <c:pt idx="55">
                  <c:v>319</c:v>
                </c:pt>
                <c:pt idx="56">
                  <c:v>338</c:v>
                </c:pt>
                <c:pt idx="57">
                  <c:v>364</c:v>
                </c:pt>
                <c:pt idx="58">
                  <c:v>386</c:v>
                </c:pt>
                <c:pt idx="59">
                  <c:v>406</c:v>
                </c:pt>
                <c:pt idx="60">
                  <c:v>418</c:v>
                </c:pt>
                <c:pt idx="61">
                  <c:v>439</c:v>
                </c:pt>
                <c:pt idx="62">
                  <c:v>454</c:v>
                </c:pt>
                <c:pt idx="63">
                  <c:v>464</c:v>
                </c:pt>
                <c:pt idx="64">
                  <c:v>475</c:v>
                </c:pt>
                <c:pt idx="65">
                  <c:v>487</c:v>
                </c:pt>
                <c:pt idx="66">
                  <c:v>497</c:v>
                </c:pt>
                <c:pt idx="67">
                  <c:v>504</c:v>
                </c:pt>
                <c:pt idx="68">
                  <c:v>513</c:v>
                </c:pt>
                <c:pt idx="69">
                  <c:v>522</c:v>
                </c:pt>
                <c:pt idx="70">
                  <c:v>533</c:v>
                </c:pt>
                <c:pt idx="71">
                  <c:v>544</c:v>
                </c:pt>
                <c:pt idx="72">
                  <c:v>555</c:v>
                </c:pt>
                <c:pt idx="73">
                  <c:v>559</c:v>
                </c:pt>
                <c:pt idx="74">
                  <c:v>563</c:v>
                </c:pt>
                <c:pt idx="75">
                  <c:v>570</c:v>
                </c:pt>
                <c:pt idx="76">
                  <c:v>577</c:v>
                </c:pt>
                <c:pt idx="77">
                  <c:v>584</c:v>
                </c:pt>
                <c:pt idx="78">
                  <c:v>588</c:v>
                </c:pt>
                <c:pt idx="79">
                  <c:v>597</c:v>
                </c:pt>
                <c:pt idx="80">
                  <c:v>603</c:v>
                </c:pt>
                <c:pt idx="81">
                  <c:v>611</c:v>
                </c:pt>
                <c:pt idx="82">
                  <c:v>615</c:v>
                </c:pt>
                <c:pt idx="83">
                  <c:v>617</c:v>
                </c:pt>
                <c:pt idx="84">
                  <c:v>620</c:v>
                </c:pt>
                <c:pt idx="85">
                  <c:v>621</c:v>
                </c:pt>
                <c:pt idx="86">
                  <c:v>623</c:v>
                </c:pt>
                <c:pt idx="87">
                  <c:v>625</c:v>
                </c:pt>
                <c:pt idx="88">
                  <c:v>627</c:v>
                </c:pt>
                <c:pt idx="89">
                  <c:v>628</c:v>
                </c:pt>
                <c:pt idx="90">
                  <c:v>628</c:v>
                </c:pt>
                <c:pt idx="91">
                  <c:v>629</c:v>
                </c:pt>
                <c:pt idx="92">
                  <c:v>632</c:v>
                </c:pt>
                <c:pt idx="93">
                  <c:v>633</c:v>
                </c:pt>
                <c:pt idx="94">
                  <c:v>634</c:v>
                </c:pt>
                <c:pt idx="95">
                  <c:v>637</c:v>
                </c:pt>
                <c:pt idx="96">
                  <c:v>637</c:v>
                </c:pt>
                <c:pt idx="97">
                  <c:v>637</c:v>
                </c:pt>
                <c:pt idx="98">
                  <c:v>637</c:v>
                </c:pt>
                <c:pt idx="99">
                  <c:v>637</c:v>
                </c:pt>
                <c:pt idx="100">
                  <c:v>637</c:v>
                </c:pt>
                <c:pt idx="101">
                  <c:v>637</c:v>
                </c:pt>
                <c:pt idx="102">
                  <c:v>637</c:v>
                </c:pt>
                <c:pt idx="103">
                  <c:v>637</c:v>
                </c:pt>
                <c:pt idx="104">
                  <c:v>637</c:v>
                </c:pt>
                <c:pt idx="105">
                  <c:v>637</c:v>
                </c:pt>
                <c:pt idx="106">
                  <c:v>637</c:v>
                </c:pt>
                <c:pt idx="107">
                  <c:v>637</c:v>
                </c:pt>
                <c:pt idx="108">
                  <c:v>637</c:v>
                </c:pt>
                <c:pt idx="109">
                  <c:v>637</c:v>
                </c:pt>
                <c:pt idx="110">
                  <c:v>637</c:v>
                </c:pt>
                <c:pt idx="111">
                  <c:v>637</c:v>
                </c:pt>
                <c:pt idx="112">
                  <c:v>637</c:v>
                </c:pt>
                <c:pt idx="113">
                  <c:v>637</c:v>
                </c:pt>
                <c:pt idx="114">
                  <c:v>637</c:v>
                </c:pt>
                <c:pt idx="115">
                  <c:v>637</c:v>
                </c:pt>
                <c:pt idx="116">
                  <c:v>637</c:v>
                </c:pt>
                <c:pt idx="117">
                  <c:v>637</c:v>
                </c:pt>
                <c:pt idx="118">
                  <c:v>637</c:v>
                </c:pt>
                <c:pt idx="119">
                  <c:v>637</c:v>
                </c:pt>
                <c:pt idx="120">
                  <c:v>637</c:v>
                </c:pt>
                <c:pt idx="121">
                  <c:v>637</c:v>
                </c:pt>
                <c:pt idx="122">
                  <c:v>637</c:v>
                </c:pt>
                <c:pt idx="123">
                  <c:v>637</c:v>
                </c:pt>
                <c:pt idx="124">
                  <c:v>637</c:v>
                </c:pt>
                <c:pt idx="125">
                  <c:v>637</c:v>
                </c:pt>
                <c:pt idx="126">
                  <c:v>637</c:v>
                </c:pt>
                <c:pt idx="127">
                  <c:v>637</c:v>
                </c:pt>
                <c:pt idx="128">
                  <c:v>637</c:v>
                </c:pt>
                <c:pt idx="129">
                  <c:v>637</c:v>
                </c:pt>
                <c:pt idx="130">
                  <c:v>637</c:v>
                </c:pt>
                <c:pt idx="131">
                  <c:v>637</c:v>
                </c:pt>
                <c:pt idx="132">
                  <c:v>637</c:v>
                </c:pt>
                <c:pt idx="133">
                  <c:v>637</c:v>
                </c:pt>
                <c:pt idx="134">
                  <c:v>637</c:v>
                </c:pt>
                <c:pt idx="135">
                  <c:v>637</c:v>
                </c:pt>
                <c:pt idx="136">
                  <c:v>637</c:v>
                </c:pt>
                <c:pt idx="137">
                  <c:v>637</c:v>
                </c:pt>
                <c:pt idx="138">
                  <c:v>637</c:v>
                </c:pt>
                <c:pt idx="139">
                  <c:v>637</c:v>
                </c:pt>
                <c:pt idx="140">
                  <c:v>637</c:v>
                </c:pt>
                <c:pt idx="141">
                  <c:v>637</c:v>
                </c:pt>
                <c:pt idx="142">
                  <c:v>637</c:v>
                </c:pt>
                <c:pt idx="143">
                  <c:v>637</c:v>
                </c:pt>
                <c:pt idx="144">
                  <c:v>637</c:v>
                </c:pt>
                <c:pt idx="145">
                  <c:v>637</c:v>
                </c:pt>
                <c:pt idx="146">
                  <c:v>637</c:v>
                </c:pt>
                <c:pt idx="147">
                  <c:v>637</c:v>
                </c:pt>
                <c:pt idx="148">
                  <c:v>637</c:v>
                </c:pt>
                <c:pt idx="149">
                  <c:v>637</c:v>
                </c:pt>
                <c:pt idx="150">
                  <c:v>637</c:v>
                </c:pt>
                <c:pt idx="151">
                  <c:v>637</c:v>
                </c:pt>
                <c:pt idx="152">
                  <c:v>637</c:v>
                </c:pt>
                <c:pt idx="153">
                  <c:v>637</c:v>
                </c:pt>
                <c:pt idx="154">
                  <c:v>637</c:v>
                </c:pt>
                <c:pt idx="155">
                  <c:v>637</c:v>
                </c:pt>
                <c:pt idx="156">
                  <c:v>637</c:v>
                </c:pt>
                <c:pt idx="157">
                  <c:v>637</c:v>
                </c:pt>
                <c:pt idx="158">
                  <c:v>637</c:v>
                </c:pt>
                <c:pt idx="159">
                  <c:v>637</c:v>
                </c:pt>
                <c:pt idx="160">
                  <c:v>637</c:v>
                </c:pt>
                <c:pt idx="161">
                  <c:v>637</c:v>
                </c:pt>
                <c:pt idx="162">
                  <c:v>637</c:v>
                </c:pt>
                <c:pt idx="163">
                  <c:v>637</c:v>
                </c:pt>
                <c:pt idx="164">
                  <c:v>637</c:v>
                </c:pt>
                <c:pt idx="165">
                  <c:v>637</c:v>
                </c:pt>
                <c:pt idx="166">
                  <c:v>637</c:v>
                </c:pt>
                <c:pt idx="167">
                  <c:v>637</c:v>
                </c:pt>
                <c:pt idx="168">
                  <c:v>637</c:v>
                </c:pt>
                <c:pt idx="169">
                  <c:v>637</c:v>
                </c:pt>
                <c:pt idx="170">
                  <c:v>637</c:v>
                </c:pt>
                <c:pt idx="171">
                  <c:v>637</c:v>
                </c:pt>
                <c:pt idx="172">
                  <c:v>637</c:v>
                </c:pt>
                <c:pt idx="173">
                  <c:v>637</c:v>
                </c:pt>
                <c:pt idx="174">
                  <c:v>637</c:v>
                </c:pt>
                <c:pt idx="175">
                  <c:v>637</c:v>
                </c:pt>
                <c:pt idx="176">
                  <c:v>637</c:v>
                </c:pt>
                <c:pt idx="177">
                  <c:v>637</c:v>
                </c:pt>
                <c:pt idx="178">
                  <c:v>637</c:v>
                </c:pt>
                <c:pt idx="179">
                  <c:v>637</c:v>
                </c:pt>
                <c:pt idx="180">
                  <c:v>637</c:v>
                </c:pt>
                <c:pt idx="181">
                  <c:v>637</c:v>
                </c:pt>
                <c:pt idx="182">
                  <c:v>637</c:v>
                </c:pt>
                <c:pt idx="183">
                  <c:v>637</c:v>
                </c:pt>
                <c:pt idx="184">
                  <c:v>637</c:v>
                </c:pt>
                <c:pt idx="185">
                  <c:v>637</c:v>
                </c:pt>
                <c:pt idx="186">
                  <c:v>637</c:v>
                </c:pt>
                <c:pt idx="187">
                  <c:v>637</c:v>
                </c:pt>
                <c:pt idx="188">
                  <c:v>637</c:v>
                </c:pt>
                <c:pt idx="189">
                  <c:v>637</c:v>
                </c:pt>
                <c:pt idx="190">
                  <c:v>637</c:v>
                </c:pt>
                <c:pt idx="191">
                  <c:v>637</c:v>
                </c:pt>
                <c:pt idx="192">
                  <c:v>637</c:v>
                </c:pt>
              </c:numCache>
            </c:numRef>
          </c:yVal>
          <c:smooth val="0"/>
        </c:ser>
        <c:ser>
          <c:idx val="2"/>
          <c:order val="2"/>
          <c:tx>
            <c:v>Toowoomba City Council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cumulative!$P$3:$P$195</c:f>
              <c:numCache>
                <c:formatCode>General</c:formatCode>
                <c:ptCount val="1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2.1</c:v>
                </c:pt>
                <c:pt idx="8">
                  <c:v>4.7699999999999996</c:v>
                </c:pt>
                <c:pt idx="9">
                  <c:v>8.9600000000000009</c:v>
                </c:pt>
                <c:pt idx="10">
                  <c:v>11.370000000000001</c:v>
                </c:pt>
                <c:pt idx="11">
                  <c:v>14.3</c:v>
                </c:pt>
                <c:pt idx="12">
                  <c:v>15.24</c:v>
                </c:pt>
                <c:pt idx="13">
                  <c:v>17.32</c:v>
                </c:pt>
                <c:pt idx="14">
                  <c:v>20.310000000000002</c:v>
                </c:pt>
                <c:pt idx="15">
                  <c:v>21.110000000000003</c:v>
                </c:pt>
                <c:pt idx="16">
                  <c:v>21.410000000000004</c:v>
                </c:pt>
                <c:pt idx="17">
                  <c:v>22.210000000000004</c:v>
                </c:pt>
                <c:pt idx="18">
                  <c:v>22.210000000000004</c:v>
                </c:pt>
                <c:pt idx="19">
                  <c:v>22.490000000000006</c:v>
                </c:pt>
                <c:pt idx="20">
                  <c:v>25.510000000000005</c:v>
                </c:pt>
                <c:pt idx="21">
                  <c:v>30.430000000000007</c:v>
                </c:pt>
                <c:pt idx="22">
                  <c:v>34.100000000000009</c:v>
                </c:pt>
                <c:pt idx="23">
                  <c:v>35.910000000000011</c:v>
                </c:pt>
                <c:pt idx="24">
                  <c:v>35.910000000000011</c:v>
                </c:pt>
                <c:pt idx="25">
                  <c:v>39.030000000000008</c:v>
                </c:pt>
                <c:pt idx="26">
                  <c:v>40.63000000000001</c:v>
                </c:pt>
                <c:pt idx="27">
                  <c:v>43.02000000000001</c:v>
                </c:pt>
                <c:pt idx="28">
                  <c:v>47.620000000000012</c:v>
                </c:pt>
                <c:pt idx="29">
                  <c:v>49.720000000000013</c:v>
                </c:pt>
                <c:pt idx="30">
                  <c:v>52.730000000000011</c:v>
                </c:pt>
                <c:pt idx="31">
                  <c:v>60.540000000000013</c:v>
                </c:pt>
                <c:pt idx="32">
                  <c:v>70.02000000000001</c:v>
                </c:pt>
                <c:pt idx="33">
                  <c:v>75.63000000000001</c:v>
                </c:pt>
                <c:pt idx="34">
                  <c:v>77.210000000000008</c:v>
                </c:pt>
                <c:pt idx="35">
                  <c:v>77.210000000000008</c:v>
                </c:pt>
                <c:pt idx="36">
                  <c:v>78.910000000000011</c:v>
                </c:pt>
                <c:pt idx="37">
                  <c:v>81.02000000000001</c:v>
                </c:pt>
                <c:pt idx="38">
                  <c:v>83.110000000000014</c:v>
                </c:pt>
                <c:pt idx="39">
                  <c:v>84.410000000000011</c:v>
                </c:pt>
                <c:pt idx="40">
                  <c:v>85.51</c:v>
                </c:pt>
                <c:pt idx="41">
                  <c:v>89</c:v>
                </c:pt>
                <c:pt idx="42">
                  <c:v>91.8</c:v>
                </c:pt>
                <c:pt idx="43">
                  <c:v>94.69</c:v>
                </c:pt>
                <c:pt idx="44">
                  <c:v>96.69</c:v>
                </c:pt>
                <c:pt idx="45">
                  <c:v>102</c:v>
                </c:pt>
                <c:pt idx="46">
                  <c:v>117.55</c:v>
                </c:pt>
                <c:pt idx="47">
                  <c:v>120.61</c:v>
                </c:pt>
                <c:pt idx="48">
                  <c:v>123.67</c:v>
                </c:pt>
                <c:pt idx="49">
                  <c:v>128.69</c:v>
                </c:pt>
                <c:pt idx="50">
                  <c:v>130.21</c:v>
                </c:pt>
                <c:pt idx="51">
                  <c:v>130.71</c:v>
                </c:pt>
                <c:pt idx="52">
                  <c:v>134.81</c:v>
                </c:pt>
                <c:pt idx="53">
                  <c:v>138.1</c:v>
                </c:pt>
                <c:pt idx="54">
                  <c:v>139.87</c:v>
                </c:pt>
                <c:pt idx="55">
                  <c:v>142.51</c:v>
                </c:pt>
                <c:pt idx="56">
                  <c:v>147.59</c:v>
                </c:pt>
                <c:pt idx="57">
                  <c:v>155.80000000000001</c:v>
                </c:pt>
                <c:pt idx="58">
                  <c:v>167.4</c:v>
                </c:pt>
                <c:pt idx="59">
                  <c:v>187.23000000000002</c:v>
                </c:pt>
                <c:pt idx="60">
                  <c:v>201.84000000000003</c:v>
                </c:pt>
                <c:pt idx="61">
                  <c:v>223.13000000000002</c:v>
                </c:pt>
                <c:pt idx="62">
                  <c:v>237.93000000000004</c:v>
                </c:pt>
                <c:pt idx="63">
                  <c:v>249.37000000000003</c:v>
                </c:pt>
                <c:pt idx="64">
                  <c:v>256.89000000000004</c:v>
                </c:pt>
                <c:pt idx="65">
                  <c:v>262.37000000000006</c:v>
                </c:pt>
                <c:pt idx="66">
                  <c:v>266.32000000000005</c:v>
                </c:pt>
                <c:pt idx="67">
                  <c:v>278.18000000000006</c:v>
                </c:pt>
                <c:pt idx="68">
                  <c:v>285.72000000000008</c:v>
                </c:pt>
                <c:pt idx="69">
                  <c:v>296.09000000000009</c:v>
                </c:pt>
                <c:pt idx="70">
                  <c:v>300.72000000000008</c:v>
                </c:pt>
                <c:pt idx="71">
                  <c:v>304.73000000000008</c:v>
                </c:pt>
                <c:pt idx="72">
                  <c:v>304.80000000000007</c:v>
                </c:pt>
                <c:pt idx="73">
                  <c:v>304.80000000000007</c:v>
                </c:pt>
                <c:pt idx="74">
                  <c:v>304.80000000000007</c:v>
                </c:pt>
                <c:pt idx="75">
                  <c:v>308.35000000000008</c:v>
                </c:pt>
                <c:pt idx="76">
                  <c:v>313.88000000000005</c:v>
                </c:pt>
                <c:pt idx="77">
                  <c:v>315.03000000000003</c:v>
                </c:pt>
                <c:pt idx="78">
                  <c:v>318.33000000000004</c:v>
                </c:pt>
                <c:pt idx="79">
                  <c:v>320.50000000000006</c:v>
                </c:pt>
                <c:pt idx="80">
                  <c:v>323.25000000000006</c:v>
                </c:pt>
                <c:pt idx="81">
                  <c:v>327.76000000000005</c:v>
                </c:pt>
                <c:pt idx="82">
                  <c:v>330.90000000000003</c:v>
                </c:pt>
                <c:pt idx="83">
                  <c:v>334.94000000000005</c:v>
                </c:pt>
                <c:pt idx="84">
                  <c:v>336.68000000000006</c:v>
                </c:pt>
                <c:pt idx="85">
                  <c:v>340.42000000000007</c:v>
                </c:pt>
                <c:pt idx="86">
                  <c:v>342.63000000000005</c:v>
                </c:pt>
                <c:pt idx="87">
                  <c:v>343.29000000000008</c:v>
                </c:pt>
                <c:pt idx="88">
                  <c:v>343.40000000000009</c:v>
                </c:pt>
                <c:pt idx="89">
                  <c:v>343.40000000000009</c:v>
                </c:pt>
                <c:pt idx="90">
                  <c:v>344.21000000000009</c:v>
                </c:pt>
                <c:pt idx="91">
                  <c:v>346.90000000000009</c:v>
                </c:pt>
                <c:pt idx="92">
                  <c:v>348.84000000000009</c:v>
                </c:pt>
                <c:pt idx="93">
                  <c:v>351.0200000000001</c:v>
                </c:pt>
                <c:pt idx="94">
                  <c:v>353.0800000000001</c:v>
                </c:pt>
                <c:pt idx="95">
                  <c:v>354.80000000000013</c:v>
                </c:pt>
                <c:pt idx="96">
                  <c:v>355.75000000000011</c:v>
                </c:pt>
                <c:pt idx="97">
                  <c:v>356.30000000000013</c:v>
                </c:pt>
                <c:pt idx="98">
                  <c:v>356.81000000000012</c:v>
                </c:pt>
                <c:pt idx="99">
                  <c:v>357.24000000000012</c:v>
                </c:pt>
                <c:pt idx="100">
                  <c:v>357.30000000000013</c:v>
                </c:pt>
                <c:pt idx="101">
                  <c:v>357.30000000000013</c:v>
                </c:pt>
                <c:pt idx="102">
                  <c:v>357.30000000000013</c:v>
                </c:pt>
                <c:pt idx="103">
                  <c:v>357.60000000000014</c:v>
                </c:pt>
                <c:pt idx="104">
                  <c:v>357.60000000000014</c:v>
                </c:pt>
                <c:pt idx="105">
                  <c:v>358.00000000000011</c:v>
                </c:pt>
                <c:pt idx="106">
                  <c:v>360.19000000000011</c:v>
                </c:pt>
                <c:pt idx="107">
                  <c:v>361.99000000000012</c:v>
                </c:pt>
                <c:pt idx="108">
                  <c:v>362.2000000000001</c:v>
                </c:pt>
                <c:pt idx="109">
                  <c:v>362.2000000000001</c:v>
                </c:pt>
                <c:pt idx="110">
                  <c:v>362.2000000000001</c:v>
                </c:pt>
                <c:pt idx="111">
                  <c:v>362.2000000000001</c:v>
                </c:pt>
                <c:pt idx="112">
                  <c:v>362.2000000000001</c:v>
                </c:pt>
                <c:pt idx="113">
                  <c:v>362.2000000000001</c:v>
                </c:pt>
                <c:pt idx="114">
                  <c:v>362.2000000000001</c:v>
                </c:pt>
                <c:pt idx="115">
                  <c:v>362.2000000000001</c:v>
                </c:pt>
                <c:pt idx="116">
                  <c:v>362.2000000000001</c:v>
                </c:pt>
                <c:pt idx="117">
                  <c:v>362.2000000000001</c:v>
                </c:pt>
                <c:pt idx="118">
                  <c:v>362.2000000000001</c:v>
                </c:pt>
                <c:pt idx="119">
                  <c:v>362.2000000000001</c:v>
                </c:pt>
                <c:pt idx="120">
                  <c:v>362.2000000000001</c:v>
                </c:pt>
                <c:pt idx="121">
                  <c:v>362.23000000000008</c:v>
                </c:pt>
                <c:pt idx="122">
                  <c:v>362.26000000000005</c:v>
                </c:pt>
                <c:pt idx="123">
                  <c:v>362.29</c:v>
                </c:pt>
                <c:pt idx="124">
                  <c:v>362.32</c:v>
                </c:pt>
                <c:pt idx="125">
                  <c:v>362.34999999999997</c:v>
                </c:pt>
                <c:pt idx="126">
                  <c:v>362.37999999999994</c:v>
                </c:pt>
                <c:pt idx="127">
                  <c:v>362.40999999999991</c:v>
                </c:pt>
                <c:pt idx="128">
                  <c:v>362.43999999999988</c:v>
                </c:pt>
                <c:pt idx="129">
                  <c:v>362.46999999999986</c:v>
                </c:pt>
                <c:pt idx="130">
                  <c:v>362.49999999999983</c:v>
                </c:pt>
                <c:pt idx="131">
                  <c:v>362.5299999999998</c:v>
                </c:pt>
                <c:pt idx="132">
                  <c:v>362.55999999999977</c:v>
                </c:pt>
                <c:pt idx="133">
                  <c:v>362.58999999999975</c:v>
                </c:pt>
                <c:pt idx="134">
                  <c:v>362.61999999999972</c:v>
                </c:pt>
                <c:pt idx="135">
                  <c:v>362.64999999999969</c:v>
                </c:pt>
                <c:pt idx="136">
                  <c:v>362.67999999999967</c:v>
                </c:pt>
                <c:pt idx="137">
                  <c:v>362.70999999999964</c:v>
                </c:pt>
                <c:pt idx="138">
                  <c:v>362.73999999999961</c:v>
                </c:pt>
                <c:pt idx="139">
                  <c:v>362.76999999999958</c:v>
                </c:pt>
                <c:pt idx="140">
                  <c:v>362.79999999999956</c:v>
                </c:pt>
                <c:pt idx="141">
                  <c:v>362.82999999999953</c:v>
                </c:pt>
                <c:pt idx="142">
                  <c:v>362.8599999999995</c:v>
                </c:pt>
                <c:pt idx="143">
                  <c:v>362.88999999999947</c:v>
                </c:pt>
                <c:pt idx="144">
                  <c:v>362.91999999999945</c:v>
                </c:pt>
                <c:pt idx="145">
                  <c:v>362.91999999999945</c:v>
                </c:pt>
                <c:pt idx="146">
                  <c:v>362.91999999999945</c:v>
                </c:pt>
                <c:pt idx="147">
                  <c:v>362.91999999999945</c:v>
                </c:pt>
                <c:pt idx="148">
                  <c:v>362.91999999999945</c:v>
                </c:pt>
                <c:pt idx="149">
                  <c:v>362.91999999999945</c:v>
                </c:pt>
                <c:pt idx="150">
                  <c:v>362.91999999999945</c:v>
                </c:pt>
                <c:pt idx="151">
                  <c:v>362.91999999999945</c:v>
                </c:pt>
                <c:pt idx="152">
                  <c:v>362.91999999999945</c:v>
                </c:pt>
                <c:pt idx="153">
                  <c:v>362.91999999999945</c:v>
                </c:pt>
                <c:pt idx="154">
                  <c:v>362.91999999999945</c:v>
                </c:pt>
                <c:pt idx="155">
                  <c:v>362.91999999999945</c:v>
                </c:pt>
                <c:pt idx="156">
                  <c:v>362.91999999999945</c:v>
                </c:pt>
                <c:pt idx="157">
                  <c:v>362.91999999999945</c:v>
                </c:pt>
                <c:pt idx="158">
                  <c:v>362.91999999999945</c:v>
                </c:pt>
                <c:pt idx="159">
                  <c:v>362.91999999999945</c:v>
                </c:pt>
                <c:pt idx="160">
                  <c:v>362.91999999999945</c:v>
                </c:pt>
                <c:pt idx="161">
                  <c:v>362.91999999999945</c:v>
                </c:pt>
                <c:pt idx="162">
                  <c:v>364.31999999999942</c:v>
                </c:pt>
                <c:pt idx="163">
                  <c:v>366.41999999999945</c:v>
                </c:pt>
                <c:pt idx="164">
                  <c:v>366.41999999999945</c:v>
                </c:pt>
                <c:pt idx="165">
                  <c:v>366.41999999999945</c:v>
                </c:pt>
                <c:pt idx="166">
                  <c:v>366.41999999999945</c:v>
                </c:pt>
                <c:pt idx="167">
                  <c:v>366.41999999999945</c:v>
                </c:pt>
                <c:pt idx="168">
                  <c:v>366.41999999999945</c:v>
                </c:pt>
                <c:pt idx="169">
                  <c:v>366.41999999999945</c:v>
                </c:pt>
                <c:pt idx="170">
                  <c:v>366.41999999999945</c:v>
                </c:pt>
                <c:pt idx="171">
                  <c:v>366.41999999999945</c:v>
                </c:pt>
                <c:pt idx="172">
                  <c:v>367.59999999999945</c:v>
                </c:pt>
                <c:pt idx="173">
                  <c:v>367.61999999999944</c:v>
                </c:pt>
                <c:pt idx="174">
                  <c:v>367.61999999999944</c:v>
                </c:pt>
                <c:pt idx="175">
                  <c:v>367.61999999999944</c:v>
                </c:pt>
                <c:pt idx="176">
                  <c:v>367.61999999999944</c:v>
                </c:pt>
                <c:pt idx="177">
                  <c:v>367.61999999999944</c:v>
                </c:pt>
                <c:pt idx="178">
                  <c:v>367.61999999999944</c:v>
                </c:pt>
                <c:pt idx="179">
                  <c:v>367.61999999999944</c:v>
                </c:pt>
                <c:pt idx="180">
                  <c:v>367.61999999999944</c:v>
                </c:pt>
                <c:pt idx="181">
                  <c:v>367.61999999999944</c:v>
                </c:pt>
                <c:pt idx="182">
                  <c:v>367.61999999999944</c:v>
                </c:pt>
                <c:pt idx="183">
                  <c:v>368.61999999999944</c:v>
                </c:pt>
                <c:pt idx="184">
                  <c:v>368.61999999999944</c:v>
                </c:pt>
                <c:pt idx="185">
                  <c:v>368.61999999999944</c:v>
                </c:pt>
                <c:pt idx="186">
                  <c:v>368.61999999999944</c:v>
                </c:pt>
                <c:pt idx="187">
                  <c:v>368.61999999999944</c:v>
                </c:pt>
                <c:pt idx="188">
                  <c:v>368.61999999999944</c:v>
                </c:pt>
                <c:pt idx="189">
                  <c:v>368.61999999999944</c:v>
                </c:pt>
                <c:pt idx="190">
                  <c:v>368.61999999999944</c:v>
                </c:pt>
                <c:pt idx="191">
                  <c:v>368.61999999999944</c:v>
                </c:pt>
                <c:pt idx="192">
                  <c:v>368.61999999999944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434496"/>
        <c:axId val="249436416"/>
      </c:scatterChart>
      <c:valAx>
        <c:axId val="249434496"/>
        <c:scaling>
          <c:orientation val="minMax"/>
          <c:max val="27061.375"/>
          <c:min val="27053.37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Date Time</a:t>
                </a:r>
                <a:endParaRPr/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txPr>
          <a:bodyPr rot="-900000" vert="horz"/>
          <a:lstStyle/>
          <a:p>
            <a:pPr>
              <a:defRPr/>
            </a:pPr>
            <a:endParaRPr lang="en-US"/>
          </a:p>
        </c:txPr>
        <c:crossAx val="249436416"/>
        <c:crosses val="autoZero"/>
        <c:crossBetween val="midCat"/>
      </c:valAx>
      <c:valAx>
        <c:axId val="2494364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Rainfall (mm)</a:t>
                </a:r>
                <a:endParaRPr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94344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Bremer- Pluviograph</a:t>
            </a:r>
            <a:endParaRPr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Harrisville Post Office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cumulative!$Q$3:$Q$195</c:f>
              <c:numCache>
                <c:formatCode>General</c:formatCode>
                <c:ptCount val="19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5</c:v>
                </c:pt>
                <c:pt idx="7">
                  <c:v>10</c:v>
                </c:pt>
                <c:pt idx="8">
                  <c:v>10</c:v>
                </c:pt>
                <c:pt idx="9">
                  <c:v>12</c:v>
                </c:pt>
                <c:pt idx="10">
                  <c:v>14</c:v>
                </c:pt>
                <c:pt idx="11">
                  <c:v>14</c:v>
                </c:pt>
                <c:pt idx="12">
                  <c:v>16</c:v>
                </c:pt>
                <c:pt idx="13">
                  <c:v>21</c:v>
                </c:pt>
                <c:pt idx="14">
                  <c:v>25</c:v>
                </c:pt>
                <c:pt idx="15">
                  <c:v>27</c:v>
                </c:pt>
                <c:pt idx="16">
                  <c:v>27</c:v>
                </c:pt>
                <c:pt idx="17">
                  <c:v>34</c:v>
                </c:pt>
                <c:pt idx="18">
                  <c:v>40</c:v>
                </c:pt>
                <c:pt idx="19">
                  <c:v>40</c:v>
                </c:pt>
                <c:pt idx="20">
                  <c:v>41</c:v>
                </c:pt>
                <c:pt idx="21">
                  <c:v>47</c:v>
                </c:pt>
                <c:pt idx="22">
                  <c:v>52</c:v>
                </c:pt>
                <c:pt idx="23">
                  <c:v>61</c:v>
                </c:pt>
                <c:pt idx="24">
                  <c:v>76</c:v>
                </c:pt>
                <c:pt idx="25">
                  <c:v>89</c:v>
                </c:pt>
                <c:pt idx="26">
                  <c:v>97</c:v>
                </c:pt>
                <c:pt idx="27">
                  <c:v>100</c:v>
                </c:pt>
                <c:pt idx="28">
                  <c:v>104</c:v>
                </c:pt>
                <c:pt idx="29">
                  <c:v>110</c:v>
                </c:pt>
                <c:pt idx="30">
                  <c:v>116</c:v>
                </c:pt>
                <c:pt idx="31">
                  <c:v>119</c:v>
                </c:pt>
                <c:pt idx="32">
                  <c:v>119</c:v>
                </c:pt>
                <c:pt idx="33">
                  <c:v>119</c:v>
                </c:pt>
                <c:pt idx="34">
                  <c:v>119</c:v>
                </c:pt>
                <c:pt idx="35">
                  <c:v>119</c:v>
                </c:pt>
                <c:pt idx="36">
                  <c:v>120</c:v>
                </c:pt>
                <c:pt idx="37">
                  <c:v>120</c:v>
                </c:pt>
                <c:pt idx="38">
                  <c:v>121</c:v>
                </c:pt>
                <c:pt idx="39">
                  <c:v>123</c:v>
                </c:pt>
                <c:pt idx="40">
                  <c:v>125</c:v>
                </c:pt>
                <c:pt idx="41">
                  <c:v>126</c:v>
                </c:pt>
                <c:pt idx="42">
                  <c:v>134</c:v>
                </c:pt>
                <c:pt idx="43">
                  <c:v>142</c:v>
                </c:pt>
                <c:pt idx="44">
                  <c:v>150</c:v>
                </c:pt>
                <c:pt idx="45">
                  <c:v>158</c:v>
                </c:pt>
                <c:pt idx="46">
                  <c:v>163</c:v>
                </c:pt>
                <c:pt idx="47">
                  <c:v>163</c:v>
                </c:pt>
                <c:pt idx="48">
                  <c:v>164</c:v>
                </c:pt>
                <c:pt idx="49">
                  <c:v>165</c:v>
                </c:pt>
                <c:pt idx="50">
                  <c:v>165</c:v>
                </c:pt>
                <c:pt idx="51">
                  <c:v>165</c:v>
                </c:pt>
                <c:pt idx="52">
                  <c:v>165</c:v>
                </c:pt>
                <c:pt idx="53">
                  <c:v>166</c:v>
                </c:pt>
                <c:pt idx="54">
                  <c:v>170</c:v>
                </c:pt>
                <c:pt idx="55">
                  <c:v>177</c:v>
                </c:pt>
                <c:pt idx="56">
                  <c:v>185</c:v>
                </c:pt>
                <c:pt idx="57">
                  <c:v>192</c:v>
                </c:pt>
                <c:pt idx="58">
                  <c:v>201</c:v>
                </c:pt>
                <c:pt idx="59">
                  <c:v>212</c:v>
                </c:pt>
                <c:pt idx="60">
                  <c:v>223</c:v>
                </c:pt>
                <c:pt idx="61">
                  <c:v>232</c:v>
                </c:pt>
                <c:pt idx="62">
                  <c:v>238</c:v>
                </c:pt>
                <c:pt idx="63">
                  <c:v>256</c:v>
                </c:pt>
                <c:pt idx="64">
                  <c:v>268</c:v>
                </c:pt>
                <c:pt idx="65">
                  <c:v>286</c:v>
                </c:pt>
                <c:pt idx="66">
                  <c:v>298</c:v>
                </c:pt>
                <c:pt idx="67">
                  <c:v>315</c:v>
                </c:pt>
                <c:pt idx="68">
                  <c:v>327</c:v>
                </c:pt>
                <c:pt idx="69">
                  <c:v>347</c:v>
                </c:pt>
                <c:pt idx="70">
                  <c:v>355</c:v>
                </c:pt>
                <c:pt idx="71">
                  <c:v>373</c:v>
                </c:pt>
                <c:pt idx="72">
                  <c:v>382</c:v>
                </c:pt>
                <c:pt idx="73">
                  <c:v>389</c:v>
                </c:pt>
                <c:pt idx="74">
                  <c:v>395</c:v>
                </c:pt>
                <c:pt idx="75">
                  <c:v>399</c:v>
                </c:pt>
                <c:pt idx="76">
                  <c:v>404</c:v>
                </c:pt>
                <c:pt idx="77">
                  <c:v>410</c:v>
                </c:pt>
                <c:pt idx="78">
                  <c:v>415</c:v>
                </c:pt>
                <c:pt idx="79">
                  <c:v>418</c:v>
                </c:pt>
                <c:pt idx="80">
                  <c:v>422</c:v>
                </c:pt>
                <c:pt idx="81">
                  <c:v>426</c:v>
                </c:pt>
                <c:pt idx="82">
                  <c:v>432</c:v>
                </c:pt>
                <c:pt idx="83">
                  <c:v>433</c:v>
                </c:pt>
                <c:pt idx="84">
                  <c:v>433</c:v>
                </c:pt>
                <c:pt idx="85">
                  <c:v>435</c:v>
                </c:pt>
                <c:pt idx="86">
                  <c:v>435</c:v>
                </c:pt>
                <c:pt idx="87">
                  <c:v>436</c:v>
                </c:pt>
                <c:pt idx="88">
                  <c:v>437</c:v>
                </c:pt>
                <c:pt idx="89">
                  <c:v>438</c:v>
                </c:pt>
                <c:pt idx="90">
                  <c:v>438</c:v>
                </c:pt>
                <c:pt idx="91">
                  <c:v>439</c:v>
                </c:pt>
                <c:pt idx="92">
                  <c:v>440</c:v>
                </c:pt>
                <c:pt idx="93">
                  <c:v>441</c:v>
                </c:pt>
                <c:pt idx="94">
                  <c:v>444</c:v>
                </c:pt>
                <c:pt idx="95">
                  <c:v>445</c:v>
                </c:pt>
                <c:pt idx="96">
                  <c:v>445</c:v>
                </c:pt>
                <c:pt idx="97">
                  <c:v>445</c:v>
                </c:pt>
                <c:pt idx="98">
                  <c:v>445</c:v>
                </c:pt>
                <c:pt idx="99">
                  <c:v>445</c:v>
                </c:pt>
                <c:pt idx="100">
                  <c:v>445</c:v>
                </c:pt>
                <c:pt idx="101">
                  <c:v>445</c:v>
                </c:pt>
                <c:pt idx="102">
                  <c:v>445</c:v>
                </c:pt>
                <c:pt idx="103">
                  <c:v>445</c:v>
                </c:pt>
                <c:pt idx="104">
                  <c:v>445</c:v>
                </c:pt>
                <c:pt idx="105">
                  <c:v>445</c:v>
                </c:pt>
                <c:pt idx="106">
                  <c:v>445</c:v>
                </c:pt>
                <c:pt idx="107">
                  <c:v>445</c:v>
                </c:pt>
                <c:pt idx="108">
                  <c:v>445</c:v>
                </c:pt>
                <c:pt idx="109">
                  <c:v>445</c:v>
                </c:pt>
                <c:pt idx="110">
                  <c:v>445</c:v>
                </c:pt>
                <c:pt idx="111">
                  <c:v>445</c:v>
                </c:pt>
                <c:pt idx="112">
                  <c:v>445</c:v>
                </c:pt>
                <c:pt idx="113">
                  <c:v>445</c:v>
                </c:pt>
                <c:pt idx="114">
                  <c:v>445</c:v>
                </c:pt>
                <c:pt idx="115">
                  <c:v>445</c:v>
                </c:pt>
                <c:pt idx="116">
                  <c:v>445</c:v>
                </c:pt>
                <c:pt idx="117">
                  <c:v>445</c:v>
                </c:pt>
                <c:pt idx="118">
                  <c:v>445</c:v>
                </c:pt>
                <c:pt idx="119">
                  <c:v>445</c:v>
                </c:pt>
                <c:pt idx="120">
                  <c:v>445</c:v>
                </c:pt>
                <c:pt idx="121">
                  <c:v>445</c:v>
                </c:pt>
                <c:pt idx="122">
                  <c:v>445</c:v>
                </c:pt>
                <c:pt idx="123">
                  <c:v>445</c:v>
                </c:pt>
                <c:pt idx="124">
                  <c:v>445</c:v>
                </c:pt>
                <c:pt idx="125">
                  <c:v>445</c:v>
                </c:pt>
                <c:pt idx="126">
                  <c:v>445</c:v>
                </c:pt>
                <c:pt idx="127">
                  <c:v>445</c:v>
                </c:pt>
                <c:pt idx="128">
                  <c:v>445</c:v>
                </c:pt>
                <c:pt idx="129">
                  <c:v>445</c:v>
                </c:pt>
                <c:pt idx="130">
                  <c:v>445</c:v>
                </c:pt>
                <c:pt idx="131">
                  <c:v>445</c:v>
                </c:pt>
                <c:pt idx="132">
                  <c:v>445</c:v>
                </c:pt>
                <c:pt idx="133">
                  <c:v>445</c:v>
                </c:pt>
                <c:pt idx="134">
                  <c:v>445</c:v>
                </c:pt>
                <c:pt idx="135">
                  <c:v>445</c:v>
                </c:pt>
                <c:pt idx="136">
                  <c:v>445</c:v>
                </c:pt>
                <c:pt idx="137">
                  <c:v>445</c:v>
                </c:pt>
                <c:pt idx="138">
                  <c:v>445</c:v>
                </c:pt>
                <c:pt idx="139">
                  <c:v>445</c:v>
                </c:pt>
                <c:pt idx="140">
                  <c:v>445</c:v>
                </c:pt>
                <c:pt idx="141">
                  <c:v>445</c:v>
                </c:pt>
                <c:pt idx="142">
                  <c:v>445</c:v>
                </c:pt>
                <c:pt idx="143">
                  <c:v>445</c:v>
                </c:pt>
                <c:pt idx="144">
                  <c:v>445</c:v>
                </c:pt>
                <c:pt idx="145">
                  <c:v>445</c:v>
                </c:pt>
                <c:pt idx="146">
                  <c:v>445</c:v>
                </c:pt>
                <c:pt idx="147">
                  <c:v>445</c:v>
                </c:pt>
                <c:pt idx="148">
                  <c:v>445</c:v>
                </c:pt>
                <c:pt idx="149">
                  <c:v>445</c:v>
                </c:pt>
                <c:pt idx="150">
                  <c:v>445</c:v>
                </c:pt>
                <c:pt idx="151">
                  <c:v>445</c:v>
                </c:pt>
                <c:pt idx="152">
                  <c:v>445</c:v>
                </c:pt>
                <c:pt idx="153">
                  <c:v>445</c:v>
                </c:pt>
                <c:pt idx="154">
                  <c:v>445</c:v>
                </c:pt>
                <c:pt idx="155">
                  <c:v>445</c:v>
                </c:pt>
                <c:pt idx="156">
                  <c:v>445</c:v>
                </c:pt>
                <c:pt idx="157">
                  <c:v>445</c:v>
                </c:pt>
                <c:pt idx="158">
                  <c:v>445</c:v>
                </c:pt>
                <c:pt idx="159">
                  <c:v>445</c:v>
                </c:pt>
                <c:pt idx="160">
                  <c:v>445</c:v>
                </c:pt>
                <c:pt idx="161">
                  <c:v>445</c:v>
                </c:pt>
                <c:pt idx="162">
                  <c:v>445</c:v>
                </c:pt>
                <c:pt idx="163">
                  <c:v>445</c:v>
                </c:pt>
                <c:pt idx="164">
                  <c:v>445</c:v>
                </c:pt>
                <c:pt idx="165">
                  <c:v>445</c:v>
                </c:pt>
                <c:pt idx="166">
                  <c:v>445</c:v>
                </c:pt>
                <c:pt idx="167">
                  <c:v>445</c:v>
                </c:pt>
                <c:pt idx="168">
                  <c:v>445</c:v>
                </c:pt>
                <c:pt idx="169">
                  <c:v>445</c:v>
                </c:pt>
                <c:pt idx="170">
                  <c:v>445</c:v>
                </c:pt>
                <c:pt idx="171">
                  <c:v>445</c:v>
                </c:pt>
                <c:pt idx="172">
                  <c:v>445</c:v>
                </c:pt>
                <c:pt idx="173">
                  <c:v>445</c:v>
                </c:pt>
                <c:pt idx="174">
                  <c:v>445</c:v>
                </c:pt>
                <c:pt idx="175">
                  <c:v>445</c:v>
                </c:pt>
                <c:pt idx="176">
                  <c:v>445</c:v>
                </c:pt>
                <c:pt idx="177">
                  <c:v>445</c:v>
                </c:pt>
                <c:pt idx="178">
                  <c:v>445</c:v>
                </c:pt>
                <c:pt idx="179">
                  <c:v>445</c:v>
                </c:pt>
                <c:pt idx="180">
                  <c:v>445</c:v>
                </c:pt>
                <c:pt idx="181">
                  <c:v>445</c:v>
                </c:pt>
                <c:pt idx="182">
                  <c:v>445</c:v>
                </c:pt>
                <c:pt idx="183">
                  <c:v>445</c:v>
                </c:pt>
                <c:pt idx="184">
                  <c:v>445</c:v>
                </c:pt>
                <c:pt idx="185">
                  <c:v>445</c:v>
                </c:pt>
                <c:pt idx="186">
                  <c:v>445</c:v>
                </c:pt>
                <c:pt idx="187">
                  <c:v>445</c:v>
                </c:pt>
                <c:pt idx="188">
                  <c:v>445</c:v>
                </c:pt>
                <c:pt idx="189">
                  <c:v>445</c:v>
                </c:pt>
                <c:pt idx="190">
                  <c:v>445</c:v>
                </c:pt>
                <c:pt idx="191">
                  <c:v>445</c:v>
                </c:pt>
                <c:pt idx="192">
                  <c:v>445</c:v>
                </c:pt>
              </c:numCache>
            </c:numRef>
          </c:yVal>
          <c:smooth val="0"/>
        </c:ser>
        <c:ser>
          <c:idx val="1"/>
          <c:order val="1"/>
          <c:tx>
            <c:v>Moogerah Dam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cumulative!$R$3:$R$195</c:f>
              <c:numCache>
                <c:formatCode>General</c:formatCode>
                <c:ptCount val="193"/>
                <c:pt idx="0">
                  <c:v>0</c:v>
                </c:pt>
                <c:pt idx="1">
                  <c:v>0.78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2.4</c:v>
                </c:pt>
                <c:pt idx="7">
                  <c:v>3.0999999999999996</c:v>
                </c:pt>
                <c:pt idx="8">
                  <c:v>3.3999999999999995</c:v>
                </c:pt>
                <c:pt idx="9">
                  <c:v>8.48</c:v>
                </c:pt>
                <c:pt idx="10">
                  <c:v>14.690000000000001</c:v>
                </c:pt>
                <c:pt idx="11">
                  <c:v>16.78</c:v>
                </c:pt>
                <c:pt idx="12">
                  <c:v>18.600000000000001</c:v>
                </c:pt>
                <c:pt idx="13">
                  <c:v>19.62</c:v>
                </c:pt>
                <c:pt idx="14">
                  <c:v>20.96</c:v>
                </c:pt>
                <c:pt idx="15">
                  <c:v>24.61</c:v>
                </c:pt>
                <c:pt idx="16">
                  <c:v>26.33</c:v>
                </c:pt>
                <c:pt idx="17">
                  <c:v>28.409999999999997</c:v>
                </c:pt>
                <c:pt idx="18">
                  <c:v>28.409999999999997</c:v>
                </c:pt>
                <c:pt idx="19">
                  <c:v>29.409999999999997</c:v>
                </c:pt>
                <c:pt idx="20">
                  <c:v>29.909999999999997</c:v>
                </c:pt>
                <c:pt idx="21">
                  <c:v>29.909999999999997</c:v>
                </c:pt>
                <c:pt idx="22">
                  <c:v>30.129999999999995</c:v>
                </c:pt>
                <c:pt idx="23">
                  <c:v>32.799999999999997</c:v>
                </c:pt>
                <c:pt idx="24">
                  <c:v>35.769999999999996</c:v>
                </c:pt>
                <c:pt idx="25">
                  <c:v>36.4</c:v>
                </c:pt>
                <c:pt idx="26">
                  <c:v>37.559999999999995</c:v>
                </c:pt>
                <c:pt idx="27">
                  <c:v>40.929999999999993</c:v>
                </c:pt>
                <c:pt idx="28">
                  <c:v>45.29999999999999</c:v>
                </c:pt>
                <c:pt idx="29">
                  <c:v>46.289999999999992</c:v>
                </c:pt>
                <c:pt idx="30">
                  <c:v>46.589999999999989</c:v>
                </c:pt>
                <c:pt idx="31">
                  <c:v>48.889999999999986</c:v>
                </c:pt>
                <c:pt idx="32">
                  <c:v>52.189999999999984</c:v>
                </c:pt>
                <c:pt idx="33">
                  <c:v>53.989999999999981</c:v>
                </c:pt>
                <c:pt idx="34">
                  <c:v>54.789999999999978</c:v>
                </c:pt>
                <c:pt idx="35">
                  <c:v>57.359999999999978</c:v>
                </c:pt>
                <c:pt idx="36">
                  <c:v>59.589999999999975</c:v>
                </c:pt>
                <c:pt idx="37">
                  <c:v>63.419999999999973</c:v>
                </c:pt>
                <c:pt idx="38">
                  <c:v>68.789999999999978</c:v>
                </c:pt>
                <c:pt idx="39">
                  <c:v>77.70999999999998</c:v>
                </c:pt>
                <c:pt idx="40">
                  <c:v>87.879999999999981</c:v>
                </c:pt>
                <c:pt idx="41">
                  <c:v>100.82999999999998</c:v>
                </c:pt>
                <c:pt idx="42">
                  <c:v>109.50999999999999</c:v>
                </c:pt>
                <c:pt idx="43">
                  <c:v>119.22999999999999</c:v>
                </c:pt>
                <c:pt idx="44">
                  <c:v>135.75</c:v>
                </c:pt>
                <c:pt idx="45">
                  <c:v>150.69</c:v>
                </c:pt>
                <c:pt idx="46">
                  <c:v>161.16</c:v>
                </c:pt>
                <c:pt idx="47">
                  <c:v>176.57</c:v>
                </c:pt>
                <c:pt idx="48">
                  <c:v>181.67</c:v>
                </c:pt>
                <c:pt idx="49">
                  <c:v>188.60999999999999</c:v>
                </c:pt>
                <c:pt idx="50">
                  <c:v>201.42</c:v>
                </c:pt>
                <c:pt idx="51">
                  <c:v>212.01999999999998</c:v>
                </c:pt>
                <c:pt idx="52">
                  <c:v>223.51</c:v>
                </c:pt>
                <c:pt idx="53">
                  <c:v>241.26</c:v>
                </c:pt>
                <c:pt idx="54">
                  <c:v>257.55</c:v>
                </c:pt>
                <c:pt idx="55">
                  <c:v>266.74</c:v>
                </c:pt>
                <c:pt idx="56">
                  <c:v>277.40000000000003</c:v>
                </c:pt>
                <c:pt idx="57">
                  <c:v>287.07000000000005</c:v>
                </c:pt>
                <c:pt idx="58">
                  <c:v>298.22000000000003</c:v>
                </c:pt>
                <c:pt idx="59">
                  <c:v>311.12</c:v>
                </c:pt>
                <c:pt idx="60">
                  <c:v>319.44</c:v>
                </c:pt>
                <c:pt idx="61">
                  <c:v>325.93</c:v>
                </c:pt>
                <c:pt idx="62">
                  <c:v>340</c:v>
                </c:pt>
                <c:pt idx="63">
                  <c:v>348.06</c:v>
                </c:pt>
                <c:pt idx="64">
                  <c:v>353.95</c:v>
                </c:pt>
                <c:pt idx="65">
                  <c:v>356.21</c:v>
                </c:pt>
                <c:pt idx="66">
                  <c:v>361.04999999999995</c:v>
                </c:pt>
                <c:pt idx="67">
                  <c:v>364.21</c:v>
                </c:pt>
                <c:pt idx="68">
                  <c:v>371.04999999999995</c:v>
                </c:pt>
                <c:pt idx="69">
                  <c:v>376.16999999999996</c:v>
                </c:pt>
                <c:pt idx="70">
                  <c:v>381.62999999999994</c:v>
                </c:pt>
                <c:pt idx="71">
                  <c:v>387.63999999999993</c:v>
                </c:pt>
                <c:pt idx="72">
                  <c:v>393.50999999999993</c:v>
                </c:pt>
                <c:pt idx="73">
                  <c:v>400.42999999999995</c:v>
                </c:pt>
                <c:pt idx="74">
                  <c:v>405.94999999999993</c:v>
                </c:pt>
                <c:pt idx="75">
                  <c:v>410.25999999999993</c:v>
                </c:pt>
                <c:pt idx="76">
                  <c:v>414.08999999999992</c:v>
                </c:pt>
                <c:pt idx="77">
                  <c:v>416.51999999999992</c:v>
                </c:pt>
                <c:pt idx="78">
                  <c:v>418.69999999999993</c:v>
                </c:pt>
                <c:pt idx="79">
                  <c:v>420.9799999999999</c:v>
                </c:pt>
                <c:pt idx="80">
                  <c:v>423.17999999999989</c:v>
                </c:pt>
                <c:pt idx="81">
                  <c:v>425.57999999999987</c:v>
                </c:pt>
                <c:pt idx="82">
                  <c:v>428.25999999999988</c:v>
                </c:pt>
                <c:pt idx="83">
                  <c:v>429.67999999999989</c:v>
                </c:pt>
                <c:pt idx="84">
                  <c:v>429.77999999999992</c:v>
                </c:pt>
                <c:pt idx="85">
                  <c:v>430.12999999999994</c:v>
                </c:pt>
                <c:pt idx="86">
                  <c:v>430.27999999999992</c:v>
                </c:pt>
                <c:pt idx="87">
                  <c:v>430.57999999999993</c:v>
                </c:pt>
                <c:pt idx="88">
                  <c:v>431.37999999999994</c:v>
                </c:pt>
                <c:pt idx="89">
                  <c:v>434.18999999999994</c:v>
                </c:pt>
                <c:pt idx="90">
                  <c:v>435.67999999999995</c:v>
                </c:pt>
                <c:pt idx="91">
                  <c:v>435.78</c:v>
                </c:pt>
                <c:pt idx="92">
                  <c:v>435.78</c:v>
                </c:pt>
                <c:pt idx="93">
                  <c:v>435.78</c:v>
                </c:pt>
                <c:pt idx="94">
                  <c:v>435.78</c:v>
                </c:pt>
                <c:pt idx="95">
                  <c:v>435.78</c:v>
                </c:pt>
                <c:pt idx="96">
                  <c:v>435.78</c:v>
                </c:pt>
                <c:pt idx="97">
                  <c:v>435.78</c:v>
                </c:pt>
                <c:pt idx="98">
                  <c:v>435.78</c:v>
                </c:pt>
                <c:pt idx="99">
                  <c:v>436.28</c:v>
                </c:pt>
                <c:pt idx="100">
                  <c:v>436.47999999999996</c:v>
                </c:pt>
                <c:pt idx="101">
                  <c:v>436.68999999999994</c:v>
                </c:pt>
                <c:pt idx="102">
                  <c:v>436.87999999999994</c:v>
                </c:pt>
                <c:pt idx="103">
                  <c:v>436.87999999999994</c:v>
                </c:pt>
                <c:pt idx="104">
                  <c:v>436.87999999999994</c:v>
                </c:pt>
                <c:pt idx="105">
                  <c:v>436.87999999999994</c:v>
                </c:pt>
                <c:pt idx="106">
                  <c:v>436.87999999999994</c:v>
                </c:pt>
                <c:pt idx="107">
                  <c:v>436.87999999999994</c:v>
                </c:pt>
                <c:pt idx="108">
                  <c:v>436.87999999999994</c:v>
                </c:pt>
                <c:pt idx="109">
                  <c:v>436.87999999999994</c:v>
                </c:pt>
                <c:pt idx="110">
                  <c:v>436.87999999999994</c:v>
                </c:pt>
                <c:pt idx="111">
                  <c:v>436.87999999999994</c:v>
                </c:pt>
                <c:pt idx="112">
                  <c:v>436.87999999999994</c:v>
                </c:pt>
                <c:pt idx="113">
                  <c:v>436.87999999999994</c:v>
                </c:pt>
                <c:pt idx="114">
                  <c:v>436.87999999999994</c:v>
                </c:pt>
                <c:pt idx="115">
                  <c:v>436.87999999999994</c:v>
                </c:pt>
                <c:pt idx="116">
                  <c:v>436.87999999999994</c:v>
                </c:pt>
                <c:pt idx="117">
                  <c:v>436.87999999999994</c:v>
                </c:pt>
                <c:pt idx="118">
                  <c:v>436.87999999999994</c:v>
                </c:pt>
                <c:pt idx="119">
                  <c:v>436.87999999999994</c:v>
                </c:pt>
                <c:pt idx="120">
                  <c:v>436.87999999999994</c:v>
                </c:pt>
                <c:pt idx="121">
                  <c:v>436.87999999999994</c:v>
                </c:pt>
                <c:pt idx="122">
                  <c:v>436.87999999999994</c:v>
                </c:pt>
                <c:pt idx="123">
                  <c:v>436.87999999999994</c:v>
                </c:pt>
                <c:pt idx="124">
                  <c:v>436.87999999999994</c:v>
                </c:pt>
                <c:pt idx="125">
                  <c:v>436.87999999999994</c:v>
                </c:pt>
                <c:pt idx="126">
                  <c:v>436.87999999999994</c:v>
                </c:pt>
                <c:pt idx="127">
                  <c:v>436.87999999999994</c:v>
                </c:pt>
                <c:pt idx="128">
                  <c:v>436.87999999999994</c:v>
                </c:pt>
                <c:pt idx="129">
                  <c:v>436.87999999999994</c:v>
                </c:pt>
                <c:pt idx="130">
                  <c:v>436.87999999999994</c:v>
                </c:pt>
                <c:pt idx="131">
                  <c:v>436.87999999999994</c:v>
                </c:pt>
                <c:pt idx="132">
                  <c:v>436.87999999999994</c:v>
                </c:pt>
                <c:pt idx="133">
                  <c:v>436.87999999999994</c:v>
                </c:pt>
                <c:pt idx="134">
                  <c:v>436.87999999999994</c:v>
                </c:pt>
                <c:pt idx="135">
                  <c:v>436.87999999999994</c:v>
                </c:pt>
                <c:pt idx="136">
                  <c:v>436.87999999999994</c:v>
                </c:pt>
                <c:pt idx="137">
                  <c:v>436.87999999999994</c:v>
                </c:pt>
                <c:pt idx="138">
                  <c:v>437.27999999999992</c:v>
                </c:pt>
                <c:pt idx="139">
                  <c:v>439.4799999999999</c:v>
                </c:pt>
                <c:pt idx="140">
                  <c:v>439.87999999999988</c:v>
                </c:pt>
                <c:pt idx="141">
                  <c:v>439.87999999999988</c:v>
                </c:pt>
                <c:pt idx="142">
                  <c:v>439.87999999999988</c:v>
                </c:pt>
                <c:pt idx="143">
                  <c:v>439.87999999999988</c:v>
                </c:pt>
                <c:pt idx="144">
                  <c:v>439.87999999999988</c:v>
                </c:pt>
                <c:pt idx="145">
                  <c:v>439.87999999999988</c:v>
                </c:pt>
                <c:pt idx="146">
                  <c:v>439.87999999999988</c:v>
                </c:pt>
                <c:pt idx="147">
                  <c:v>439.87999999999988</c:v>
                </c:pt>
                <c:pt idx="148">
                  <c:v>439.87999999999988</c:v>
                </c:pt>
                <c:pt idx="149">
                  <c:v>439.87999999999988</c:v>
                </c:pt>
                <c:pt idx="150">
                  <c:v>439.87999999999988</c:v>
                </c:pt>
                <c:pt idx="151">
                  <c:v>439.87999999999988</c:v>
                </c:pt>
                <c:pt idx="152">
                  <c:v>439.87999999999988</c:v>
                </c:pt>
                <c:pt idx="153">
                  <c:v>439.87999999999988</c:v>
                </c:pt>
                <c:pt idx="154">
                  <c:v>439.87999999999988</c:v>
                </c:pt>
                <c:pt idx="155">
                  <c:v>439.87999999999988</c:v>
                </c:pt>
                <c:pt idx="156">
                  <c:v>439.87999999999988</c:v>
                </c:pt>
                <c:pt idx="157">
                  <c:v>439.87999999999988</c:v>
                </c:pt>
                <c:pt idx="158">
                  <c:v>439.87999999999988</c:v>
                </c:pt>
                <c:pt idx="159">
                  <c:v>439.87999999999988</c:v>
                </c:pt>
                <c:pt idx="160">
                  <c:v>439.87999999999988</c:v>
                </c:pt>
                <c:pt idx="161">
                  <c:v>439.87999999999988</c:v>
                </c:pt>
                <c:pt idx="162">
                  <c:v>439.87999999999988</c:v>
                </c:pt>
                <c:pt idx="163">
                  <c:v>439.87999999999988</c:v>
                </c:pt>
                <c:pt idx="164">
                  <c:v>439.87999999999988</c:v>
                </c:pt>
                <c:pt idx="165">
                  <c:v>439.87999999999988</c:v>
                </c:pt>
                <c:pt idx="166">
                  <c:v>439.87999999999988</c:v>
                </c:pt>
                <c:pt idx="167">
                  <c:v>439.87999999999988</c:v>
                </c:pt>
                <c:pt idx="168">
                  <c:v>439.87999999999988</c:v>
                </c:pt>
                <c:pt idx="169">
                  <c:v>439.87999999999988</c:v>
                </c:pt>
                <c:pt idx="170">
                  <c:v>439.87999999999988</c:v>
                </c:pt>
                <c:pt idx="171">
                  <c:v>439.87999999999988</c:v>
                </c:pt>
                <c:pt idx="172">
                  <c:v>439.87999999999988</c:v>
                </c:pt>
                <c:pt idx="173">
                  <c:v>439.87999999999988</c:v>
                </c:pt>
                <c:pt idx="174">
                  <c:v>439.87999999999988</c:v>
                </c:pt>
                <c:pt idx="175">
                  <c:v>439.87999999999988</c:v>
                </c:pt>
                <c:pt idx="176">
                  <c:v>439.87999999999988</c:v>
                </c:pt>
                <c:pt idx="177">
                  <c:v>439.87999999999988</c:v>
                </c:pt>
                <c:pt idx="178">
                  <c:v>439.87999999999988</c:v>
                </c:pt>
                <c:pt idx="179">
                  <c:v>439.87999999999988</c:v>
                </c:pt>
                <c:pt idx="180">
                  <c:v>439.87999999999988</c:v>
                </c:pt>
                <c:pt idx="181">
                  <c:v>439.87999999999988</c:v>
                </c:pt>
                <c:pt idx="182">
                  <c:v>439.87999999999988</c:v>
                </c:pt>
                <c:pt idx="183">
                  <c:v>440.87999999999988</c:v>
                </c:pt>
                <c:pt idx="184">
                  <c:v>440.87999999999988</c:v>
                </c:pt>
                <c:pt idx="185">
                  <c:v>440.87999999999988</c:v>
                </c:pt>
                <c:pt idx="186">
                  <c:v>440.87999999999988</c:v>
                </c:pt>
                <c:pt idx="187">
                  <c:v>440.87999999999988</c:v>
                </c:pt>
                <c:pt idx="188">
                  <c:v>440.87999999999988</c:v>
                </c:pt>
                <c:pt idx="189">
                  <c:v>440.87999999999988</c:v>
                </c:pt>
                <c:pt idx="190">
                  <c:v>440.87999999999988</c:v>
                </c:pt>
                <c:pt idx="191">
                  <c:v>440.87999999999988</c:v>
                </c:pt>
                <c:pt idx="192">
                  <c:v>440.87999999999988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098432"/>
        <c:axId val="250100352"/>
      </c:scatterChart>
      <c:valAx>
        <c:axId val="250098432"/>
        <c:scaling>
          <c:orientation val="minMax"/>
          <c:max val="27061.375"/>
          <c:min val="27053.37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Date Time</a:t>
                </a:r>
                <a:endParaRPr/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txPr>
          <a:bodyPr rot="-900000" vert="horz"/>
          <a:lstStyle/>
          <a:p>
            <a:pPr>
              <a:defRPr/>
            </a:pPr>
            <a:endParaRPr lang="en-US"/>
          </a:p>
        </c:txPr>
        <c:crossAx val="250100352"/>
        <c:crosses val="autoZero"/>
        <c:crossBetween val="midCat"/>
      </c:valAx>
      <c:valAx>
        <c:axId val="2501003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Rainfall (mm)</a:t>
                </a:r>
                <a:endParaRPr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00984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LowerTop- Pluviograph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Amberley Amo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cumulative!$S$3:$S$195</c:f>
              <c:numCache>
                <c:formatCode>General</c:formatCode>
                <c:ptCount val="1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1.2</c:v>
                </c:pt>
                <c:pt idx="5">
                  <c:v>6.41</c:v>
                </c:pt>
                <c:pt idx="6">
                  <c:v>14.7</c:v>
                </c:pt>
                <c:pt idx="7">
                  <c:v>18.7</c:v>
                </c:pt>
                <c:pt idx="8">
                  <c:v>26.1</c:v>
                </c:pt>
                <c:pt idx="9">
                  <c:v>33</c:v>
                </c:pt>
                <c:pt idx="10">
                  <c:v>36.799999999999997</c:v>
                </c:pt>
                <c:pt idx="11">
                  <c:v>36.799999999999997</c:v>
                </c:pt>
                <c:pt idx="12">
                  <c:v>37.5</c:v>
                </c:pt>
                <c:pt idx="13">
                  <c:v>39.770000000000003</c:v>
                </c:pt>
                <c:pt idx="14">
                  <c:v>41.71</c:v>
                </c:pt>
                <c:pt idx="15">
                  <c:v>41.81</c:v>
                </c:pt>
                <c:pt idx="16">
                  <c:v>42.21</c:v>
                </c:pt>
                <c:pt idx="17">
                  <c:v>42.410000000000004</c:v>
                </c:pt>
                <c:pt idx="18">
                  <c:v>44.290000000000006</c:v>
                </c:pt>
                <c:pt idx="19">
                  <c:v>46.040000000000006</c:v>
                </c:pt>
                <c:pt idx="20">
                  <c:v>48.900000000000006</c:v>
                </c:pt>
                <c:pt idx="21">
                  <c:v>53.620000000000005</c:v>
                </c:pt>
                <c:pt idx="22">
                  <c:v>56.290000000000006</c:v>
                </c:pt>
                <c:pt idx="23">
                  <c:v>62.800000000000004</c:v>
                </c:pt>
                <c:pt idx="24">
                  <c:v>65.430000000000007</c:v>
                </c:pt>
                <c:pt idx="25">
                  <c:v>73.42</c:v>
                </c:pt>
                <c:pt idx="26">
                  <c:v>88.17</c:v>
                </c:pt>
                <c:pt idx="27">
                  <c:v>94.740000000000009</c:v>
                </c:pt>
                <c:pt idx="28">
                  <c:v>101.04</c:v>
                </c:pt>
                <c:pt idx="29">
                  <c:v>102.53</c:v>
                </c:pt>
                <c:pt idx="30">
                  <c:v>106.06</c:v>
                </c:pt>
                <c:pt idx="31">
                  <c:v>115.16</c:v>
                </c:pt>
                <c:pt idx="32">
                  <c:v>118.22999999999999</c:v>
                </c:pt>
                <c:pt idx="33">
                  <c:v>119.63</c:v>
                </c:pt>
                <c:pt idx="34">
                  <c:v>119.97999999999999</c:v>
                </c:pt>
                <c:pt idx="35">
                  <c:v>120.72999999999999</c:v>
                </c:pt>
                <c:pt idx="36">
                  <c:v>128.85999999999999</c:v>
                </c:pt>
                <c:pt idx="37">
                  <c:v>139.1</c:v>
                </c:pt>
                <c:pt idx="38">
                  <c:v>145.93</c:v>
                </c:pt>
                <c:pt idx="39">
                  <c:v>149.91</c:v>
                </c:pt>
                <c:pt idx="40">
                  <c:v>155.32999999999998</c:v>
                </c:pt>
                <c:pt idx="41">
                  <c:v>161.19</c:v>
                </c:pt>
                <c:pt idx="42">
                  <c:v>164.78</c:v>
                </c:pt>
                <c:pt idx="43">
                  <c:v>179.35</c:v>
                </c:pt>
                <c:pt idx="44">
                  <c:v>185.89</c:v>
                </c:pt>
                <c:pt idx="45">
                  <c:v>192.33999999999997</c:v>
                </c:pt>
                <c:pt idx="46">
                  <c:v>197.61999999999998</c:v>
                </c:pt>
                <c:pt idx="47">
                  <c:v>201.20999999999998</c:v>
                </c:pt>
                <c:pt idx="48">
                  <c:v>205.51999999999998</c:v>
                </c:pt>
                <c:pt idx="49">
                  <c:v>211.29999999999998</c:v>
                </c:pt>
                <c:pt idx="50">
                  <c:v>218.11999999999998</c:v>
                </c:pt>
                <c:pt idx="51">
                  <c:v>227.7</c:v>
                </c:pt>
                <c:pt idx="52">
                  <c:v>234.61999999999998</c:v>
                </c:pt>
                <c:pt idx="53">
                  <c:v>244.93999999999997</c:v>
                </c:pt>
                <c:pt idx="54">
                  <c:v>261.88</c:v>
                </c:pt>
                <c:pt idx="55">
                  <c:v>274.29000000000002</c:v>
                </c:pt>
                <c:pt idx="56">
                  <c:v>292.27000000000004</c:v>
                </c:pt>
                <c:pt idx="57">
                  <c:v>317.13000000000005</c:v>
                </c:pt>
                <c:pt idx="58">
                  <c:v>335.52000000000004</c:v>
                </c:pt>
                <c:pt idx="59">
                  <c:v>351.13000000000005</c:v>
                </c:pt>
                <c:pt idx="60">
                  <c:v>366.10000000000008</c:v>
                </c:pt>
                <c:pt idx="61">
                  <c:v>380.49000000000007</c:v>
                </c:pt>
                <c:pt idx="62">
                  <c:v>397.76000000000005</c:v>
                </c:pt>
                <c:pt idx="63">
                  <c:v>407.44000000000005</c:v>
                </c:pt>
                <c:pt idx="64">
                  <c:v>412.06000000000006</c:v>
                </c:pt>
                <c:pt idx="65">
                  <c:v>417.39000000000004</c:v>
                </c:pt>
                <c:pt idx="66">
                  <c:v>421.89000000000004</c:v>
                </c:pt>
                <c:pt idx="67">
                  <c:v>424.93000000000006</c:v>
                </c:pt>
                <c:pt idx="68">
                  <c:v>428.14000000000004</c:v>
                </c:pt>
                <c:pt idx="69">
                  <c:v>432.17</c:v>
                </c:pt>
                <c:pt idx="70">
                  <c:v>438.3</c:v>
                </c:pt>
                <c:pt idx="71">
                  <c:v>442.73</c:v>
                </c:pt>
                <c:pt idx="72">
                  <c:v>445.53000000000003</c:v>
                </c:pt>
                <c:pt idx="73">
                  <c:v>448.23</c:v>
                </c:pt>
                <c:pt idx="74">
                  <c:v>448.98</c:v>
                </c:pt>
                <c:pt idx="75">
                  <c:v>453.14000000000004</c:v>
                </c:pt>
                <c:pt idx="76">
                  <c:v>456.21000000000004</c:v>
                </c:pt>
                <c:pt idx="77">
                  <c:v>462.75000000000006</c:v>
                </c:pt>
                <c:pt idx="78">
                  <c:v>465.01000000000005</c:v>
                </c:pt>
                <c:pt idx="79">
                  <c:v>467.43000000000006</c:v>
                </c:pt>
                <c:pt idx="80">
                  <c:v>471.19000000000005</c:v>
                </c:pt>
                <c:pt idx="81">
                  <c:v>472.17000000000007</c:v>
                </c:pt>
                <c:pt idx="82">
                  <c:v>473.24000000000007</c:v>
                </c:pt>
                <c:pt idx="83">
                  <c:v>474.34000000000009</c:v>
                </c:pt>
                <c:pt idx="84">
                  <c:v>474.84000000000009</c:v>
                </c:pt>
                <c:pt idx="85">
                  <c:v>475.57000000000011</c:v>
                </c:pt>
                <c:pt idx="86">
                  <c:v>476.32000000000011</c:v>
                </c:pt>
                <c:pt idx="87">
                  <c:v>477.34000000000009</c:v>
                </c:pt>
                <c:pt idx="88">
                  <c:v>477.92000000000007</c:v>
                </c:pt>
                <c:pt idx="89">
                  <c:v>478.24000000000007</c:v>
                </c:pt>
                <c:pt idx="90">
                  <c:v>478.61000000000007</c:v>
                </c:pt>
                <c:pt idx="91">
                  <c:v>479.74000000000007</c:v>
                </c:pt>
                <c:pt idx="92">
                  <c:v>479.74000000000007</c:v>
                </c:pt>
                <c:pt idx="93">
                  <c:v>479.74000000000007</c:v>
                </c:pt>
                <c:pt idx="94">
                  <c:v>479.74000000000007</c:v>
                </c:pt>
                <c:pt idx="95">
                  <c:v>479.74000000000007</c:v>
                </c:pt>
                <c:pt idx="96">
                  <c:v>479.74000000000007</c:v>
                </c:pt>
                <c:pt idx="97">
                  <c:v>479.74000000000007</c:v>
                </c:pt>
                <c:pt idx="98">
                  <c:v>479.74000000000007</c:v>
                </c:pt>
                <c:pt idx="99">
                  <c:v>479.74000000000007</c:v>
                </c:pt>
                <c:pt idx="100">
                  <c:v>480.01000000000005</c:v>
                </c:pt>
                <c:pt idx="101">
                  <c:v>480.35</c:v>
                </c:pt>
                <c:pt idx="102">
                  <c:v>480.69</c:v>
                </c:pt>
                <c:pt idx="103">
                  <c:v>481.03</c:v>
                </c:pt>
                <c:pt idx="104">
                  <c:v>481.36999999999995</c:v>
                </c:pt>
                <c:pt idx="105">
                  <c:v>481.70999999999992</c:v>
                </c:pt>
                <c:pt idx="106">
                  <c:v>482.0499999999999</c:v>
                </c:pt>
                <c:pt idx="107">
                  <c:v>482.38999999999987</c:v>
                </c:pt>
                <c:pt idx="108">
                  <c:v>482.5499999999999</c:v>
                </c:pt>
                <c:pt idx="109">
                  <c:v>482.5499999999999</c:v>
                </c:pt>
                <c:pt idx="110">
                  <c:v>482.5499999999999</c:v>
                </c:pt>
                <c:pt idx="111">
                  <c:v>482.5499999999999</c:v>
                </c:pt>
                <c:pt idx="112">
                  <c:v>482.5499999999999</c:v>
                </c:pt>
                <c:pt idx="113">
                  <c:v>482.5499999999999</c:v>
                </c:pt>
                <c:pt idx="114">
                  <c:v>482.5499999999999</c:v>
                </c:pt>
                <c:pt idx="115">
                  <c:v>482.5499999999999</c:v>
                </c:pt>
                <c:pt idx="116">
                  <c:v>482.5499999999999</c:v>
                </c:pt>
                <c:pt idx="117">
                  <c:v>482.5499999999999</c:v>
                </c:pt>
                <c:pt idx="118">
                  <c:v>482.5499999999999</c:v>
                </c:pt>
                <c:pt idx="119">
                  <c:v>482.5499999999999</c:v>
                </c:pt>
                <c:pt idx="120">
                  <c:v>482.5499999999999</c:v>
                </c:pt>
                <c:pt idx="121">
                  <c:v>482.5499999999999</c:v>
                </c:pt>
                <c:pt idx="122">
                  <c:v>482.5499999999999</c:v>
                </c:pt>
                <c:pt idx="123">
                  <c:v>482.5499999999999</c:v>
                </c:pt>
                <c:pt idx="124">
                  <c:v>482.5499999999999</c:v>
                </c:pt>
                <c:pt idx="125">
                  <c:v>482.5499999999999</c:v>
                </c:pt>
                <c:pt idx="126">
                  <c:v>482.5499999999999</c:v>
                </c:pt>
                <c:pt idx="127">
                  <c:v>482.5499999999999</c:v>
                </c:pt>
                <c:pt idx="128">
                  <c:v>482.5499999999999</c:v>
                </c:pt>
                <c:pt idx="129">
                  <c:v>482.5499999999999</c:v>
                </c:pt>
                <c:pt idx="130">
                  <c:v>482.5499999999999</c:v>
                </c:pt>
                <c:pt idx="131">
                  <c:v>482.5499999999999</c:v>
                </c:pt>
                <c:pt idx="132">
                  <c:v>482.5499999999999</c:v>
                </c:pt>
                <c:pt idx="133">
                  <c:v>483.64999999999992</c:v>
                </c:pt>
                <c:pt idx="134">
                  <c:v>483.74999999999994</c:v>
                </c:pt>
                <c:pt idx="135">
                  <c:v>483.74999999999994</c:v>
                </c:pt>
                <c:pt idx="136">
                  <c:v>483.74999999999994</c:v>
                </c:pt>
                <c:pt idx="137">
                  <c:v>483.74999999999994</c:v>
                </c:pt>
                <c:pt idx="138">
                  <c:v>483.74999999999994</c:v>
                </c:pt>
                <c:pt idx="139">
                  <c:v>483.74999999999994</c:v>
                </c:pt>
                <c:pt idx="140">
                  <c:v>483.74999999999994</c:v>
                </c:pt>
                <c:pt idx="141">
                  <c:v>483.74999999999994</c:v>
                </c:pt>
                <c:pt idx="142">
                  <c:v>483.74999999999994</c:v>
                </c:pt>
                <c:pt idx="143">
                  <c:v>483.74999999999994</c:v>
                </c:pt>
                <c:pt idx="144">
                  <c:v>483.74999999999994</c:v>
                </c:pt>
                <c:pt idx="145">
                  <c:v>483.74999999999994</c:v>
                </c:pt>
                <c:pt idx="146">
                  <c:v>483.74999999999994</c:v>
                </c:pt>
                <c:pt idx="147">
                  <c:v>483.74999999999994</c:v>
                </c:pt>
                <c:pt idx="148">
                  <c:v>483.74999999999994</c:v>
                </c:pt>
                <c:pt idx="149">
                  <c:v>483.74999999999994</c:v>
                </c:pt>
                <c:pt idx="150">
                  <c:v>483.74999999999994</c:v>
                </c:pt>
                <c:pt idx="151">
                  <c:v>483.74999999999994</c:v>
                </c:pt>
                <c:pt idx="152">
                  <c:v>483.74999999999994</c:v>
                </c:pt>
                <c:pt idx="153">
                  <c:v>483.74999999999994</c:v>
                </c:pt>
                <c:pt idx="154">
                  <c:v>483.74999999999994</c:v>
                </c:pt>
                <c:pt idx="155">
                  <c:v>483.74999999999994</c:v>
                </c:pt>
                <c:pt idx="156">
                  <c:v>483.74999999999994</c:v>
                </c:pt>
                <c:pt idx="157">
                  <c:v>483.74999999999994</c:v>
                </c:pt>
                <c:pt idx="158">
                  <c:v>483.74999999999994</c:v>
                </c:pt>
                <c:pt idx="159">
                  <c:v>483.74999999999994</c:v>
                </c:pt>
                <c:pt idx="160">
                  <c:v>483.74999999999994</c:v>
                </c:pt>
                <c:pt idx="161">
                  <c:v>483.74999999999994</c:v>
                </c:pt>
                <c:pt idx="162">
                  <c:v>483.74999999999994</c:v>
                </c:pt>
                <c:pt idx="163">
                  <c:v>483.74999999999994</c:v>
                </c:pt>
                <c:pt idx="164">
                  <c:v>483.74999999999994</c:v>
                </c:pt>
                <c:pt idx="165">
                  <c:v>483.74999999999994</c:v>
                </c:pt>
                <c:pt idx="166">
                  <c:v>483.74999999999994</c:v>
                </c:pt>
                <c:pt idx="167">
                  <c:v>483.74999999999994</c:v>
                </c:pt>
                <c:pt idx="168">
                  <c:v>487.54999999999995</c:v>
                </c:pt>
                <c:pt idx="169">
                  <c:v>487.54999999999995</c:v>
                </c:pt>
                <c:pt idx="170">
                  <c:v>494.23999999999995</c:v>
                </c:pt>
                <c:pt idx="171">
                  <c:v>494.34999999999997</c:v>
                </c:pt>
                <c:pt idx="172">
                  <c:v>494.34999999999997</c:v>
                </c:pt>
                <c:pt idx="173">
                  <c:v>497.34999999999997</c:v>
                </c:pt>
                <c:pt idx="174">
                  <c:v>497.34999999999997</c:v>
                </c:pt>
                <c:pt idx="175">
                  <c:v>497.34999999999997</c:v>
                </c:pt>
                <c:pt idx="176">
                  <c:v>497.34999999999997</c:v>
                </c:pt>
                <c:pt idx="177">
                  <c:v>497.34999999999997</c:v>
                </c:pt>
                <c:pt idx="178">
                  <c:v>497.34999999999997</c:v>
                </c:pt>
                <c:pt idx="179">
                  <c:v>497.34999999999997</c:v>
                </c:pt>
                <c:pt idx="180">
                  <c:v>497.34999999999997</c:v>
                </c:pt>
                <c:pt idx="181">
                  <c:v>497.34999999999997</c:v>
                </c:pt>
                <c:pt idx="182">
                  <c:v>497.34999999999997</c:v>
                </c:pt>
                <c:pt idx="183">
                  <c:v>498.34999999999997</c:v>
                </c:pt>
                <c:pt idx="184">
                  <c:v>498.34999999999997</c:v>
                </c:pt>
                <c:pt idx="185">
                  <c:v>498.34999999999997</c:v>
                </c:pt>
                <c:pt idx="186">
                  <c:v>498.34999999999997</c:v>
                </c:pt>
                <c:pt idx="187">
                  <c:v>498.34999999999997</c:v>
                </c:pt>
                <c:pt idx="188">
                  <c:v>498.34999999999997</c:v>
                </c:pt>
                <c:pt idx="189">
                  <c:v>498.34999999999997</c:v>
                </c:pt>
                <c:pt idx="190">
                  <c:v>498.34999999999997</c:v>
                </c:pt>
                <c:pt idx="191">
                  <c:v>498.34999999999997</c:v>
                </c:pt>
                <c:pt idx="192">
                  <c:v>498.34999999999997</c:v>
                </c:pt>
              </c:numCache>
            </c:numRef>
          </c:yVal>
          <c:smooth val="0"/>
        </c:ser>
        <c:ser>
          <c:idx val="1"/>
          <c:order val="1"/>
          <c:tx>
            <c:v>Lake Manchester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cumulative!$T$3:$T$195</c:f>
              <c:numCache>
                <c:formatCode>General</c:formatCode>
                <c:ptCount val="19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17</c:v>
                </c:pt>
                <c:pt idx="6">
                  <c:v>24</c:v>
                </c:pt>
                <c:pt idx="7">
                  <c:v>29</c:v>
                </c:pt>
                <c:pt idx="8">
                  <c:v>34</c:v>
                </c:pt>
                <c:pt idx="9">
                  <c:v>41</c:v>
                </c:pt>
                <c:pt idx="10">
                  <c:v>44</c:v>
                </c:pt>
                <c:pt idx="11">
                  <c:v>45</c:v>
                </c:pt>
                <c:pt idx="12">
                  <c:v>50</c:v>
                </c:pt>
                <c:pt idx="13">
                  <c:v>55</c:v>
                </c:pt>
                <c:pt idx="14">
                  <c:v>59</c:v>
                </c:pt>
                <c:pt idx="15">
                  <c:v>61</c:v>
                </c:pt>
                <c:pt idx="16">
                  <c:v>63</c:v>
                </c:pt>
                <c:pt idx="17">
                  <c:v>64</c:v>
                </c:pt>
                <c:pt idx="18">
                  <c:v>65</c:v>
                </c:pt>
                <c:pt idx="19">
                  <c:v>71</c:v>
                </c:pt>
                <c:pt idx="20">
                  <c:v>82</c:v>
                </c:pt>
                <c:pt idx="21">
                  <c:v>92</c:v>
                </c:pt>
                <c:pt idx="22">
                  <c:v>98</c:v>
                </c:pt>
                <c:pt idx="23">
                  <c:v>108</c:v>
                </c:pt>
                <c:pt idx="24">
                  <c:v>110</c:v>
                </c:pt>
                <c:pt idx="25">
                  <c:v>121</c:v>
                </c:pt>
                <c:pt idx="26">
                  <c:v>134</c:v>
                </c:pt>
                <c:pt idx="27">
                  <c:v>143</c:v>
                </c:pt>
                <c:pt idx="28">
                  <c:v>150</c:v>
                </c:pt>
                <c:pt idx="29">
                  <c:v>175</c:v>
                </c:pt>
                <c:pt idx="30">
                  <c:v>202</c:v>
                </c:pt>
                <c:pt idx="31">
                  <c:v>205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213</c:v>
                </c:pt>
                <c:pt idx="36">
                  <c:v>216</c:v>
                </c:pt>
                <c:pt idx="37">
                  <c:v>245</c:v>
                </c:pt>
                <c:pt idx="38">
                  <c:v>265</c:v>
                </c:pt>
                <c:pt idx="39">
                  <c:v>271</c:v>
                </c:pt>
                <c:pt idx="40">
                  <c:v>275</c:v>
                </c:pt>
                <c:pt idx="41">
                  <c:v>285</c:v>
                </c:pt>
                <c:pt idx="42">
                  <c:v>293</c:v>
                </c:pt>
                <c:pt idx="43">
                  <c:v>298</c:v>
                </c:pt>
                <c:pt idx="44">
                  <c:v>308</c:v>
                </c:pt>
                <c:pt idx="45">
                  <c:v>314</c:v>
                </c:pt>
                <c:pt idx="46">
                  <c:v>317</c:v>
                </c:pt>
                <c:pt idx="47">
                  <c:v>324</c:v>
                </c:pt>
                <c:pt idx="48">
                  <c:v>330</c:v>
                </c:pt>
                <c:pt idx="49">
                  <c:v>331</c:v>
                </c:pt>
                <c:pt idx="50">
                  <c:v>332</c:v>
                </c:pt>
                <c:pt idx="51">
                  <c:v>335</c:v>
                </c:pt>
                <c:pt idx="52">
                  <c:v>340</c:v>
                </c:pt>
                <c:pt idx="53">
                  <c:v>349</c:v>
                </c:pt>
                <c:pt idx="54">
                  <c:v>363</c:v>
                </c:pt>
                <c:pt idx="55">
                  <c:v>366</c:v>
                </c:pt>
                <c:pt idx="56">
                  <c:v>369</c:v>
                </c:pt>
                <c:pt idx="57">
                  <c:v>378</c:v>
                </c:pt>
                <c:pt idx="58">
                  <c:v>401</c:v>
                </c:pt>
                <c:pt idx="59">
                  <c:v>414</c:v>
                </c:pt>
                <c:pt idx="60">
                  <c:v>425</c:v>
                </c:pt>
                <c:pt idx="61">
                  <c:v>441</c:v>
                </c:pt>
                <c:pt idx="62">
                  <c:v>454</c:v>
                </c:pt>
                <c:pt idx="63">
                  <c:v>461</c:v>
                </c:pt>
                <c:pt idx="64">
                  <c:v>469</c:v>
                </c:pt>
                <c:pt idx="65">
                  <c:v>480</c:v>
                </c:pt>
                <c:pt idx="66">
                  <c:v>485</c:v>
                </c:pt>
                <c:pt idx="67">
                  <c:v>488</c:v>
                </c:pt>
                <c:pt idx="68">
                  <c:v>496</c:v>
                </c:pt>
                <c:pt idx="69">
                  <c:v>504</c:v>
                </c:pt>
                <c:pt idx="70">
                  <c:v>509</c:v>
                </c:pt>
                <c:pt idx="71">
                  <c:v>511</c:v>
                </c:pt>
                <c:pt idx="72">
                  <c:v>513</c:v>
                </c:pt>
                <c:pt idx="73">
                  <c:v>515</c:v>
                </c:pt>
                <c:pt idx="74">
                  <c:v>516</c:v>
                </c:pt>
                <c:pt idx="75">
                  <c:v>518</c:v>
                </c:pt>
                <c:pt idx="76">
                  <c:v>520</c:v>
                </c:pt>
                <c:pt idx="77">
                  <c:v>522</c:v>
                </c:pt>
                <c:pt idx="78">
                  <c:v>523</c:v>
                </c:pt>
                <c:pt idx="79">
                  <c:v>525</c:v>
                </c:pt>
                <c:pt idx="80">
                  <c:v>527</c:v>
                </c:pt>
                <c:pt idx="81">
                  <c:v>529</c:v>
                </c:pt>
                <c:pt idx="82">
                  <c:v>529</c:v>
                </c:pt>
                <c:pt idx="83">
                  <c:v>529</c:v>
                </c:pt>
                <c:pt idx="84">
                  <c:v>529</c:v>
                </c:pt>
                <c:pt idx="85">
                  <c:v>530</c:v>
                </c:pt>
                <c:pt idx="86">
                  <c:v>531</c:v>
                </c:pt>
                <c:pt idx="87">
                  <c:v>531</c:v>
                </c:pt>
                <c:pt idx="88">
                  <c:v>532</c:v>
                </c:pt>
                <c:pt idx="89">
                  <c:v>532</c:v>
                </c:pt>
                <c:pt idx="90">
                  <c:v>532</c:v>
                </c:pt>
                <c:pt idx="91">
                  <c:v>534</c:v>
                </c:pt>
                <c:pt idx="92">
                  <c:v>535</c:v>
                </c:pt>
                <c:pt idx="93">
                  <c:v>536</c:v>
                </c:pt>
                <c:pt idx="94">
                  <c:v>536</c:v>
                </c:pt>
                <c:pt idx="95">
                  <c:v>536</c:v>
                </c:pt>
                <c:pt idx="96">
                  <c:v>536</c:v>
                </c:pt>
                <c:pt idx="97">
                  <c:v>536</c:v>
                </c:pt>
                <c:pt idx="98">
                  <c:v>536</c:v>
                </c:pt>
                <c:pt idx="99">
                  <c:v>536</c:v>
                </c:pt>
                <c:pt idx="100">
                  <c:v>536</c:v>
                </c:pt>
                <c:pt idx="101">
                  <c:v>536</c:v>
                </c:pt>
                <c:pt idx="102">
                  <c:v>536</c:v>
                </c:pt>
                <c:pt idx="103">
                  <c:v>536</c:v>
                </c:pt>
                <c:pt idx="104">
                  <c:v>536</c:v>
                </c:pt>
                <c:pt idx="105">
                  <c:v>536</c:v>
                </c:pt>
                <c:pt idx="106">
                  <c:v>536</c:v>
                </c:pt>
                <c:pt idx="107">
                  <c:v>536</c:v>
                </c:pt>
                <c:pt idx="108">
                  <c:v>536</c:v>
                </c:pt>
                <c:pt idx="109">
                  <c:v>536</c:v>
                </c:pt>
                <c:pt idx="110">
                  <c:v>536</c:v>
                </c:pt>
                <c:pt idx="111">
                  <c:v>536</c:v>
                </c:pt>
                <c:pt idx="112">
                  <c:v>536</c:v>
                </c:pt>
                <c:pt idx="113">
                  <c:v>536</c:v>
                </c:pt>
                <c:pt idx="114">
                  <c:v>536</c:v>
                </c:pt>
                <c:pt idx="115">
                  <c:v>536</c:v>
                </c:pt>
                <c:pt idx="116">
                  <c:v>536</c:v>
                </c:pt>
                <c:pt idx="117">
                  <c:v>536</c:v>
                </c:pt>
                <c:pt idx="118">
                  <c:v>536</c:v>
                </c:pt>
                <c:pt idx="119">
                  <c:v>536</c:v>
                </c:pt>
                <c:pt idx="120">
                  <c:v>536</c:v>
                </c:pt>
                <c:pt idx="121">
                  <c:v>536</c:v>
                </c:pt>
                <c:pt idx="122">
                  <c:v>536</c:v>
                </c:pt>
                <c:pt idx="123">
                  <c:v>536</c:v>
                </c:pt>
                <c:pt idx="124">
                  <c:v>536</c:v>
                </c:pt>
                <c:pt idx="125">
                  <c:v>536</c:v>
                </c:pt>
                <c:pt idx="126">
                  <c:v>536</c:v>
                </c:pt>
                <c:pt idx="127">
                  <c:v>536</c:v>
                </c:pt>
                <c:pt idx="128">
                  <c:v>536</c:v>
                </c:pt>
                <c:pt idx="129">
                  <c:v>536</c:v>
                </c:pt>
                <c:pt idx="130">
                  <c:v>536</c:v>
                </c:pt>
                <c:pt idx="131">
                  <c:v>536</c:v>
                </c:pt>
                <c:pt idx="132">
                  <c:v>536</c:v>
                </c:pt>
                <c:pt idx="133">
                  <c:v>536</c:v>
                </c:pt>
                <c:pt idx="134">
                  <c:v>536</c:v>
                </c:pt>
                <c:pt idx="135">
                  <c:v>536</c:v>
                </c:pt>
                <c:pt idx="136">
                  <c:v>536</c:v>
                </c:pt>
                <c:pt idx="137">
                  <c:v>536</c:v>
                </c:pt>
                <c:pt idx="138">
                  <c:v>536</c:v>
                </c:pt>
                <c:pt idx="139">
                  <c:v>536</c:v>
                </c:pt>
                <c:pt idx="140">
                  <c:v>536</c:v>
                </c:pt>
                <c:pt idx="141">
                  <c:v>536</c:v>
                </c:pt>
                <c:pt idx="142">
                  <c:v>536</c:v>
                </c:pt>
                <c:pt idx="143">
                  <c:v>536</c:v>
                </c:pt>
                <c:pt idx="144">
                  <c:v>536</c:v>
                </c:pt>
                <c:pt idx="145">
                  <c:v>536</c:v>
                </c:pt>
                <c:pt idx="146">
                  <c:v>536</c:v>
                </c:pt>
                <c:pt idx="147">
                  <c:v>536</c:v>
                </c:pt>
                <c:pt idx="148">
                  <c:v>536</c:v>
                </c:pt>
                <c:pt idx="149">
                  <c:v>536</c:v>
                </c:pt>
                <c:pt idx="150">
                  <c:v>536</c:v>
                </c:pt>
                <c:pt idx="151">
                  <c:v>536</c:v>
                </c:pt>
                <c:pt idx="152">
                  <c:v>536</c:v>
                </c:pt>
                <c:pt idx="153">
                  <c:v>536</c:v>
                </c:pt>
                <c:pt idx="154">
                  <c:v>536</c:v>
                </c:pt>
                <c:pt idx="155">
                  <c:v>536</c:v>
                </c:pt>
                <c:pt idx="156">
                  <c:v>536</c:v>
                </c:pt>
                <c:pt idx="157">
                  <c:v>536</c:v>
                </c:pt>
                <c:pt idx="158">
                  <c:v>536</c:v>
                </c:pt>
                <c:pt idx="159">
                  <c:v>536</c:v>
                </c:pt>
                <c:pt idx="160">
                  <c:v>536</c:v>
                </c:pt>
                <c:pt idx="161">
                  <c:v>536</c:v>
                </c:pt>
                <c:pt idx="162">
                  <c:v>536</c:v>
                </c:pt>
                <c:pt idx="163">
                  <c:v>536</c:v>
                </c:pt>
                <c:pt idx="164">
                  <c:v>536</c:v>
                </c:pt>
                <c:pt idx="165">
                  <c:v>536</c:v>
                </c:pt>
                <c:pt idx="166">
                  <c:v>536</c:v>
                </c:pt>
                <c:pt idx="167">
                  <c:v>536</c:v>
                </c:pt>
                <c:pt idx="168">
                  <c:v>536</c:v>
                </c:pt>
                <c:pt idx="169">
                  <c:v>536</c:v>
                </c:pt>
                <c:pt idx="170">
                  <c:v>536</c:v>
                </c:pt>
                <c:pt idx="171">
                  <c:v>536</c:v>
                </c:pt>
                <c:pt idx="172">
                  <c:v>536</c:v>
                </c:pt>
                <c:pt idx="173">
                  <c:v>536</c:v>
                </c:pt>
                <c:pt idx="174">
                  <c:v>536</c:v>
                </c:pt>
                <c:pt idx="175">
                  <c:v>536</c:v>
                </c:pt>
                <c:pt idx="176">
                  <c:v>536</c:v>
                </c:pt>
                <c:pt idx="177">
                  <c:v>536</c:v>
                </c:pt>
                <c:pt idx="178">
                  <c:v>536</c:v>
                </c:pt>
                <c:pt idx="179">
                  <c:v>536</c:v>
                </c:pt>
                <c:pt idx="180">
                  <c:v>536</c:v>
                </c:pt>
                <c:pt idx="181">
                  <c:v>536</c:v>
                </c:pt>
                <c:pt idx="182">
                  <c:v>536</c:v>
                </c:pt>
                <c:pt idx="183">
                  <c:v>536</c:v>
                </c:pt>
                <c:pt idx="184">
                  <c:v>536</c:v>
                </c:pt>
                <c:pt idx="185">
                  <c:v>536</c:v>
                </c:pt>
                <c:pt idx="186">
                  <c:v>536</c:v>
                </c:pt>
                <c:pt idx="187">
                  <c:v>536</c:v>
                </c:pt>
                <c:pt idx="188">
                  <c:v>536</c:v>
                </c:pt>
                <c:pt idx="189">
                  <c:v>536</c:v>
                </c:pt>
                <c:pt idx="190">
                  <c:v>536</c:v>
                </c:pt>
                <c:pt idx="191">
                  <c:v>536</c:v>
                </c:pt>
                <c:pt idx="192">
                  <c:v>536</c:v>
                </c:pt>
              </c:numCache>
            </c:numRef>
          </c:yVal>
          <c:smooth val="0"/>
        </c:ser>
        <c:ser>
          <c:idx val="2"/>
          <c:order val="2"/>
          <c:tx>
            <c:v>Samford CSIRO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cumulative!$U$3:$U$195</c:f>
              <c:numCache>
                <c:formatCode>General</c:formatCode>
                <c:ptCount val="193"/>
                <c:pt idx="0">
                  <c:v>0</c:v>
                </c:pt>
                <c:pt idx="1">
                  <c:v>0.09</c:v>
                </c:pt>
                <c:pt idx="2">
                  <c:v>0.61</c:v>
                </c:pt>
                <c:pt idx="3">
                  <c:v>6.82</c:v>
                </c:pt>
                <c:pt idx="4">
                  <c:v>16.27</c:v>
                </c:pt>
                <c:pt idx="5">
                  <c:v>23.84</c:v>
                </c:pt>
                <c:pt idx="6">
                  <c:v>24.93</c:v>
                </c:pt>
                <c:pt idx="7">
                  <c:v>25.31</c:v>
                </c:pt>
                <c:pt idx="8">
                  <c:v>26.9</c:v>
                </c:pt>
                <c:pt idx="9">
                  <c:v>31.18</c:v>
                </c:pt>
                <c:pt idx="10">
                  <c:v>34.71</c:v>
                </c:pt>
                <c:pt idx="11">
                  <c:v>36.29</c:v>
                </c:pt>
                <c:pt idx="12">
                  <c:v>42.28</c:v>
                </c:pt>
                <c:pt idx="13">
                  <c:v>47</c:v>
                </c:pt>
                <c:pt idx="14">
                  <c:v>49.62</c:v>
                </c:pt>
                <c:pt idx="15">
                  <c:v>51.849999999999994</c:v>
                </c:pt>
                <c:pt idx="16">
                  <c:v>54.859999999999992</c:v>
                </c:pt>
                <c:pt idx="17">
                  <c:v>60.959999999999994</c:v>
                </c:pt>
                <c:pt idx="18">
                  <c:v>69.72999999999999</c:v>
                </c:pt>
                <c:pt idx="19">
                  <c:v>83.519999999999982</c:v>
                </c:pt>
                <c:pt idx="20">
                  <c:v>99.109999999999985</c:v>
                </c:pt>
                <c:pt idx="21">
                  <c:v>112.47999999999999</c:v>
                </c:pt>
                <c:pt idx="22">
                  <c:v>127.02999999999999</c:v>
                </c:pt>
                <c:pt idx="23">
                  <c:v>153.23999999999998</c:v>
                </c:pt>
                <c:pt idx="24">
                  <c:v>169.58999999999997</c:v>
                </c:pt>
                <c:pt idx="25">
                  <c:v>187.51</c:v>
                </c:pt>
                <c:pt idx="26">
                  <c:v>212.54999999999998</c:v>
                </c:pt>
                <c:pt idx="27">
                  <c:v>232.35</c:v>
                </c:pt>
                <c:pt idx="28">
                  <c:v>254.26</c:v>
                </c:pt>
                <c:pt idx="29">
                  <c:v>320.68</c:v>
                </c:pt>
                <c:pt idx="30">
                  <c:v>329.2</c:v>
                </c:pt>
                <c:pt idx="31">
                  <c:v>332.77</c:v>
                </c:pt>
                <c:pt idx="32">
                  <c:v>340.09999999999997</c:v>
                </c:pt>
                <c:pt idx="33">
                  <c:v>343.72999999999996</c:v>
                </c:pt>
                <c:pt idx="34">
                  <c:v>350.55999999999995</c:v>
                </c:pt>
                <c:pt idx="35">
                  <c:v>374.82999999999993</c:v>
                </c:pt>
                <c:pt idx="36">
                  <c:v>388.9799999999999</c:v>
                </c:pt>
                <c:pt idx="37">
                  <c:v>403.63999999999993</c:v>
                </c:pt>
                <c:pt idx="38">
                  <c:v>421.25999999999993</c:v>
                </c:pt>
                <c:pt idx="39">
                  <c:v>457.64999999999992</c:v>
                </c:pt>
                <c:pt idx="40">
                  <c:v>464.64999999999992</c:v>
                </c:pt>
                <c:pt idx="41">
                  <c:v>475.37999999999994</c:v>
                </c:pt>
                <c:pt idx="42">
                  <c:v>480.35999999999996</c:v>
                </c:pt>
                <c:pt idx="43">
                  <c:v>487.62999999999994</c:v>
                </c:pt>
                <c:pt idx="44">
                  <c:v>495.88999999999993</c:v>
                </c:pt>
                <c:pt idx="45">
                  <c:v>506.80999999999995</c:v>
                </c:pt>
                <c:pt idx="46">
                  <c:v>520.13</c:v>
                </c:pt>
                <c:pt idx="47">
                  <c:v>523.66</c:v>
                </c:pt>
                <c:pt idx="48">
                  <c:v>524.98</c:v>
                </c:pt>
                <c:pt idx="49">
                  <c:v>524.98</c:v>
                </c:pt>
                <c:pt idx="50">
                  <c:v>524.98</c:v>
                </c:pt>
                <c:pt idx="51">
                  <c:v>526.74</c:v>
                </c:pt>
                <c:pt idx="52">
                  <c:v>527.13</c:v>
                </c:pt>
                <c:pt idx="53">
                  <c:v>527.68999999999994</c:v>
                </c:pt>
                <c:pt idx="54">
                  <c:v>528.43999999999994</c:v>
                </c:pt>
                <c:pt idx="55">
                  <c:v>529.67999999999995</c:v>
                </c:pt>
                <c:pt idx="56">
                  <c:v>532.76</c:v>
                </c:pt>
                <c:pt idx="57">
                  <c:v>542.49</c:v>
                </c:pt>
                <c:pt idx="58">
                  <c:v>580.03</c:v>
                </c:pt>
                <c:pt idx="59">
                  <c:v>601.88</c:v>
                </c:pt>
                <c:pt idx="60">
                  <c:v>622.86</c:v>
                </c:pt>
                <c:pt idx="61">
                  <c:v>652.33000000000004</c:v>
                </c:pt>
                <c:pt idx="62">
                  <c:v>679.28000000000009</c:v>
                </c:pt>
                <c:pt idx="63">
                  <c:v>698.18000000000006</c:v>
                </c:pt>
                <c:pt idx="64">
                  <c:v>716.7600000000001</c:v>
                </c:pt>
                <c:pt idx="65">
                  <c:v>724.5200000000001</c:v>
                </c:pt>
                <c:pt idx="66">
                  <c:v>745.24000000000012</c:v>
                </c:pt>
                <c:pt idx="67">
                  <c:v>755.74000000000012</c:v>
                </c:pt>
                <c:pt idx="68">
                  <c:v>763.94000000000017</c:v>
                </c:pt>
                <c:pt idx="69">
                  <c:v>774.70000000000016</c:v>
                </c:pt>
                <c:pt idx="70">
                  <c:v>781.77000000000021</c:v>
                </c:pt>
                <c:pt idx="71">
                  <c:v>790.24000000000024</c:v>
                </c:pt>
                <c:pt idx="72">
                  <c:v>792.19000000000028</c:v>
                </c:pt>
                <c:pt idx="73">
                  <c:v>796.0500000000003</c:v>
                </c:pt>
                <c:pt idx="74">
                  <c:v>799.45000000000027</c:v>
                </c:pt>
                <c:pt idx="75">
                  <c:v>805.95000000000027</c:v>
                </c:pt>
                <c:pt idx="76">
                  <c:v>813.25000000000023</c:v>
                </c:pt>
                <c:pt idx="77">
                  <c:v>816.04000000000019</c:v>
                </c:pt>
                <c:pt idx="78">
                  <c:v>819.5300000000002</c:v>
                </c:pt>
                <c:pt idx="79">
                  <c:v>828.74000000000024</c:v>
                </c:pt>
                <c:pt idx="80">
                  <c:v>834.67000000000019</c:v>
                </c:pt>
                <c:pt idx="81">
                  <c:v>838.06000000000017</c:v>
                </c:pt>
                <c:pt idx="82">
                  <c:v>839.1500000000002</c:v>
                </c:pt>
                <c:pt idx="83">
                  <c:v>839.60000000000025</c:v>
                </c:pt>
                <c:pt idx="84">
                  <c:v>840.08000000000027</c:v>
                </c:pt>
                <c:pt idx="85">
                  <c:v>842.0500000000003</c:v>
                </c:pt>
                <c:pt idx="86">
                  <c:v>843.69000000000028</c:v>
                </c:pt>
                <c:pt idx="87">
                  <c:v>845.1700000000003</c:v>
                </c:pt>
                <c:pt idx="88">
                  <c:v>847.00000000000034</c:v>
                </c:pt>
                <c:pt idx="89">
                  <c:v>847.78000000000031</c:v>
                </c:pt>
                <c:pt idx="90">
                  <c:v>854.36000000000035</c:v>
                </c:pt>
                <c:pt idx="91">
                  <c:v>859.1900000000004</c:v>
                </c:pt>
                <c:pt idx="92">
                  <c:v>860.08000000000038</c:v>
                </c:pt>
                <c:pt idx="93">
                  <c:v>861.09000000000037</c:v>
                </c:pt>
                <c:pt idx="94">
                  <c:v>861.38000000000034</c:v>
                </c:pt>
                <c:pt idx="95">
                  <c:v>863.24000000000035</c:v>
                </c:pt>
                <c:pt idx="96">
                  <c:v>863.59000000000037</c:v>
                </c:pt>
                <c:pt idx="97">
                  <c:v>863.59000000000037</c:v>
                </c:pt>
                <c:pt idx="98">
                  <c:v>863.63000000000034</c:v>
                </c:pt>
                <c:pt idx="99">
                  <c:v>863.72000000000037</c:v>
                </c:pt>
                <c:pt idx="100">
                  <c:v>864.80000000000041</c:v>
                </c:pt>
                <c:pt idx="101">
                  <c:v>865.27000000000044</c:v>
                </c:pt>
                <c:pt idx="102">
                  <c:v>866.00000000000045</c:v>
                </c:pt>
                <c:pt idx="103">
                  <c:v>866.5600000000004</c:v>
                </c:pt>
                <c:pt idx="104">
                  <c:v>867.09000000000037</c:v>
                </c:pt>
                <c:pt idx="105">
                  <c:v>867.41000000000042</c:v>
                </c:pt>
                <c:pt idx="106">
                  <c:v>867.8100000000004</c:v>
                </c:pt>
                <c:pt idx="107">
                  <c:v>867.84000000000037</c:v>
                </c:pt>
                <c:pt idx="108">
                  <c:v>867.87000000000035</c:v>
                </c:pt>
                <c:pt idx="109">
                  <c:v>868.40000000000032</c:v>
                </c:pt>
                <c:pt idx="110">
                  <c:v>868.50000000000034</c:v>
                </c:pt>
                <c:pt idx="111">
                  <c:v>868.50000000000034</c:v>
                </c:pt>
                <c:pt idx="112">
                  <c:v>868.50000000000034</c:v>
                </c:pt>
                <c:pt idx="113">
                  <c:v>868.50000000000034</c:v>
                </c:pt>
                <c:pt idx="114">
                  <c:v>868.50000000000034</c:v>
                </c:pt>
                <c:pt idx="115">
                  <c:v>868.50000000000034</c:v>
                </c:pt>
                <c:pt idx="116">
                  <c:v>868.50000000000034</c:v>
                </c:pt>
                <c:pt idx="117">
                  <c:v>868.50000000000034</c:v>
                </c:pt>
                <c:pt idx="118">
                  <c:v>868.50000000000034</c:v>
                </c:pt>
                <c:pt idx="119">
                  <c:v>868.50000000000034</c:v>
                </c:pt>
                <c:pt idx="120">
                  <c:v>868.50000000000034</c:v>
                </c:pt>
                <c:pt idx="121">
                  <c:v>868.50000000000034</c:v>
                </c:pt>
                <c:pt idx="122">
                  <c:v>868.50000000000034</c:v>
                </c:pt>
                <c:pt idx="123">
                  <c:v>868.50000000000034</c:v>
                </c:pt>
                <c:pt idx="124">
                  <c:v>868.50000000000034</c:v>
                </c:pt>
                <c:pt idx="125">
                  <c:v>868.50000000000034</c:v>
                </c:pt>
                <c:pt idx="126">
                  <c:v>868.50000000000034</c:v>
                </c:pt>
                <c:pt idx="127">
                  <c:v>868.50000000000034</c:v>
                </c:pt>
                <c:pt idx="128">
                  <c:v>868.50000000000034</c:v>
                </c:pt>
                <c:pt idx="129">
                  <c:v>868.50000000000034</c:v>
                </c:pt>
                <c:pt idx="130">
                  <c:v>868.50000000000034</c:v>
                </c:pt>
                <c:pt idx="131">
                  <c:v>868.50000000000034</c:v>
                </c:pt>
                <c:pt idx="132">
                  <c:v>868.50000000000034</c:v>
                </c:pt>
                <c:pt idx="133">
                  <c:v>868.50000000000034</c:v>
                </c:pt>
                <c:pt idx="134">
                  <c:v>868.50000000000034</c:v>
                </c:pt>
                <c:pt idx="135">
                  <c:v>868.50000000000034</c:v>
                </c:pt>
                <c:pt idx="136">
                  <c:v>868.50000000000034</c:v>
                </c:pt>
                <c:pt idx="137">
                  <c:v>868.50000000000034</c:v>
                </c:pt>
                <c:pt idx="138">
                  <c:v>868.77000000000032</c:v>
                </c:pt>
                <c:pt idx="139">
                  <c:v>871.61000000000035</c:v>
                </c:pt>
                <c:pt idx="140">
                  <c:v>871.63000000000034</c:v>
                </c:pt>
                <c:pt idx="141">
                  <c:v>871.65000000000032</c:v>
                </c:pt>
                <c:pt idx="142">
                  <c:v>871.6700000000003</c:v>
                </c:pt>
                <c:pt idx="143">
                  <c:v>871.69000000000028</c:v>
                </c:pt>
                <c:pt idx="144">
                  <c:v>871.70000000000027</c:v>
                </c:pt>
                <c:pt idx="145">
                  <c:v>871.70000000000027</c:v>
                </c:pt>
                <c:pt idx="146">
                  <c:v>871.70000000000027</c:v>
                </c:pt>
                <c:pt idx="147">
                  <c:v>871.70000000000027</c:v>
                </c:pt>
                <c:pt idx="148">
                  <c:v>871.72000000000025</c:v>
                </c:pt>
                <c:pt idx="149">
                  <c:v>871.8000000000003</c:v>
                </c:pt>
                <c:pt idx="150">
                  <c:v>871.88000000000034</c:v>
                </c:pt>
                <c:pt idx="151">
                  <c:v>871.96000000000038</c:v>
                </c:pt>
                <c:pt idx="152">
                  <c:v>872.04000000000042</c:v>
                </c:pt>
                <c:pt idx="153">
                  <c:v>872.12000000000046</c:v>
                </c:pt>
                <c:pt idx="154">
                  <c:v>872.17000000000041</c:v>
                </c:pt>
                <c:pt idx="155">
                  <c:v>872.17000000000041</c:v>
                </c:pt>
                <c:pt idx="156">
                  <c:v>872.17000000000041</c:v>
                </c:pt>
                <c:pt idx="157">
                  <c:v>872.17000000000041</c:v>
                </c:pt>
                <c:pt idx="158">
                  <c:v>872.4300000000004</c:v>
                </c:pt>
                <c:pt idx="159">
                  <c:v>873.77000000000044</c:v>
                </c:pt>
                <c:pt idx="160">
                  <c:v>877.79000000000042</c:v>
                </c:pt>
                <c:pt idx="161">
                  <c:v>877.90000000000043</c:v>
                </c:pt>
                <c:pt idx="162">
                  <c:v>877.98000000000047</c:v>
                </c:pt>
                <c:pt idx="163">
                  <c:v>877.98000000000047</c:v>
                </c:pt>
                <c:pt idx="164">
                  <c:v>877.98000000000047</c:v>
                </c:pt>
                <c:pt idx="165">
                  <c:v>877.98000000000047</c:v>
                </c:pt>
                <c:pt idx="166">
                  <c:v>877.98000000000047</c:v>
                </c:pt>
                <c:pt idx="167">
                  <c:v>877.98000000000047</c:v>
                </c:pt>
                <c:pt idx="168">
                  <c:v>877.98000000000047</c:v>
                </c:pt>
                <c:pt idx="169">
                  <c:v>877.98000000000047</c:v>
                </c:pt>
                <c:pt idx="170">
                  <c:v>877.98000000000047</c:v>
                </c:pt>
                <c:pt idx="171">
                  <c:v>877.98000000000047</c:v>
                </c:pt>
                <c:pt idx="172">
                  <c:v>877.98000000000047</c:v>
                </c:pt>
                <c:pt idx="173">
                  <c:v>877.98000000000047</c:v>
                </c:pt>
                <c:pt idx="174">
                  <c:v>878.28000000000043</c:v>
                </c:pt>
                <c:pt idx="175">
                  <c:v>878.58000000000038</c:v>
                </c:pt>
                <c:pt idx="176">
                  <c:v>878.58000000000038</c:v>
                </c:pt>
                <c:pt idx="177">
                  <c:v>878.58000000000038</c:v>
                </c:pt>
                <c:pt idx="178">
                  <c:v>878.58000000000038</c:v>
                </c:pt>
                <c:pt idx="179">
                  <c:v>878.58000000000038</c:v>
                </c:pt>
                <c:pt idx="180">
                  <c:v>878.58000000000038</c:v>
                </c:pt>
                <c:pt idx="181">
                  <c:v>878.58000000000038</c:v>
                </c:pt>
                <c:pt idx="182">
                  <c:v>878.58000000000038</c:v>
                </c:pt>
                <c:pt idx="183">
                  <c:v>879.58000000000038</c:v>
                </c:pt>
                <c:pt idx="184">
                  <c:v>879.58000000000038</c:v>
                </c:pt>
                <c:pt idx="185">
                  <c:v>879.58000000000038</c:v>
                </c:pt>
                <c:pt idx="186">
                  <c:v>880.38000000000034</c:v>
                </c:pt>
                <c:pt idx="187">
                  <c:v>880.4200000000003</c:v>
                </c:pt>
                <c:pt idx="188">
                  <c:v>880.46000000000026</c:v>
                </c:pt>
                <c:pt idx="189">
                  <c:v>880.50000000000023</c:v>
                </c:pt>
                <c:pt idx="190">
                  <c:v>880.54000000000019</c:v>
                </c:pt>
                <c:pt idx="191">
                  <c:v>880.58000000000015</c:v>
                </c:pt>
                <c:pt idx="192">
                  <c:v>880.58000000000015</c:v>
                </c:pt>
              </c:numCache>
            </c:numRef>
          </c:yVal>
          <c:smooth val="0"/>
        </c:ser>
        <c:ser>
          <c:idx val="3"/>
          <c:order val="3"/>
          <c:tx>
            <c:v>Bcc   Catchments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cumulative!$V$3:$V$195</c:f>
              <c:numCache>
                <c:formatCode>General</c:formatCode>
                <c:ptCount val="19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6</c:v>
                </c:pt>
                <c:pt idx="4">
                  <c:v>11</c:v>
                </c:pt>
                <c:pt idx="5">
                  <c:v>21</c:v>
                </c:pt>
                <c:pt idx="6">
                  <c:v>26</c:v>
                </c:pt>
                <c:pt idx="7">
                  <c:v>30</c:v>
                </c:pt>
                <c:pt idx="8">
                  <c:v>34</c:v>
                </c:pt>
                <c:pt idx="9">
                  <c:v>45</c:v>
                </c:pt>
                <c:pt idx="10">
                  <c:v>47</c:v>
                </c:pt>
                <c:pt idx="11">
                  <c:v>48</c:v>
                </c:pt>
                <c:pt idx="12">
                  <c:v>56</c:v>
                </c:pt>
                <c:pt idx="13">
                  <c:v>57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61</c:v>
                </c:pt>
                <c:pt idx="18">
                  <c:v>62</c:v>
                </c:pt>
                <c:pt idx="19">
                  <c:v>63</c:v>
                </c:pt>
                <c:pt idx="20">
                  <c:v>64</c:v>
                </c:pt>
                <c:pt idx="21">
                  <c:v>67</c:v>
                </c:pt>
                <c:pt idx="22">
                  <c:v>74</c:v>
                </c:pt>
                <c:pt idx="23">
                  <c:v>79</c:v>
                </c:pt>
                <c:pt idx="24">
                  <c:v>99</c:v>
                </c:pt>
                <c:pt idx="25">
                  <c:v>105</c:v>
                </c:pt>
                <c:pt idx="26">
                  <c:v>121</c:v>
                </c:pt>
                <c:pt idx="27">
                  <c:v>130</c:v>
                </c:pt>
                <c:pt idx="28">
                  <c:v>152</c:v>
                </c:pt>
                <c:pt idx="29">
                  <c:v>180</c:v>
                </c:pt>
                <c:pt idx="30">
                  <c:v>220</c:v>
                </c:pt>
                <c:pt idx="31">
                  <c:v>229</c:v>
                </c:pt>
                <c:pt idx="32">
                  <c:v>230</c:v>
                </c:pt>
                <c:pt idx="33">
                  <c:v>241</c:v>
                </c:pt>
                <c:pt idx="34">
                  <c:v>252</c:v>
                </c:pt>
                <c:pt idx="35">
                  <c:v>278</c:v>
                </c:pt>
                <c:pt idx="36">
                  <c:v>303</c:v>
                </c:pt>
                <c:pt idx="37">
                  <c:v>329</c:v>
                </c:pt>
                <c:pt idx="38">
                  <c:v>334</c:v>
                </c:pt>
                <c:pt idx="39">
                  <c:v>338</c:v>
                </c:pt>
                <c:pt idx="40">
                  <c:v>353</c:v>
                </c:pt>
                <c:pt idx="41">
                  <c:v>360</c:v>
                </c:pt>
                <c:pt idx="42">
                  <c:v>371</c:v>
                </c:pt>
                <c:pt idx="43">
                  <c:v>379</c:v>
                </c:pt>
                <c:pt idx="44">
                  <c:v>390</c:v>
                </c:pt>
                <c:pt idx="45">
                  <c:v>395</c:v>
                </c:pt>
                <c:pt idx="46">
                  <c:v>407</c:v>
                </c:pt>
                <c:pt idx="47">
                  <c:v>410</c:v>
                </c:pt>
                <c:pt idx="48">
                  <c:v>411</c:v>
                </c:pt>
                <c:pt idx="49">
                  <c:v>413</c:v>
                </c:pt>
                <c:pt idx="50">
                  <c:v>416</c:v>
                </c:pt>
                <c:pt idx="51">
                  <c:v>420</c:v>
                </c:pt>
                <c:pt idx="52">
                  <c:v>427</c:v>
                </c:pt>
                <c:pt idx="53">
                  <c:v>430</c:v>
                </c:pt>
                <c:pt idx="54">
                  <c:v>433</c:v>
                </c:pt>
                <c:pt idx="55">
                  <c:v>439</c:v>
                </c:pt>
                <c:pt idx="56">
                  <c:v>455</c:v>
                </c:pt>
                <c:pt idx="57">
                  <c:v>483</c:v>
                </c:pt>
                <c:pt idx="58">
                  <c:v>504</c:v>
                </c:pt>
                <c:pt idx="59">
                  <c:v>531</c:v>
                </c:pt>
                <c:pt idx="60">
                  <c:v>546</c:v>
                </c:pt>
                <c:pt idx="61">
                  <c:v>562</c:v>
                </c:pt>
                <c:pt idx="62">
                  <c:v>572</c:v>
                </c:pt>
                <c:pt idx="63">
                  <c:v>588</c:v>
                </c:pt>
                <c:pt idx="64">
                  <c:v>597</c:v>
                </c:pt>
                <c:pt idx="65">
                  <c:v>611</c:v>
                </c:pt>
                <c:pt idx="66">
                  <c:v>617</c:v>
                </c:pt>
                <c:pt idx="67">
                  <c:v>622</c:v>
                </c:pt>
                <c:pt idx="68">
                  <c:v>636</c:v>
                </c:pt>
                <c:pt idx="69">
                  <c:v>642</c:v>
                </c:pt>
                <c:pt idx="70">
                  <c:v>647</c:v>
                </c:pt>
                <c:pt idx="71">
                  <c:v>649</c:v>
                </c:pt>
                <c:pt idx="72">
                  <c:v>659</c:v>
                </c:pt>
                <c:pt idx="73">
                  <c:v>661</c:v>
                </c:pt>
                <c:pt idx="74">
                  <c:v>664</c:v>
                </c:pt>
                <c:pt idx="75">
                  <c:v>669</c:v>
                </c:pt>
                <c:pt idx="76">
                  <c:v>673</c:v>
                </c:pt>
                <c:pt idx="77">
                  <c:v>674</c:v>
                </c:pt>
                <c:pt idx="78">
                  <c:v>675</c:v>
                </c:pt>
                <c:pt idx="79">
                  <c:v>675</c:v>
                </c:pt>
                <c:pt idx="80">
                  <c:v>676</c:v>
                </c:pt>
                <c:pt idx="81">
                  <c:v>678</c:v>
                </c:pt>
                <c:pt idx="82">
                  <c:v>679</c:v>
                </c:pt>
                <c:pt idx="83">
                  <c:v>679</c:v>
                </c:pt>
                <c:pt idx="84">
                  <c:v>680</c:v>
                </c:pt>
                <c:pt idx="85">
                  <c:v>682</c:v>
                </c:pt>
                <c:pt idx="86">
                  <c:v>687</c:v>
                </c:pt>
                <c:pt idx="87">
                  <c:v>687</c:v>
                </c:pt>
                <c:pt idx="88">
                  <c:v>687</c:v>
                </c:pt>
                <c:pt idx="89">
                  <c:v>688</c:v>
                </c:pt>
                <c:pt idx="90">
                  <c:v>691</c:v>
                </c:pt>
                <c:pt idx="91">
                  <c:v>691</c:v>
                </c:pt>
                <c:pt idx="92">
                  <c:v>692</c:v>
                </c:pt>
                <c:pt idx="93">
                  <c:v>694</c:v>
                </c:pt>
                <c:pt idx="94">
                  <c:v>695</c:v>
                </c:pt>
                <c:pt idx="95">
                  <c:v>695</c:v>
                </c:pt>
                <c:pt idx="96">
                  <c:v>695</c:v>
                </c:pt>
                <c:pt idx="97">
                  <c:v>695</c:v>
                </c:pt>
                <c:pt idx="98">
                  <c:v>695</c:v>
                </c:pt>
                <c:pt idx="99">
                  <c:v>695</c:v>
                </c:pt>
                <c:pt idx="100">
                  <c:v>695</c:v>
                </c:pt>
                <c:pt idx="101">
                  <c:v>695</c:v>
                </c:pt>
                <c:pt idx="102">
                  <c:v>695</c:v>
                </c:pt>
                <c:pt idx="103">
                  <c:v>695</c:v>
                </c:pt>
                <c:pt idx="104">
                  <c:v>695</c:v>
                </c:pt>
                <c:pt idx="105">
                  <c:v>695</c:v>
                </c:pt>
                <c:pt idx="106">
                  <c:v>695</c:v>
                </c:pt>
                <c:pt idx="107">
                  <c:v>695</c:v>
                </c:pt>
                <c:pt idx="108">
                  <c:v>695</c:v>
                </c:pt>
                <c:pt idx="109">
                  <c:v>695</c:v>
                </c:pt>
                <c:pt idx="110">
                  <c:v>695</c:v>
                </c:pt>
                <c:pt idx="111">
                  <c:v>695</c:v>
                </c:pt>
                <c:pt idx="112">
                  <c:v>695</c:v>
                </c:pt>
                <c:pt idx="113">
                  <c:v>695</c:v>
                </c:pt>
                <c:pt idx="114">
                  <c:v>695</c:v>
                </c:pt>
                <c:pt idx="115">
                  <c:v>695</c:v>
                </c:pt>
                <c:pt idx="116">
                  <c:v>695</c:v>
                </c:pt>
                <c:pt idx="117">
                  <c:v>695</c:v>
                </c:pt>
                <c:pt idx="118">
                  <c:v>695</c:v>
                </c:pt>
                <c:pt idx="119">
                  <c:v>695</c:v>
                </c:pt>
                <c:pt idx="120">
                  <c:v>695</c:v>
                </c:pt>
                <c:pt idx="121">
                  <c:v>695</c:v>
                </c:pt>
                <c:pt idx="122">
                  <c:v>695</c:v>
                </c:pt>
                <c:pt idx="123">
                  <c:v>695</c:v>
                </c:pt>
                <c:pt idx="124">
                  <c:v>695</c:v>
                </c:pt>
                <c:pt idx="125">
                  <c:v>695</c:v>
                </c:pt>
                <c:pt idx="126">
                  <c:v>695</c:v>
                </c:pt>
                <c:pt idx="127">
                  <c:v>695</c:v>
                </c:pt>
                <c:pt idx="128">
                  <c:v>695</c:v>
                </c:pt>
                <c:pt idx="129">
                  <c:v>695</c:v>
                </c:pt>
                <c:pt idx="130">
                  <c:v>695</c:v>
                </c:pt>
                <c:pt idx="131">
                  <c:v>695</c:v>
                </c:pt>
                <c:pt idx="132">
                  <c:v>695</c:v>
                </c:pt>
                <c:pt idx="133">
                  <c:v>695</c:v>
                </c:pt>
                <c:pt idx="134">
                  <c:v>695</c:v>
                </c:pt>
                <c:pt idx="135">
                  <c:v>695</c:v>
                </c:pt>
                <c:pt idx="136">
                  <c:v>695</c:v>
                </c:pt>
                <c:pt idx="137">
                  <c:v>695</c:v>
                </c:pt>
                <c:pt idx="138">
                  <c:v>695</c:v>
                </c:pt>
                <c:pt idx="139">
                  <c:v>695</c:v>
                </c:pt>
                <c:pt idx="140">
                  <c:v>695</c:v>
                </c:pt>
                <c:pt idx="141">
                  <c:v>695</c:v>
                </c:pt>
                <c:pt idx="142">
                  <c:v>695</c:v>
                </c:pt>
                <c:pt idx="143">
                  <c:v>695</c:v>
                </c:pt>
                <c:pt idx="144">
                  <c:v>695</c:v>
                </c:pt>
                <c:pt idx="145">
                  <c:v>695</c:v>
                </c:pt>
                <c:pt idx="146">
                  <c:v>695</c:v>
                </c:pt>
                <c:pt idx="147">
                  <c:v>695</c:v>
                </c:pt>
                <c:pt idx="148">
                  <c:v>695</c:v>
                </c:pt>
                <c:pt idx="149">
                  <c:v>695</c:v>
                </c:pt>
                <c:pt idx="150">
                  <c:v>695</c:v>
                </c:pt>
                <c:pt idx="151">
                  <c:v>695</c:v>
                </c:pt>
                <c:pt idx="152">
                  <c:v>695</c:v>
                </c:pt>
                <c:pt idx="153">
                  <c:v>695</c:v>
                </c:pt>
                <c:pt idx="154">
                  <c:v>695</c:v>
                </c:pt>
                <c:pt idx="155">
                  <c:v>695</c:v>
                </c:pt>
                <c:pt idx="156">
                  <c:v>695</c:v>
                </c:pt>
                <c:pt idx="157">
                  <c:v>695</c:v>
                </c:pt>
                <c:pt idx="158">
                  <c:v>695</c:v>
                </c:pt>
                <c:pt idx="159">
                  <c:v>695</c:v>
                </c:pt>
                <c:pt idx="160">
                  <c:v>695</c:v>
                </c:pt>
                <c:pt idx="161">
                  <c:v>695</c:v>
                </c:pt>
                <c:pt idx="162">
                  <c:v>695</c:v>
                </c:pt>
                <c:pt idx="163">
                  <c:v>695</c:v>
                </c:pt>
                <c:pt idx="164">
                  <c:v>695</c:v>
                </c:pt>
                <c:pt idx="165">
                  <c:v>695</c:v>
                </c:pt>
                <c:pt idx="166">
                  <c:v>695</c:v>
                </c:pt>
                <c:pt idx="167">
                  <c:v>695</c:v>
                </c:pt>
                <c:pt idx="168">
                  <c:v>695</c:v>
                </c:pt>
                <c:pt idx="169">
                  <c:v>695</c:v>
                </c:pt>
                <c:pt idx="170">
                  <c:v>695</c:v>
                </c:pt>
                <c:pt idx="171">
                  <c:v>695</c:v>
                </c:pt>
                <c:pt idx="172">
                  <c:v>695</c:v>
                </c:pt>
                <c:pt idx="173">
                  <c:v>695</c:v>
                </c:pt>
                <c:pt idx="174">
                  <c:v>695</c:v>
                </c:pt>
                <c:pt idx="175">
                  <c:v>695</c:v>
                </c:pt>
                <c:pt idx="176">
                  <c:v>695</c:v>
                </c:pt>
                <c:pt idx="177">
                  <c:v>695</c:v>
                </c:pt>
                <c:pt idx="178">
                  <c:v>695</c:v>
                </c:pt>
                <c:pt idx="179">
                  <c:v>695</c:v>
                </c:pt>
                <c:pt idx="180">
                  <c:v>695</c:v>
                </c:pt>
                <c:pt idx="181">
                  <c:v>695</c:v>
                </c:pt>
                <c:pt idx="182">
                  <c:v>695</c:v>
                </c:pt>
                <c:pt idx="183">
                  <c:v>695</c:v>
                </c:pt>
                <c:pt idx="184">
                  <c:v>695</c:v>
                </c:pt>
                <c:pt idx="185">
                  <c:v>695</c:v>
                </c:pt>
                <c:pt idx="186">
                  <c:v>695</c:v>
                </c:pt>
                <c:pt idx="187">
                  <c:v>695</c:v>
                </c:pt>
                <c:pt idx="188">
                  <c:v>695</c:v>
                </c:pt>
                <c:pt idx="189">
                  <c:v>695</c:v>
                </c:pt>
                <c:pt idx="190">
                  <c:v>695</c:v>
                </c:pt>
                <c:pt idx="191">
                  <c:v>695</c:v>
                </c:pt>
                <c:pt idx="192">
                  <c:v>695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784192"/>
        <c:axId val="249790464"/>
      </c:scatterChart>
      <c:valAx>
        <c:axId val="249784192"/>
        <c:scaling>
          <c:orientation val="minMax"/>
          <c:max val="27061.375"/>
          <c:min val="27053.37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Date Time</a:t>
                </a:r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txPr>
          <a:bodyPr rot="-900000" vert="horz"/>
          <a:lstStyle/>
          <a:p>
            <a:pPr>
              <a:defRPr/>
            </a:pPr>
            <a:endParaRPr lang="en-US"/>
          </a:p>
        </c:txPr>
        <c:crossAx val="249790464"/>
        <c:crosses val="autoZero"/>
        <c:crossBetween val="midCat"/>
      </c:valAx>
      <c:valAx>
        <c:axId val="249790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Rainfall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97841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LowerMid- Pluviograph</a:t>
            </a:r>
            <a:endParaRPr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Enoggera Reservoir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cumulative!$W$3:$W$195</c:f>
              <c:numCache>
                <c:formatCode>General</c:formatCode>
                <c:ptCount val="19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6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22</c:v>
                </c:pt>
                <c:pt idx="10">
                  <c:v>22</c:v>
                </c:pt>
                <c:pt idx="11">
                  <c:v>25</c:v>
                </c:pt>
                <c:pt idx="12">
                  <c:v>28</c:v>
                </c:pt>
                <c:pt idx="13">
                  <c:v>31</c:v>
                </c:pt>
                <c:pt idx="14">
                  <c:v>33</c:v>
                </c:pt>
                <c:pt idx="15">
                  <c:v>36</c:v>
                </c:pt>
                <c:pt idx="16">
                  <c:v>37</c:v>
                </c:pt>
                <c:pt idx="17">
                  <c:v>41</c:v>
                </c:pt>
                <c:pt idx="18">
                  <c:v>48</c:v>
                </c:pt>
                <c:pt idx="19">
                  <c:v>56</c:v>
                </c:pt>
                <c:pt idx="20">
                  <c:v>73</c:v>
                </c:pt>
                <c:pt idx="21">
                  <c:v>83</c:v>
                </c:pt>
                <c:pt idx="22">
                  <c:v>103</c:v>
                </c:pt>
                <c:pt idx="23">
                  <c:v>118</c:v>
                </c:pt>
                <c:pt idx="24">
                  <c:v>131</c:v>
                </c:pt>
                <c:pt idx="25">
                  <c:v>168</c:v>
                </c:pt>
                <c:pt idx="26">
                  <c:v>195</c:v>
                </c:pt>
                <c:pt idx="27">
                  <c:v>223</c:v>
                </c:pt>
                <c:pt idx="28">
                  <c:v>263</c:v>
                </c:pt>
                <c:pt idx="29">
                  <c:v>275</c:v>
                </c:pt>
                <c:pt idx="30">
                  <c:v>282</c:v>
                </c:pt>
                <c:pt idx="31">
                  <c:v>284</c:v>
                </c:pt>
                <c:pt idx="32">
                  <c:v>288</c:v>
                </c:pt>
                <c:pt idx="33">
                  <c:v>290</c:v>
                </c:pt>
                <c:pt idx="34">
                  <c:v>297</c:v>
                </c:pt>
                <c:pt idx="35">
                  <c:v>309</c:v>
                </c:pt>
                <c:pt idx="36">
                  <c:v>332</c:v>
                </c:pt>
                <c:pt idx="37">
                  <c:v>380</c:v>
                </c:pt>
                <c:pt idx="38">
                  <c:v>438</c:v>
                </c:pt>
                <c:pt idx="39">
                  <c:v>531</c:v>
                </c:pt>
                <c:pt idx="40">
                  <c:v>540</c:v>
                </c:pt>
                <c:pt idx="41">
                  <c:v>564</c:v>
                </c:pt>
                <c:pt idx="42">
                  <c:v>569</c:v>
                </c:pt>
                <c:pt idx="43">
                  <c:v>576</c:v>
                </c:pt>
                <c:pt idx="44">
                  <c:v>580</c:v>
                </c:pt>
                <c:pt idx="45">
                  <c:v>592</c:v>
                </c:pt>
                <c:pt idx="46">
                  <c:v>605</c:v>
                </c:pt>
                <c:pt idx="47">
                  <c:v>607</c:v>
                </c:pt>
                <c:pt idx="48">
                  <c:v>615</c:v>
                </c:pt>
                <c:pt idx="49">
                  <c:v>617</c:v>
                </c:pt>
                <c:pt idx="50">
                  <c:v>618</c:v>
                </c:pt>
                <c:pt idx="51">
                  <c:v>619</c:v>
                </c:pt>
                <c:pt idx="52">
                  <c:v>621</c:v>
                </c:pt>
                <c:pt idx="53">
                  <c:v>621</c:v>
                </c:pt>
                <c:pt idx="54">
                  <c:v>623</c:v>
                </c:pt>
                <c:pt idx="55">
                  <c:v>624</c:v>
                </c:pt>
                <c:pt idx="56">
                  <c:v>625</c:v>
                </c:pt>
                <c:pt idx="57">
                  <c:v>645</c:v>
                </c:pt>
                <c:pt idx="58">
                  <c:v>670</c:v>
                </c:pt>
                <c:pt idx="59">
                  <c:v>687</c:v>
                </c:pt>
                <c:pt idx="60">
                  <c:v>705</c:v>
                </c:pt>
                <c:pt idx="61">
                  <c:v>729</c:v>
                </c:pt>
                <c:pt idx="62">
                  <c:v>755</c:v>
                </c:pt>
                <c:pt idx="63">
                  <c:v>776</c:v>
                </c:pt>
                <c:pt idx="64">
                  <c:v>795</c:v>
                </c:pt>
                <c:pt idx="65">
                  <c:v>804</c:v>
                </c:pt>
                <c:pt idx="66">
                  <c:v>816</c:v>
                </c:pt>
                <c:pt idx="67">
                  <c:v>827</c:v>
                </c:pt>
                <c:pt idx="68">
                  <c:v>837</c:v>
                </c:pt>
                <c:pt idx="69">
                  <c:v>847</c:v>
                </c:pt>
                <c:pt idx="70">
                  <c:v>852</c:v>
                </c:pt>
                <c:pt idx="71">
                  <c:v>863</c:v>
                </c:pt>
                <c:pt idx="72">
                  <c:v>868</c:v>
                </c:pt>
                <c:pt idx="73">
                  <c:v>871</c:v>
                </c:pt>
                <c:pt idx="74">
                  <c:v>875</c:v>
                </c:pt>
                <c:pt idx="75">
                  <c:v>880</c:v>
                </c:pt>
                <c:pt idx="76">
                  <c:v>886</c:v>
                </c:pt>
                <c:pt idx="77">
                  <c:v>891</c:v>
                </c:pt>
                <c:pt idx="78">
                  <c:v>894</c:v>
                </c:pt>
                <c:pt idx="79">
                  <c:v>901</c:v>
                </c:pt>
                <c:pt idx="80">
                  <c:v>906</c:v>
                </c:pt>
                <c:pt idx="81">
                  <c:v>910</c:v>
                </c:pt>
                <c:pt idx="82">
                  <c:v>913</c:v>
                </c:pt>
                <c:pt idx="83">
                  <c:v>914</c:v>
                </c:pt>
                <c:pt idx="84">
                  <c:v>915</c:v>
                </c:pt>
                <c:pt idx="85">
                  <c:v>916</c:v>
                </c:pt>
                <c:pt idx="86">
                  <c:v>917</c:v>
                </c:pt>
                <c:pt idx="87">
                  <c:v>918</c:v>
                </c:pt>
                <c:pt idx="88">
                  <c:v>919</c:v>
                </c:pt>
                <c:pt idx="89">
                  <c:v>920</c:v>
                </c:pt>
                <c:pt idx="90">
                  <c:v>920</c:v>
                </c:pt>
                <c:pt idx="91">
                  <c:v>922</c:v>
                </c:pt>
                <c:pt idx="92">
                  <c:v>923</c:v>
                </c:pt>
                <c:pt idx="93">
                  <c:v>923</c:v>
                </c:pt>
                <c:pt idx="94">
                  <c:v>924</c:v>
                </c:pt>
                <c:pt idx="95">
                  <c:v>926</c:v>
                </c:pt>
                <c:pt idx="96">
                  <c:v>926</c:v>
                </c:pt>
                <c:pt idx="97">
                  <c:v>926</c:v>
                </c:pt>
                <c:pt idx="98">
                  <c:v>926</c:v>
                </c:pt>
                <c:pt idx="99">
                  <c:v>926</c:v>
                </c:pt>
                <c:pt idx="100">
                  <c:v>926</c:v>
                </c:pt>
                <c:pt idx="101">
                  <c:v>926</c:v>
                </c:pt>
                <c:pt idx="102">
                  <c:v>926</c:v>
                </c:pt>
                <c:pt idx="103">
                  <c:v>926</c:v>
                </c:pt>
                <c:pt idx="104">
                  <c:v>926</c:v>
                </c:pt>
                <c:pt idx="105">
                  <c:v>926</c:v>
                </c:pt>
                <c:pt idx="106">
                  <c:v>926</c:v>
                </c:pt>
                <c:pt idx="107">
                  <c:v>926</c:v>
                </c:pt>
                <c:pt idx="108">
                  <c:v>926</c:v>
                </c:pt>
                <c:pt idx="109">
                  <c:v>926</c:v>
                </c:pt>
                <c:pt idx="110">
                  <c:v>926</c:v>
                </c:pt>
                <c:pt idx="111">
                  <c:v>926</c:v>
                </c:pt>
                <c:pt idx="112">
                  <c:v>926</c:v>
                </c:pt>
                <c:pt idx="113">
                  <c:v>926</c:v>
                </c:pt>
                <c:pt idx="114">
                  <c:v>926</c:v>
                </c:pt>
                <c:pt idx="115">
                  <c:v>926</c:v>
                </c:pt>
                <c:pt idx="116">
                  <c:v>926</c:v>
                </c:pt>
                <c:pt idx="117">
                  <c:v>926</c:v>
                </c:pt>
                <c:pt idx="118">
                  <c:v>926</c:v>
                </c:pt>
                <c:pt idx="119">
                  <c:v>926</c:v>
                </c:pt>
                <c:pt idx="120">
                  <c:v>926</c:v>
                </c:pt>
                <c:pt idx="121">
                  <c:v>926</c:v>
                </c:pt>
                <c:pt idx="122">
                  <c:v>926</c:v>
                </c:pt>
                <c:pt idx="123">
                  <c:v>926</c:v>
                </c:pt>
                <c:pt idx="124">
                  <c:v>926</c:v>
                </c:pt>
                <c:pt idx="125">
                  <c:v>926</c:v>
                </c:pt>
                <c:pt idx="126">
                  <c:v>926</c:v>
                </c:pt>
                <c:pt idx="127">
                  <c:v>926</c:v>
                </c:pt>
                <c:pt idx="128">
                  <c:v>926</c:v>
                </c:pt>
                <c:pt idx="129">
                  <c:v>926</c:v>
                </c:pt>
                <c:pt idx="130">
                  <c:v>926</c:v>
                </c:pt>
                <c:pt idx="131">
                  <c:v>926</c:v>
                </c:pt>
                <c:pt idx="132">
                  <c:v>926</c:v>
                </c:pt>
                <c:pt idx="133">
                  <c:v>926</c:v>
                </c:pt>
                <c:pt idx="134">
                  <c:v>926</c:v>
                </c:pt>
                <c:pt idx="135">
                  <c:v>926</c:v>
                </c:pt>
                <c:pt idx="136">
                  <c:v>926</c:v>
                </c:pt>
                <c:pt idx="137">
                  <c:v>926</c:v>
                </c:pt>
                <c:pt idx="138">
                  <c:v>926</c:v>
                </c:pt>
                <c:pt idx="139">
                  <c:v>926</c:v>
                </c:pt>
                <c:pt idx="140">
                  <c:v>926</c:v>
                </c:pt>
                <c:pt idx="141">
                  <c:v>926</c:v>
                </c:pt>
                <c:pt idx="142">
                  <c:v>926</c:v>
                </c:pt>
                <c:pt idx="143">
                  <c:v>926</c:v>
                </c:pt>
                <c:pt idx="144">
                  <c:v>926</c:v>
                </c:pt>
                <c:pt idx="145">
                  <c:v>926</c:v>
                </c:pt>
                <c:pt idx="146">
                  <c:v>926</c:v>
                </c:pt>
                <c:pt idx="147">
                  <c:v>926</c:v>
                </c:pt>
                <c:pt idx="148">
                  <c:v>926</c:v>
                </c:pt>
                <c:pt idx="149">
                  <c:v>926</c:v>
                </c:pt>
                <c:pt idx="150">
                  <c:v>926</c:v>
                </c:pt>
                <c:pt idx="151">
                  <c:v>926</c:v>
                </c:pt>
                <c:pt idx="152">
                  <c:v>926</c:v>
                </c:pt>
                <c:pt idx="153">
                  <c:v>926</c:v>
                </c:pt>
                <c:pt idx="154">
                  <c:v>926</c:v>
                </c:pt>
                <c:pt idx="155">
                  <c:v>926</c:v>
                </c:pt>
                <c:pt idx="156">
                  <c:v>926</c:v>
                </c:pt>
                <c:pt idx="157">
                  <c:v>926</c:v>
                </c:pt>
                <c:pt idx="158">
                  <c:v>926</c:v>
                </c:pt>
                <c:pt idx="159">
                  <c:v>926</c:v>
                </c:pt>
                <c:pt idx="160">
                  <c:v>926</c:v>
                </c:pt>
                <c:pt idx="161">
                  <c:v>926</c:v>
                </c:pt>
                <c:pt idx="162">
                  <c:v>926</c:v>
                </c:pt>
                <c:pt idx="163">
                  <c:v>926</c:v>
                </c:pt>
                <c:pt idx="164">
                  <c:v>926</c:v>
                </c:pt>
                <c:pt idx="165">
                  <c:v>926</c:v>
                </c:pt>
                <c:pt idx="166">
                  <c:v>926</c:v>
                </c:pt>
                <c:pt idx="167">
                  <c:v>926</c:v>
                </c:pt>
                <c:pt idx="168">
                  <c:v>926</c:v>
                </c:pt>
                <c:pt idx="169">
                  <c:v>926</c:v>
                </c:pt>
                <c:pt idx="170">
                  <c:v>926</c:v>
                </c:pt>
                <c:pt idx="171">
                  <c:v>926</c:v>
                </c:pt>
                <c:pt idx="172">
                  <c:v>926</c:v>
                </c:pt>
                <c:pt idx="173">
                  <c:v>926</c:v>
                </c:pt>
                <c:pt idx="174">
                  <c:v>926</c:v>
                </c:pt>
                <c:pt idx="175">
                  <c:v>926</c:v>
                </c:pt>
                <c:pt idx="176">
                  <c:v>926</c:v>
                </c:pt>
                <c:pt idx="177">
                  <c:v>926</c:v>
                </c:pt>
                <c:pt idx="178">
                  <c:v>926</c:v>
                </c:pt>
                <c:pt idx="179">
                  <c:v>926</c:v>
                </c:pt>
                <c:pt idx="180">
                  <c:v>926</c:v>
                </c:pt>
                <c:pt idx="181">
                  <c:v>926</c:v>
                </c:pt>
                <c:pt idx="182">
                  <c:v>926</c:v>
                </c:pt>
                <c:pt idx="183">
                  <c:v>926</c:v>
                </c:pt>
                <c:pt idx="184">
                  <c:v>926</c:v>
                </c:pt>
                <c:pt idx="185">
                  <c:v>926</c:v>
                </c:pt>
                <c:pt idx="186">
                  <c:v>926</c:v>
                </c:pt>
                <c:pt idx="187">
                  <c:v>926</c:v>
                </c:pt>
                <c:pt idx="188">
                  <c:v>926</c:v>
                </c:pt>
                <c:pt idx="189">
                  <c:v>926</c:v>
                </c:pt>
                <c:pt idx="190">
                  <c:v>926</c:v>
                </c:pt>
                <c:pt idx="191">
                  <c:v>926</c:v>
                </c:pt>
                <c:pt idx="192">
                  <c:v>926</c:v>
                </c:pt>
              </c:numCache>
            </c:numRef>
          </c:yVal>
          <c:smooth val="0"/>
        </c:ser>
        <c:ser>
          <c:idx val="1"/>
          <c:order val="1"/>
          <c:tx>
            <c:v>Moggill Vet Res Farm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cumulative!$X$3:$X$195</c:f>
              <c:numCache>
                <c:formatCode>General</c:formatCode>
                <c:ptCount val="19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14</c:v>
                </c:pt>
                <c:pt idx="5">
                  <c:v>19</c:v>
                </c:pt>
                <c:pt idx="6">
                  <c:v>21</c:v>
                </c:pt>
                <c:pt idx="7">
                  <c:v>21</c:v>
                </c:pt>
                <c:pt idx="8">
                  <c:v>29</c:v>
                </c:pt>
                <c:pt idx="9">
                  <c:v>31</c:v>
                </c:pt>
                <c:pt idx="10">
                  <c:v>31</c:v>
                </c:pt>
                <c:pt idx="11">
                  <c:v>32</c:v>
                </c:pt>
                <c:pt idx="12">
                  <c:v>33</c:v>
                </c:pt>
                <c:pt idx="13">
                  <c:v>38</c:v>
                </c:pt>
                <c:pt idx="14">
                  <c:v>40</c:v>
                </c:pt>
                <c:pt idx="15">
                  <c:v>41</c:v>
                </c:pt>
                <c:pt idx="16">
                  <c:v>41</c:v>
                </c:pt>
                <c:pt idx="17">
                  <c:v>41</c:v>
                </c:pt>
                <c:pt idx="18">
                  <c:v>46</c:v>
                </c:pt>
                <c:pt idx="19">
                  <c:v>52</c:v>
                </c:pt>
                <c:pt idx="20">
                  <c:v>60</c:v>
                </c:pt>
                <c:pt idx="21">
                  <c:v>65</c:v>
                </c:pt>
                <c:pt idx="22">
                  <c:v>74</c:v>
                </c:pt>
                <c:pt idx="23">
                  <c:v>80</c:v>
                </c:pt>
                <c:pt idx="24">
                  <c:v>84</c:v>
                </c:pt>
                <c:pt idx="25">
                  <c:v>107</c:v>
                </c:pt>
                <c:pt idx="26">
                  <c:v>132</c:v>
                </c:pt>
                <c:pt idx="27">
                  <c:v>154</c:v>
                </c:pt>
                <c:pt idx="28">
                  <c:v>165</c:v>
                </c:pt>
                <c:pt idx="29">
                  <c:v>170</c:v>
                </c:pt>
                <c:pt idx="30">
                  <c:v>171</c:v>
                </c:pt>
                <c:pt idx="31">
                  <c:v>173</c:v>
                </c:pt>
                <c:pt idx="32">
                  <c:v>174</c:v>
                </c:pt>
                <c:pt idx="33">
                  <c:v>181</c:v>
                </c:pt>
                <c:pt idx="34">
                  <c:v>183</c:v>
                </c:pt>
                <c:pt idx="35">
                  <c:v>197</c:v>
                </c:pt>
                <c:pt idx="36">
                  <c:v>222</c:v>
                </c:pt>
                <c:pt idx="37">
                  <c:v>249</c:v>
                </c:pt>
                <c:pt idx="38">
                  <c:v>268</c:v>
                </c:pt>
                <c:pt idx="39">
                  <c:v>325</c:v>
                </c:pt>
                <c:pt idx="40">
                  <c:v>372</c:v>
                </c:pt>
                <c:pt idx="41">
                  <c:v>412</c:v>
                </c:pt>
                <c:pt idx="42">
                  <c:v>450</c:v>
                </c:pt>
                <c:pt idx="43">
                  <c:v>455</c:v>
                </c:pt>
                <c:pt idx="44">
                  <c:v>460</c:v>
                </c:pt>
                <c:pt idx="45">
                  <c:v>471</c:v>
                </c:pt>
                <c:pt idx="46">
                  <c:v>482</c:v>
                </c:pt>
                <c:pt idx="47">
                  <c:v>485</c:v>
                </c:pt>
                <c:pt idx="48">
                  <c:v>495</c:v>
                </c:pt>
                <c:pt idx="49">
                  <c:v>498</c:v>
                </c:pt>
                <c:pt idx="50">
                  <c:v>499</c:v>
                </c:pt>
                <c:pt idx="51">
                  <c:v>499</c:v>
                </c:pt>
                <c:pt idx="52">
                  <c:v>499</c:v>
                </c:pt>
                <c:pt idx="53">
                  <c:v>501</c:v>
                </c:pt>
                <c:pt idx="54">
                  <c:v>501</c:v>
                </c:pt>
                <c:pt idx="55">
                  <c:v>504</c:v>
                </c:pt>
                <c:pt idx="56">
                  <c:v>506</c:v>
                </c:pt>
                <c:pt idx="57">
                  <c:v>508</c:v>
                </c:pt>
                <c:pt idx="58">
                  <c:v>517</c:v>
                </c:pt>
                <c:pt idx="59">
                  <c:v>541</c:v>
                </c:pt>
                <c:pt idx="60">
                  <c:v>553</c:v>
                </c:pt>
                <c:pt idx="61">
                  <c:v>573</c:v>
                </c:pt>
                <c:pt idx="62">
                  <c:v>592</c:v>
                </c:pt>
                <c:pt idx="63">
                  <c:v>613</c:v>
                </c:pt>
                <c:pt idx="64">
                  <c:v>633</c:v>
                </c:pt>
                <c:pt idx="65">
                  <c:v>655</c:v>
                </c:pt>
                <c:pt idx="66">
                  <c:v>677</c:v>
                </c:pt>
                <c:pt idx="67">
                  <c:v>690</c:v>
                </c:pt>
                <c:pt idx="68">
                  <c:v>699</c:v>
                </c:pt>
                <c:pt idx="69">
                  <c:v>702</c:v>
                </c:pt>
                <c:pt idx="70">
                  <c:v>704</c:v>
                </c:pt>
                <c:pt idx="71">
                  <c:v>710</c:v>
                </c:pt>
                <c:pt idx="72">
                  <c:v>716</c:v>
                </c:pt>
                <c:pt idx="73">
                  <c:v>723</c:v>
                </c:pt>
                <c:pt idx="74">
                  <c:v>727</c:v>
                </c:pt>
                <c:pt idx="75">
                  <c:v>729</c:v>
                </c:pt>
                <c:pt idx="76">
                  <c:v>738</c:v>
                </c:pt>
                <c:pt idx="77">
                  <c:v>743</c:v>
                </c:pt>
                <c:pt idx="78">
                  <c:v>750</c:v>
                </c:pt>
                <c:pt idx="79">
                  <c:v>754</c:v>
                </c:pt>
                <c:pt idx="80">
                  <c:v>760</c:v>
                </c:pt>
                <c:pt idx="81">
                  <c:v>762</c:v>
                </c:pt>
                <c:pt idx="82">
                  <c:v>763</c:v>
                </c:pt>
                <c:pt idx="83">
                  <c:v>764</c:v>
                </c:pt>
                <c:pt idx="84">
                  <c:v>765</c:v>
                </c:pt>
                <c:pt idx="85">
                  <c:v>765</c:v>
                </c:pt>
                <c:pt idx="86">
                  <c:v>766</c:v>
                </c:pt>
                <c:pt idx="87">
                  <c:v>767</c:v>
                </c:pt>
                <c:pt idx="88">
                  <c:v>769</c:v>
                </c:pt>
                <c:pt idx="89">
                  <c:v>770</c:v>
                </c:pt>
                <c:pt idx="90">
                  <c:v>772</c:v>
                </c:pt>
                <c:pt idx="91">
                  <c:v>783</c:v>
                </c:pt>
                <c:pt idx="92">
                  <c:v>786</c:v>
                </c:pt>
                <c:pt idx="93">
                  <c:v>786</c:v>
                </c:pt>
                <c:pt idx="94">
                  <c:v>786</c:v>
                </c:pt>
                <c:pt idx="95">
                  <c:v>786</c:v>
                </c:pt>
                <c:pt idx="96">
                  <c:v>786</c:v>
                </c:pt>
                <c:pt idx="97">
                  <c:v>786</c:v>
                </c:pt>
                <c:pt idx="98">
                  <c:v>786</c:v>
                </c:pt>
                <c:pt idx="99">
                  <c:v>786</c:v>
                </c:pt>
                <c:pt idx="100">
                  <c:v>786</c:v>
                </c:pt>
                <c:pt idx="101">
                  <c:v>786</c:v>
                </c:pt>
                <c:pt idx="102">
                  <c:v>786</c:v>
                </c:pt>
                <c:pt idx="103">
                  <c:v>786</c:v>
                </c:pt>
                <c:pt idx="104">
                  <c:v>786</c:v>
                </c:pt>
                <c:pt idx="105">
                  <c:v>786</c:v>
                </c:pt>
                <c:pt idx="106">
                  <c:v>786</c:v>
                </c:pt>
                <c:pt idx="107">
                  <c:v>786</c:v>
                </c:pt>
                <c:pt idx="108">
                  <c:v>786</c:v>
                </c:pt>
                <c:pt idx="109">
                  <c:v>786</c:v>
                </c:pt>
                <c:pt idx="110">
                  <c:v>786</c:v>
                </c:pt>
                <c:pt idx="111">
                  <c:v>786</c:v>
                </c:pt>
                <c:pt idx="112">
                  <c:v>786</c:v>
                </c:pt>
                <c:pt idx="113">
                  <c:v>786</c:v>
                </c:pt>
                <c:pt idx="114">
                  <c:v>786</c:v>
                </c:pt>
                <c:pt idx="115">
                  <c:v>786</c:v>
                </c:pt>
                <c:pt idx="116">
                  <c:v>786</c:v>
                </c:pt>
                <c:pt idx="117">
                  <c:v>786</c:v>
                </c:pt>
                <c:pt idx="118">
                  <c:v>786</c:v>
                </c:pt>
                <c:pt idx="119">
                  <c:v>786</c:v>
                </c:pt>
                <c:pt idx="120">
                  <c:v>786</c:v>
                </c:pt>
                <c:pt idx="121">
                  <c:v>786</c:v>
                </c:pt>
                <c:pt idx="122">
                  <c:v>786</c:v>
                </c:pt>
                <c:pt idx="123">
                  <c:v>786</c:v>
                </c:pt>
                <c:pt idx="124">
                  <c:v>786</c:v>
                </c:pt>
                <c:pt idx="125">
                  <c:v>786</c:v>
                </c:pt>
                <c:pt idx="126">
                  <c:v>786</c:v>
                </c:pt>
                <c:pt idx="127">
                  <c:v>786</c:v>
                </c:pt>
                <c:pt idx="128">
                  <c:v>786</c:v>
                </c:pt>
                <c:pt idx="129">
                  <c:v>786</c:v>
                </c:pt>
                <c:pt idx="130">
                  <c:v>786</c:v>
                </c:pt>
                <c:pt idx="131">
                  <c:v>786</c:v>
                </c:pt>
                <c:pt idx="132">
                  <c:v>786</c:v>
                </c:pt>
                <c:pt idx="133">
                  <c:v>786</c:v>
                </c:pt>
                <c:pt idx="134">
                  <c:v>786</c:v>
                </c:pt>
                <c:pt idx="135">
                  <c:v>786</c:v>
                </c:pt>
                <c:pt idx="136">
                  <c:v>786</c:v>
                </c:pt>
                <c:pt idx="137">
                  <c:v>786</c:v>
                </c:pt>
                <c:pt idx="138">
                  <c:v>786</c:v>
                </c:pt>
                <c:pt idx="139">
                  <c:v>786</c:v>
                </c:pt>
                <c:pt idx="140">
                  <c:v>786</c:v>
                </c:pt>
                <c:pt idx="141">
                  <c:v>786</c:v>
                </c:pt>
                <c:pt idx="142">
                  <c:v>786</c:v>
                </c:pt>
                <c:pt idx="143">
                  <c:v>786</c:v>
                </c:pt>
                <c:pt idx="144">
                  <c:v>786</c:v>
                </c:pt>
                <c:pt idx="145">
                  <c:v>786</c:v>
                </c:pt>
                <c:pt idx="146">
                  <c:v>786</c:v>
                </c:pt>
                <c:pt idx="147">
                  <c:v>786</c:v>
                </c:pt>
                <c:pt idx="148">
                  <c:v>786</c:v>
                </c:pt>
                <c:pt idx="149">
                  <c:v>786</c:v>
                </c:pt>
                <c:pt idx="150">
                  <c:v>786</c:v>
                </c:pt>
                <c:pt idx="151">
                  <c:v>786</c:v>
                </c:pt>
                <c:pt idx="152">
                  <c:v>786</c:v>
                </c:pt>
                <c:pt idx="153">
                  <c:v>786</c:v>
                </c:pt>
                <c:pt idx="154">
                  <c:v>786</c:v>
                </c:pt>
                <c:pt idx="155">
                  <c:v>786</c:v>
                </c:pt>
                <c:pt idx="156">
                  <c:v>786</c:v>
                </c:pt>
                <c:pt idx="157">
                  <c:v>786</c:v>
                </c:pt>
                <c:pt idx="158">
                  <c:v>786</c:v>
                </c:pt>
                <c:pt idx="159">
                  <c:v>786</c:v>
                </c:pt>
                <c:pt idx="160">
                  <c:v>786</c:v>
                </c:pt>
                <c:pt idx="161">
                  <c:v>786</c:v>
                </c:pt>
                <c:pt idx="162">
                  <c:v>786</c:v>
                </c:pt>
                <c:pt idx="163">
                  <c:v>786</c:v>
                </c:pt>
                <c:pt idx="164">
                  <c:v>786</c:v>
                </c:pt>
                <c:pt idx="165">
                  <c:v>786</c:v>
                </c:pt>
                <c:pt idx="166">
                  <c:v>786</c:v>
                </c:pt>
                <c:pt idx="167">
                  <c:v>786</c:v>
                </c:pt>
                <c:pt idx="168">
                  <c:v>786</c:v>
                </c:pt>
                <c:pt idx="169">
                  <c:v>786</c:v>
                </c:pt>
                <c:pt idx="170">
                  <c:v>786</c:v>
                </c:pt>
                <c:pt idx="171">
                  <c:v>786</c:v>
                </c:pt>
                <c:pt idx="172">
                  <c:v>786</c:v>
                </c:pt>
                <c:pt idx="173">
                  <c:v>786</c:v>
                </c:pt>
                <c:pt idx="174">
                  <c:v>786</c:v>
                </c:pt>
                <c:pt idx="175">
                  <c:v>786</c:v>
                </c:pt>
                <c:pt idx="176">
                  <c:v>786</c:v>
                </c:pt>
                <c:pt idx="177">
                  <c:v>786</c:v>
                </c:pt>
                <c:pt idx="178">
                  <c:v>786</c:v>
                </c:pt>
                <c:pt idx="179">
                  <c:v>786</c:v>
                </c:pt>
                <c:pt idx="180">
                  <c:v>786</c:v>
                </c:pt>
                <c:pt idx="181">
                  <c:v>786</c:v>
                </c:pt>
                <c:pt idx="182">
                  <c:v>786</c:v>
                </c:pt>
                <c:pt idx="183">
                  <c:v>786</c:v>
                </c:pt>
                <c:pt idx="184">
                  <c:v>786</c:v>
                </c:pt>
                <c:pt idx="185">
                  <c:v>786</c:v>
                </c:pt>
                <c:pt idx="186">
                  <c:v>786</c:v>
                </c:pt>
                <c:pt idx="187">
                  <c:v>786</c:v>
                </c:pt>
                <c:pt idx="188">
                  <c:v>786</c:v>
                </c:pt>
                <c:pt idx="189">
                  <c:v>786</c:v>
                </c:pt>
                <c:pt idx="190">
                  <c:v>786</c:v>
                </c:pt>
                <c:pt idx="191">
                  <c:v>786</c:v>
                </c:pt>
                <c:pt idx="192">
                  <c:v>786</c:v>
                </c:pt>
              </c:numCache>
            </c:numRef>
          </c:yVal>
          <c:smooth val="0"/>
        </c:ser>
        <c:ser>
          <c:idx val="2"/>
          <c:order val="2"/>
          <c:tx>
            <c:v>Wacol DPI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cumulative!$Y$3:$Y$195</c:f>
              <c:numCache>
                <c:formatCode>General</c:formatCode>
                <c:ptCount val="1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17</c:v>
                </c:pt>
                <c:pt idx="8">
                  <c:v>23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27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36</c:v>
                </c:pt>
                <c:pt idx="18">
                  <c:v>39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62</c:v>
                </c:pt>
                <c:pt idx="23">
                  <c:v>69</c:v>
                </c:pt>
                <c:pt idx="24">
                  <c:v>72</c:v>
                </c:pt>
                <c:pt idx="25">
                  <c:v>84</c:v>
                </c:pt>
                <c:pt idx="26">
                  <c:v>109</c:v>
                </c:pt>
                <c:pt idx="27">
                  <c:v>125</c:v>
                </c:pt>
                <c:pt idx="28">
                  <c:v>137</c:v>
                </c:pt>
                <c:pt idx="29">
                  <c:v>140</c:v>
                </c:pt>
                <c:pt idx="30">
                  <c:v>141</c:v>
                </c:pt>
                <c:pt idx="31">
                  <c:v>144</c:v>
                </c:pt>
                <c:pt idx="32">
                  <c:v>144</c:v>
                </c:pt>
                <c:pt idx="33">
                  <c:v>148</c:v>
                </c:pt>
                <c:pt idx="34">
                  <c:v>149</c:v>
                </c:pt>
                <c:pt idx="35">
                  <c:v>161</c:v>
                </c:pt>
                <c:pt idx="36">
                  <c:v>179</c:v>
                </c:pt>
                <c:pt idx="37">
                  <c:v>199</c:v>
                </c:pt>
                <c:pt idx="38">
                  <c:v>214</c:v>
                </c:pt>
                <c:pt idx="39">
                  <c:v>234</c:v>
                </c:pt>
                <c:pt idx="40">
                  <c:v>272</c:v>
                </c:pt>
                <c:pt idx="41">
                  <c:v>301</c:v>
                </c:pt>
                <c:pt idx="42">
                  <c:v>330</c:v>
                </c:pt>
                <c:pt idx="43">
                  <c:v>344</c:v>
                </c:pt>
                <c:pt idx="44">
                  <c:v>350</c:v>
                </c:pt>
                <c:pt idx="45">
                  <c:v>360</c:v>
                </c:pt>
                <c:pt idx="46">
                  <c:v>370</c:v>
                </c:pt>
                <c:pt idx="47">
                  <c:v>372</c:v>
                </c:pt>
                <c:pt idx="48">
                  <c:v>384</c:v>
                </c:pt>
                <c:pt idx="49">
                  <c:v>388</c:v>
                </c:pt>
                <c:pt idx="50">
                  <c:v>389</c:v>
                </c:pt>
                <c:pt idx="51">
                  <c:v>389</c:v>
                </c:pt>
                <c:pt idx="52">
                  <c:v>393</c:v>
                </c:pt>
                <c:pt idx="53">
                  <c:v>394</c:v>
                </c:pt>
                <c:pt idx="54">
                  <c:v>397</c:v>
                </c:pt>
                <c:pt idx="55">
                  <c:v>400</c:v>
                </c:pt>
                <c:pt idx="56">
                  <c:v>403</c:v>
                </c:pt>
                <c:pt idx="57">
                  <c:v>412</c:v>
                </c:pt>
                <c:pt idx="58">
                  <c:v>430</c:v>
                </c:pt>
                <c:pt idx="59">
                  <c:v>445</c:v>
                </c:pt>
                <c:pt idx="60">
                  <c:v>458</c:v>
                </c:pt>
                <c:pt idx="61">
                  <c:v>478</c:v>
                </c:pt>
                <c:pt idx="62">
                  <c:v>497</c:v>
                </c:pt>
                <c:pt idx="63">
                  <c:v>513</c:v>
                </c:pt>
                <c:pt idx="64">
                  <c:v>528</c:v>
                </c:pt>
                <c:pt idx="65">
                  <c:v>542</c:v>
                </c:pt>
                <c:pt idx="66">
                  <c:v>549</c:v>
                </c:pt>
                <c:pt idx="67">
                  <c:v>552</c:v>
                </c:pt>
                <c:pt idx="68">
                  <c:v>554</c:v>
                </c:pt>
                <c:pt idx="69">
                  <c:v>558</c:v>
                </c:pt>
                <c:pt idx="70">
                  <c:v>560</c:v>
                </c:pt>
                <c:pt idx="71">
                  <c:v>569</c:v>
                </c:pt>
                <c:pt idx="72">
                  <c:v>574</c:v>
                </c:pt>
                <c:pt idx="73">
                  <c:v>577</c:v>
                </c:pt>
                <c:pt idx="74">
                  <c:v>580</c:v>
                </c:pt>
                <c:pt idx="75">
                  <c:v>583</c:v>
                </c:pt>
                <c:pt idx="76">
                  <c:v>591</c:v>
                </c:pt>
                <c:pt idx="77">
                  <c:v>594</c:v>
                </c:pt>
                <c:pt idx="78">
                  <c:v>600</c:v>
                </c:pt>
                <c:pt idx="79">
                  <c:v>602</c:v>
                </c:pt>
                <c:pt idx="80">
                  <c:v>605</c:v>
                </c:pt>
                <c:pt idx="81">
                  <c:v>606</c:v>
                </c:pt>
                <c:pt idx="82">
                  <c:v>607</c:v>
                </c:pt>
                <c:pt idx="83">
                  <c:v>608</c:v>
                </c:pt>
                <c:pt idx="84">
                  <c:v>608</c:v>
                </c:pt>
                <c:pt idx="85">
                  <c:v>608</c:v>
                </c:pt>
                <c:pt idx="86">
                  <c:v>609</c:v>
                </c:pt>
                <c:pt idx="87">
                  <c:v>610</c:v>
                </c:pt>
                <c:pt idx="88">
                  <c:v>611</c:v>
                </c:pt>
                <c:pt idx="89">
                  <c:v>611</c:v>
                </c:pt>
                <c:pt idx="90">
                  <c:v>615</c:v>
                </c:pt>
                <c:pt idx="91">
                  <c:v>617</c:v>
                </c:pt>
                <c:pt idx="92">
                  <c:v>617</c:v>
                </c:pt>
                <c:pt idx="93">
                  <c:v>617</c:v>
                </c:pt>
                <c:pt idx="94">
                  <c:v>617</c:v>
                </c:pt>
                <c:pt idx="95">
                  <c:v>618</c:v>
                </c:pt>
                <c:pt idx="96">
                  <c:v>618</c:v>
                </c:pt>
                <c:pt idx="97">
                  <c:v>618</c:v>
                </c:pt>
                <c:pt idx="98">
                  <c:v>618</c:v>
                </c:pt>
                <c:pt idx="99">
                  <c:v>618</c:v>
                </c:pt>
                <c:pt idx="100">
                  <c:v>618</c:v>
                </c:pt>
                <c:pt idx="101">
                  <c:v>618</c:v>
                </c:pt>
                <c:pt idx="102">
                  <c:v>618</c:v>
                </c:pt>
                <c:pt idx="103">
                  <c:v>618</c:v>
                </c:pt>
                <c:pt idx="104">
                  <c:v>618</c:v>
                </c:pt>
                <c:pt idx="105">
                  <c:v>618</c:v>
                </c:pt>
                <c:pt idx="106">
                  <c:v>618</c:v>
                </c:pt>
                <c:pt idx="107">
                  <c:v>618</c:v>
                </c:pt>
                <c:pt idx="108">
                  <c:v>618</c:v>
                </c:pt>
                <c:pt idx="109">
                  <c:v>618</c:v>
                </c:pt>
                <c:pt idx="110">
                  <c:v>618</c:v>
                </c:pt>
                <c:pt idx="111">
                  <c:v>618</c:v>
                </c:pt>
                <c:pt idx="112">
                  <c:v>618</c:v>
                </c:pt>
                <c:pt idx="113">
                  <c:v>618</c:v>
                </c:pt>
                <c:pt idx="114">
                  <c:v>618</c:v>
                </c:pt>
                <c:pt idx="115">
                  <c:v>618</c:v>
                </c:pt>
                <c:pt idx="116">
                  <c:v>618</c:v>
                </c:pt>
                <c:pt idx="117">
                  <c:v>618</c:v>
                </c:pt>
                <c:pt idx="118">
                  <c:v>618</c:v>
                </c:pt>
                <c:pt idx="119">
                  <c:v>618</c:v>
                </c:pt>
                <c:pt idx="120">
                  <c:v>618</c:v>
                </c:pt>
                <c:pt idx="121">
                  <c:v>618</c:v>
                </c:pt>
                <c:pt idx="122">
                  <c:v>618</c:v>
                </c:pt>
                <c:pt idx="123">
                  <c:v>618</c:v>
                </c:pt>
                <c:pt idx="124">
                  <c:v>618</c:v>
                </c:pt>
                <c:pt idx="125">
                  <c:v>618</c:v>
                </c:pt>
                <c:pt idx="126">
                  <c:v>618</c:v>
                </c:pt>
                <c:pt idx="127">
                  <c:v>618</c:v>
                </c:pt>
                <c:pt idx="128">
                  <c:v>618</c:v>
                </c:pt>
                <c:pt idx="129">
                  <c:v>618</c:v>
                </c:pt>
                <c:pt idx="130">
                  <c:v>618</c:v>
                </c:pt>
                <c:pt idx="131">
                  <c:v>618</c:v>
                </c:pt>
                <c:pt idx="132">
                  <c:v>618</c:v>
                </c:pt>
                <c:pt idx="133">
                  <c:v>618</c:v>
                </c:pt>
                <c:pt idx="134">
                  <c:v>618</c:v>
                </c:pt>
                <c:pt idx="135">
                  <c:v>618</c:v>
                </c:pt>
                <c:pt idx="136">
                  <c:v>618</c:v>
                </c:pt>
                <c:pt idx="137">
                  <c:v>618</c:v>
                </c:pt>
                <c:pt idx="138">
                  <c:v>618</c:v>
                </c:pt>
                <c:pt idx="139">
                  <c:v>618</c:v>
                </c:pt>
                <c:pt idx="140">
                  <c:v>618</c:v>
                </c:pt>
                <c:pt idx="141">
                  <c:v>618</c:v>
                </c:pt>
                <c:pt idx="142">
                  <c:v>618</c:v>
                </c:pt>
                <c:pt idx="143">
                  <c:v>618</c:v>
                </c:pt>
                <c:pt idx="144">
                  <c:v>618</c:v>
                </c:pt>
                <c:pt idx="145">
                  <c:v>618</c:v>
                </c:pt>
                <c:pt idx="146">
                  <c:v>618</c:v>
                </c:pt>
                <c:pt idx="147">
                  <c:v>618</c:v>
                </c:pt>
                <c:pt idx="148">
                  <c:v>618</c:v>
                </c:pt>
                <c:pt idx="149">
                  <c:v>618</c:v>
                </c:pt>
                <c:pt idx="150">
                  <c:v>618</c:v>
                </c:pt>
                <c:pt idx="151">
                  <c:v>618</c:v>
                </c:pt>
                <c:pt idx="152">
                  <c:v>618</c:v>
                </c:pt>
                <c:pt idx="153">
                  <c:v>618</c:v>
                </c:pt>
                <c:pt idx="154">
                  <c:v>618</c:v>
                </c:pt>
                <c:pt idx="155">
                  <c:v>618</c:v>
                </c:pt>
                <c:pt idx="156">
                  <c:v>618</c:v>
                </c:pt>
                <c:pt idx="157">
                  <c:v>618</c:v>
                </c:pt>
                <c:pt idx="158">
                  <c:v>618</c:v>
                </c:pt>
                <c:pt idx="159">
                  <c:v>618</c:v>
                </c:pt>
                <c:pt idx="160">
                  <c:v>618</c:v>
                </c:pt>
                <c:pt idx="161">
                  <c:v>618</c:v>
                </c:pt>
                <c:pt idx="162">
                  <c:v>618</c:v>
                </c:pt>
                <c:pt idx="163">
                  <c:v>618</c:v>
                </c:pt>
                <c:pt idx="164">
                  <c:v>618</c:v>
                </c:pt>
                <c:pt idx="165">
                  <c:v>618</c:v>
                </c:pt>
                <c:pt idx="166">
                  <c:v>618</c:v>
                </c:pt>
                <c:pt idx="167">
                  <c:v>618</c:v>
                </c:pt>
                <c:pt idx="168">
                  <c:v>618</c:v>
                </c:pt>
                <c:pt idx="169">
                  <c:v>618</c:v>
                </c:pt>
                <c:pt idx="170">
                  <c:v>618</c:v>
                </c:pt>
                <c:pt idx="171">
                  <c:v>618</c:v>
                </c:pt>
                <c:pt idx="172">
                  <c:v>618</c:v>
                </c:pt>
                <c:pt idx="173">
                  <c:v>618</c:v>
                </c:pt>
                <c:pt idx="174">
                  <c:v>618</c:v>
                </c:pt>
                <c:pt idx="175">
                  <c:v>618</c:v>
                </c:pt>
                <c:pt idx="176">
                  <c:v>618</c:v>
                </c:pt>
                <c:pt idx="177">
                  <c:v>618</c:v>
                </c:pt>
                <c:pt idx="178">
                  <c:v>618</c:v>
                </c:pt>
                <c:pt idx="179">
                  <c:v>618</c:v>
                </c:pt>
                <c:pt idx="180">
                  <c:v>618</c:v>
                </c:pt>
                <c:pt idx="181">
                  <c:v>618</c:v>
                </c:pt>
                <c:pt idx="182">
                  <c:v>618</c:v>
                </c:pt>
                <c:pt idx="183">
                  <c:v>618</c:v>
                </c:pt>
                <c:pt idx="184">
                  <c:v>618</c:v>
                </c:pt>
                <c:pt idx="185">
                  <c:v>618</c:v>
                </c:pt>
                <c:pt idx="186">
                  <c:v>618</c:v>
                </c:pt>
                <c:pt idx="187">
                  <c:v>618</c:v>
                </c:pt>
                <c:pt idx="188">
                  <c:v>618</c:v>
                </c:pt>
                <c:pt idx="189">
                  <c:v>618</c:v>
                </c:pt>
                <c:pt idx="190">
                  <c:v>618</c:v>
                </c:pt>
                <c:pt idx="191">
                  <c:v>618</c:v>
                </c:pt>
                <c:pt idx="192">
                  <c:v>618</c:v>
                </c:pt>
              </c:numCache>
            </c:numRef>
          </c:yVal>
          <c:smooth val="0"/>
        </c:ser>
        <c:ser>
          <c:idx val="3"/>
          <c:order val="3"/>
          <c:tx>
            <c:v>Mt Coot Tha Abq two Bcc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cumulative!$Z$3:$Z$195</c:f>
              <c:numCache>
                <c:formatCode>General</c:formatCode>
                <c:ptCount val="193"/>
                <c:pt idx="0">
                  <c:v>0</c:v>
                </c:pt>
                <c:pt idx="1">
                  <c:v>0</c:v>
                </c:pt>
                <c:pt idx="2">
                  <c:v>0.85</c:v>
                </c:pt>
                <c:pt idx="3">
                  <c:v>6.0699999999999994</c:v>
                </c:pt>
                <c:pt idx="4">
                  <c:v>12.8</c:v>
                </c:pt>
                <c:pt idx="5">
                  <c:v>13.9</c:v>
                </c:pt>
                <c:pt idx="6">
                  <c:v>13.99</c:v>
                </c:pt>
                <c:pt idx="7">
                  <c:v>14.6</c:v>
                </c:pt>
                <c:pt idx="8">
                  <c:v>15.219999999999999</c:v>
                </c:pt>
                <c:pt idx="9">
                  <c:v>20.14</c:v>
                </c:pt>
                <c:pt idx="10">
                  <c:v>20.400000000000002</c:v>
                </c:pt>
                <c:pt idx="11">
                  <c:v>23.630000000000003</c:v>
                </c:pt>
                <c:pt idx="12">
                  <c:v>26.880000000000003</c:v>
                </c:pt>
                <c:pt idx="13">
                  <c:v>30.000000000000004</c:v>
                </c:pt>
                <c:pt idx="14">
                  <c:v>31.900000000000002</c:v>
                </c:pt>
                <c:pt idx="15">
                  <c:v>34.32</c:v>
                </c:pt>
                <c:pt idx="16">
                  <c:v>34.979999999999997</c:v>
                </c:pt>
                <c:pt idx="17">
                  <c:v>37.049999999999997</c:v>
                </c:pt>
                <c:pt idx="18">
                  <c:v>44.419999999999995</c:v>
                </c:pt>
                <c:pt idx="19">
                  <c:v>50.279999999999994</c:v>
                </c:pt>
                <c:pt idx="20">
                  <c:v>64.19</c:v>
                </c:pt>
                <c:pt idx="21">
                  <c:v>72.599999999999994</c:v>
                </c:pt>
                <c:pt idx="22">
                  <c:v>88.36999999999999</c:v>
                </c:pt>
                <c:pt idx="23">
                  <c:v>101.60999999999999</c:v>
                </c:pt>
                <c:pt idx="24">
                  <c:v>109.99999999999999</c:v>
                </c:pt>
                <c:pt idx="25">
                  <c:v>139.04</c:v>
                </c:pt>
                <c:pt idx="26">
                  <c:v>171.10999999999999</c:v>
                </c:pt>
                <c:pt idx="27">
                  <c:v>199.69</c:v>
                </c:pt>
                <c:pt idx="28">
                  <c:v>223.86</c:v>
                </c:pt>
                <c:pt idx="29">
                  <c:v>233.35000000000002</c:v>
                </c:pt>
                <c:pt idx="30">
                  <c:v>241.61</c:v>
                </c:pt>
                <c:pt idx="31">
                  <c:v>242.15</c:v>
                </c:pt>
                <c:pt idx="32">
                  <c:v>244.28</c:v>
                </c:pt>
                <c:pt idx="33">
                  <c:v>247.55</c:v>
                </c:pt>
                <c:pt idx="34">
                  <c:v>253.08</c:v>
                </c:pt>
                <c:pt idx="35">
                  <c:v>267.94</c:v>
                </c:pt>
                <c:pt idx="36">
                  <c:v>285.95999999999998</c:v>
                </c:pt>
                <c:pt idx="37">
                  <c:v>324.39</c:v>
                </c:pt>
                <c:pt idx="38">
                  <c:v>369.53999999999996</c:v>
                </c:pt>
                <c:pt idx="39">
                  <c:v>423.21999999999997</c:v>
                </c:pt>
                <c:pt idx="40">
                  <c:v>478.51</c:v>
                </c:pt>
                <c:pt idx="41">
                  <c:v>503.98</c:v>
                </c:pt>
                <c:pt idx="42">
                  <c:v>508.20000000000005</c:v>
                </c:pt>
                <c:pt idx="43">
                  <c:v>514.75</c:v>
                </c:pt>
                <c:pt idx="44">
                  <c:v>518.13</c:v>
                </c:pt>
                <c:pt idx="45">
                  <c:v>528.70000000000005</c:v>
                </c:pt>
                <c:pt idx="46">
                  <c:v>543.96</c:v>
                </c:pt>
                <c:pt idx="47">
                  <c:v>547.83000000000004</c:v>
                </c:pt>
                <c:pt idx="48">
                  <c:v>555.97</c:v>
                </c:pt>
                <c:pt idx="49">
                  <c:v>557.75</c:v>
                </c:pt>
                <c:pt idx="50">
                  <c:v>558.61</c:v>
                </c:pt>
                <c:pt idx="51">
                  <c:v>559.79</c:v>
                </c:pt>
                <c:pt idx="52">
                  <c:v>561.59999999999991</c:v>
                </c:pt>
                <c:pt idx="53">
                  <c:v>561.59999999999991</c:v>
                </c:pt>
                <c:pt idx="54">
                  <c:v>563.79999999999995</c:v>
                </c:pt>
                <c:pt idx="55">
                  <c:v>564.59999999999991</c:v>
                </c:pt>
                <c:pt idx="56">
                  <c:v>567.84999999999991</c:v>
                </c:pt>
                <c:pt idx="57">
                  <c:v>587.76999999999987</c:v>
                </c:pt>
                <c:pt idx="58">
                  <c:v>608.6099999999999</c:v>
                </c:pt>
                <c:pt idx="59">
                  <c:v>620.81999999999994</c:v>
                </c:pt>
                <c:pt idx="60">
                  <c:v>643.53</c:v>
                </c:pt>
                <c:pt idx="61">
                  <c:v>663.88</c:v>
                </c:pt>
                <c:pt idx="62">
                  <c:v>682.36</c:v>
                </c:pt>
                <c:pt idx="63">
                  <c:v>700.18000000000006</c:v>
                </c:pt>
                <c:pt idx="64">
                  <c:v>722.2700000000001</c:v>
                </c:pt>
                <c:pt idx="65">
                  <c:v>730.38000000000011</c:v>
                </c:pt>
                <c:pt idx="66">
                  <c:v>742.8900000000001</c:v>
                </c:pt>
                <c:pt idx="67">
                  <c:v>749.53000000000009</c:v>
                </c:pt>
                <c:pt idx="68">
                  <c:v>756.0100000000001</c:v>
                </c:pt>
                <c:pt idx="69">
                  <c:v>761.5100000000001</c:v>
                </c:pt>
                <c:pt idx="70">
                  <c:v>766.54000000000008</c:v>
                </c:pt>
                <c:pt idx="71">
                  <c:v>776.24000000000012</c:v>
                </c:pt>
                <c:pt idx="72">
                  <c:v>779.91000000000008</c:v>
                </c:pt>
                <c:pt idx="73">
                  <c:v>783.41000000000008</c:v>
                </c:pt>
                <c:pt idx="74">
                  <c:v>787.80000000000007</c:v>
                </c:pt>
                <c:pt idx="75">
                  <c:v>792.36</c:v>
                </c:pt>
                <c:pt idx="76">
                  <c:v>795.6</c:v>
                </c:pt>
                <c:pt idx="77">
                  <c:v>800.25</c:v>
                </c:pt>
                <c:pt idx="78">
                  <c:v>802.99</c:v>
                </c:pt>
                <c:pt idx="79">
                  <c:v>809.31000000000006</c:v>
                </c:pt>
                <c:pt idx="80">
                  <c:v>812.11</c:v>
                </c:pt>
                <c:pt idx="81">
                  <c:v>814.28</c:v>
                </c:pt>
                <c:pt idx="82">
                  <c:v>816.11</c:v>
                </c:pt>
                <c:pt idx="83">
                  <c:v>816.41</c:v>
                </c:pt>
                <c:pt idx="84">
                  <c:v>817.01</c:v>
                </c:pt>
                <c:pt idx="85">
                  <c:v>817.61</c:v>
                </c:pt>
                <c:pt idx="86">
                  <c:v>819.11</c:v>
                </c:pt>
                <c:pt idx="87">
                  <c:v>820.21</c:v>
                </c:pt>
                <c:pt idx="88">
                  <c:v>820.41000000000008</c:v>
                </c:pt>
                <c:pt idx="89">
                  <c:v>820.41000000000008</c:v>
                </c:pt>
                <c:pt idx="90">
                  <c:v>821.36000000000013</c:v>
                </c:pt>
                <c:pt idx="91">
                  <c:v>825.91000000000008</c:v>
                </c:pt>
                <c:pt idx="92">
                  <c:v>826.11000000000013</c:v>
                </c:pt>
                <c:pt idx="93">
                  <c:v>826.45000000000016</c:v>
                </c:pt>
                <c:pt idx="94">
                  <c:v>826.61000000000013</c:v>
                </c:pt>
                <c:pt idx="95">
                  <c:v>827.81000000000017</c:v>
                </c:pt>
                <c:pt idx="96">
                  <c:v>827.81000000000017</c:v>
                </c:pt>
                <c:pt idx="97">
                  <c:v>827.81000000000017</c:v>
                </c:pt>
                <c:pt idx="98">
                  <c:v>827.81000000000017</c:v>
                </c:pt>
                <c:pt idx="99">
                  <c:v>827.81000000000017</c:v>
                </c:pt>
                <c:pt idx="100">
                  <c:v>827.81000000000017</c:v>
                </c:pt>
                <c:pt idx="101">
                  <c:v>828.74000000000012</c:v>
                </c:pt>
                <c:pt idx="102">
                  <c:v>829.5100000000001</c:v>
                </c:pt>
                <c:pt idx="103">
                  <c:v>829.5100000000001</c:v>
                </c:pt>
                <c:pt idx="104">
                  <c:v>830.31000000000006</c:v>
                </c:pt>
                <c:pt idx="105">
                  <c:v>830.81000000000006</c:v>
                </c:pt>
                <c:pt idx="106">
                  <c:v>830.81000000000006</c:v>
                </c:pt>
                <c:pt idx="107">
                  <c:v>830.81000000000006</c:v>
                </c:pt>
                <c:pt idx="108">
                  <c:v>830.81000000000006</c:v>
                </c:pt>
                <c:pt idx="109">
                  <c:v>830.81000000000006</c:v>
                </c:pt>
                <c:pt idx="110">
                  <c:v>830.81000000000006</c:v>
                </c:pt>
                <c:pt idx="111">
                  <c:v>830.81000000000006</c:v>
                </c:pt>
                <c:pt idx="112">
                  <c:v>830.81000000000006</c:v>
                </c:pt>
                <c:pt idx="113">
                  <c:v>830.81000000000006</c:v>
                </c:pt>
                <c:pt idx="114">
                  <c:v>830.81000000000006</c:v>
                </c:pt>
                <c:pt idx="115">
                  <c:v>830.81000000000006</c:v>
                </c:pt>
                <c:pt idx="116">
                  <c:v>830.81000000000006</c:v>
                </c:pt>
                <c:pt idx="117">
                  <c:v>830.81000000000006</c:v>
                </c:pt>
                <c:pt idx="118">
                  <c:v>830.81000000000006</c:v>
                </c:pt>
                <c:pt idx="119">
                  <c:v>830.81000000000006</c:v>
                </c:pt>
                <c:pt idx="120">
                  <c:v>830.81000000000006</c:v>
                </c:pt>
                <c:pt idx="121">
                  <c:v>830.81000000000006</c:v>
                </c:pt>
                <c:pt idx="122">
                  <c:v>830.81000000000006</c:v>
                </c:pt>
                <c:pt idx="123">
                  <c:v>830.81000000000006</c:v>
                </c:pt>
                <c:pt idx="124">
                  <c:v>831.91000000000008</c:v>
                </c:pt>
                <c:pt idx="125">
                  <c:v>832.10000000000014</c:v>
                </c:pt>
                <c:pt idx="126">
                  <c:v>832.41000000000008</c:v>
                </c:pt>
                <c:pt idx="127">
                  <c:v>832.41000000000008</c:v>
                </c:pt>
                <c:pt idx="128">
                  <c:v>832.41000000000008</c:v>
                </c:pt>
                <c:pt idx="129">
                  <c:v>832.41000000000008</c:v>
                </c:pt>
                <c:pt idx="130">
                  <c:v>832.41000000000008</c:v>
                </c:pt>
                <c:pt idx="131">
                  <c:v>832.41000000000008</c:v>
                </c:pt>
                <c:pt idx="132">
                  <c:v>832.41000000000008</c:v>
                </c:pt>
                <c:pt idx="133">
                  <c:v>832.41000000000008</c:v>
                </c:pt>
                <c:pt idx="134">
                  <c:v>832.57</c:v>
                </c:pt>
                <c:pt idx="135">
                  <c:v>832.91000000000008</c:v>
                </c:pt>
                <c:pt idx="136">
                  <c:v>832.91000000000008</c:v>
                </c:pt>
                <c:pt idx="137">
                  <c:v>833.81000000000006</c:v>
                </c:pt>
                <c:pt idx="138">
                  <c:v>833.81000000000006</c:v>
                </c:pt>
                <c:pt idx="139">
                  <c:v>833.81000000000006</c:v>
                </c:pt>
                <c:pt idx="140">
                  <c:v>833.81000000000006</c:v>
                </c:pt>
                <c:pt idx="141">
                  <c:v>833.81000000000006</c:v>
                </c:pt>
                <c:pt idx="142">
                  <c:v>833.81000000000006</c:v>
                </c:pt>
                <c:pt idx="143">
                  <c:v>833.81000000000006</c:v>
                </c:pt>
                <c:pt idx="144">
                  <c:v>833.81000000000006</c:v>
                </c:pt>
                <c:pt idx="145">
                  <c:v>835.31000000000006</c:v>
                </c:pt>
                <c:pt idx="146">
                  <c:v>835.31000000000006</c:v>
                </c:pt>
                <c:pt idx="147">
                  <c:v>835.31000000000006</c:v>
                </c:pt>
                <c:pt idx="148">
                  <c:v>835.31000000000006</c:v>
                </c:pt>
                <c:pt idx="149">
                  <c:v>835.31000000000006</c:v>
                </c:pt>
                <c:pt idx="150">
                  <c:v>835.31000000000006</c:v>
                </c:pt>
                <c:pt idx="151">
                  <c:v>835.31000000000006</c:v>
                </c:pt>
                <c:pt idx="152">
                  <c:v>835.31000000000006</c:v>
                </c:pt>
                <c:pt idx="153">
                  <c:v>835.31000000000006</c:v>
                </c:pt>
                <c:pt idx="154">
                  <c:v>835.61</c:v>
                </c:pt>
                <c:pt idx="155">
                  <c:v>835.61</c:v>
                </c:pt>
                <c:pt idx="156">
                  <c:v>836.11</c:v>
                </c:pt>
                <c:pt idx="157">
                  <c:v>836.31000000000006</c:v>
                </c:pt>
                <c:pt idx="158">
                  <c:v>836.61</c:v>
                </c:pt>
                <c:pt idx="159">
                  <c:v>841.30000000000007</c:v>
                </c:pt>
                <c:pt idx="160">
                  <c:v>841.31000000000006</c:v>
                </c:pt>
                <c:pt idx="161">
                  <c:v>841.31000000000006</c:v>
                </c:pt>
                <c:pt idx="162">
                  <c:v>841.31000000000006</c:v>
                </c:pt>
                <c:pt idx="163">
                  <c:v>841.31000000000006</c:v>
                </c:pt>
                <c:pt idx="164">
                  <c:v>841.31000000000006</c:v>
                </c:pt>
                <c:pt idx="165">
                  <c:v>841.31000000000006</c:v>
                </c:pt>
                <c:pt idx="166">
                  <c:v>841.31000000000006</c:v>
                </c:pt>
                <c:pt idx="167">
                  <c:v>841.31000000000006</c:v>
                </c:pt>
                <c:pt idx="168">
                  <c:v>841.31000000000006</c:v>
                </c:pt>
                <c:pt idx="169">
                  <c:v>843.21</c:v>
                </c:pt>
                <c:pt idx="170">
                  <c:v>843.21</c:v>
                </c:pt>
                <c:pt idx="171">
                  <c:v>843.21</c:v>
                </c:pt>
                <c:pt idx="172">
                  <c:v>843.21</c:v>
                </c:pt>
                <c:pt idx="173">
                  <c:v>843.51</c:v>
                </c:pt>
                <c:pt idx="174">
                  <c:v>844.71</c:v>
                </c:pt>
                <c:pt idx="175">
                  <c:v>844.71</c:v>
                </c:pt>
                <c:pt idx="176">
                  <c:v>844.71</c:v>
                </c:pt>
                <c:pt idx="177">
                  <c:v>844.71</c:v>
                </c:pt>
                <c:pt idx="178">
                  <c:v>844.71</c:v>
                </c:pt>
                <c:pt idx="179">
                  <c:v>845.01</c:v>
                </c:pt>
                <c:pt idx="180">
                  <c:v>845.01</c:v>
                </c:pt>
                <c:pt idx="181">
                  <c:v>845.01</c:v>
                </c:pt>
                <c:pt idx="182">
                  <c:v>845.21</c:v>
                </c:pt>
                <c:pt idx="183">
                  <c:v>846.21</c:v>
                </c:pt>
                <c:pt idx="184">
                  <c:v>846.21</c:v>
                </c:pt>
                <c:pt idx="185">
                  <c:v>846.21</c:v>
                </c:pt>
                <c:pt idx="186">
                  <c:v>846.21</c:v>
                </c:pt>
                <c:pt idx="187">
                  <c:v>846.21</c:v>
                </c:pt>
                <c:pt idx="188">
                  <c:v>846.21</c:v>
                </c:pt>
                <c:pt idx="189">
                  <c:v>846.21</c:v>
                </c:pt>
                <c:pt idx="190">
                  <c:v>846.21</c:v>
                </c:pt>
                <c:pt idx="191">
                  <c:v>846.21</c:v>
                </c:pt>
                <c:pt idx="192">
                  <c:v>846.21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981568"/>
        <c:axId val="249983744"/>
      </c:scatterChart>
      <c:valAx>
        <c:axId val="249981568"/>
        <c:scaling>
          <c:orientation val="minMax"/>
          <c:max val="27061.375"/>
          <c:min val="27053.37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Date Time</a:t>
                </a:r>
                <a:endParaRPr/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txPr>
          <a:bodyPr rot="-900000" vert="horz"/>
          <a:lstStyle/>
          <a:p>
            <a:pPr>
              <a:defRPr/>
            </a:pPr>
            <a:endParaRPr lang="en-US"/>
          </a:p>
        </c:txPr>
        <c:crossAx val="249983744"/>
        <c:crosses val="autoZero"/>
        <c:crossBetween val="midCat"/>
      </c:valAx>
      <c:valAx>
        <c:axId val="249983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Rainfall (mm)</a:t>
                </a:r>
                <a:endParaRPr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99815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LowerBottom- Pluviograph</a:t>
            </a:r>
            <a:endParaRPr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Brisbane Regional Office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cumulative!$AA$3:$AA$195</c:f>
              <c:numCache>
                <c:formatCode>General</c:formatCode>
                <c:ptCount val="193"/>
                <c:pt idx="0">
                  <c:v>0</c:v>
                </c:pt>
                <c:pt idx="1">
                  <c:v>0</c:v>
                </c:pt>
                <c:pt idx="2">
                  <c:v>3.22</c:v>
                </c:pt>
                <c:pt idx="3">
                  <c:v>9.5500000000000007</c:v>
                </c:pt>
                <c:pt idx="4">
                  <c:v>13.600000000000001</c:v>
                </c:pt>
                <c:pt idx="5">
                  <c:v>13.600000000000001</c:v>
                </c:pt>
                <c:pt idx="6">
                  <c:v>14.500000000000002</c:v>
                </c:pt>
                <c:pt idx="7">
                  <c:v>14.800000000000002</c:v>
                </c:pt>
                <c:pt idx="8">
                  <c:v>17.800000000000004</c:v>
                </c:pt>
                <c:pt idx="9">
                  <c:v>20.900000000000006</c:v>
                </c:pt>
                <c:pt idx="10">
                  <c:v>21.200000000000006</c:v>
                </c:pt>
                <c:pt idx="11">
                  <c:v>25.160000000000007</c:v>
                </c:pt>
                <c:pt idx="12">
                  <c:v>28.530000000000008</c:v>
                </c:pt>
                <c:pt idx="13">
                  <c:v>30.980000000000008</c:v>
                </c:pt>
                <c:pt idx="14">
                  <c:v>32.710000000000008</c:v>
                </c:pt>
                <c:pt idx="15">
                  <c:v>34.810000000000009</c:v>
                </c:pt>
                <c:pt idx="16">
                  <c:v>35.610000000000007</c:v>
                </c:pt>
                <c:pt idx="17">
                  <c:v>39.490000000000009</c:v>
                </c:pt>
                <c:pt idx="18">
                  <c:v>45.560000000000009</c:v>
                </c:pt>
                <c:pt idx="19">
                  <c:v>52.080000000000013</c:v>
                </c:pt>
                <c:pt idx="20">
                  <c:v>62.170000000000016</c:v>
                </c:pt>
                <c:pt idx="21">
                  <c:v>74.060000000000016</c:v>
                </c:pt>
                <c:pt idx="22">
                  <c:v>87.670000000000016</c:v>
                </c:pt>
                <c:pt idx="23">
                  <c:v>98.160000000000011</c:v>
                </c:pt>
                <c:pt idx="24">
                  <c:v>107.01</c:v>
                </c:pt>
                <c:pt idx="25">
                  <c:v>134.29000000000002</c:v>
                </c:pt>
                <c:pt idx="26">
                  <c:v>162.82000000000002</c:v>
                </c:pt>
                <c:pt idx="27">
                  <c:v>200.70000000000002</c:v>
                </c:pt>
                <c:pt idx="28">
                  <c:v>220.23000000000002</c:v>
                </c:pt>
                <c:pt idx="29">
                  <c:v>224.72000000000003</c:v>
                </c:pt>
                <c:pt idx="30">
                  <c:v>227.06000000000003</c:v>
                </c:pt>
                <c:pt idx="31">
                  <c:v>227.92000000000004</c:v>
                </c:pt>
                <c:pt idx="32">
                  <c:v>228.08000000000004</c:v>
                </c:pt>
                <c:pt idx="33">
                  <c:v>229.77000000000004</c:v>
                </c:pt>
                <c:pt idx="34">
                  <c:v>236.48000000000005</c:v>
                </c:pt>
                <c:pt idx="35">
                  <c:v>245.64000000000004</c:v>
                </c:pt>
                <c:pt idx="36">
                  <c:v>263.53000000000003</c:v>
                </c:pt>
                <c:pt idx="37">
                  <c:v>281.63000000000005</c:v>
                </c:pt>
                <c:pt idx="38">
                  <c:v>300.52000000000004</c:v>
                </c:pt>
                <c:pt idx="39">
                  <c:v>336.84000000000003</c:v>
                </c:pt>
                <c:pt idx="40">
                  <c:v>353.63000000000005</c:v>
                </c:pt>
                <c:pt idx="41">
                  <c:v>363.80000000000007</c:v>
                </c:pt>
                <c:pt idx="42">
                  <c:v>372.55000000000007</c:v>
                </c:pt>
                <c:pt idx="43">
                  <c:v>376.33000000000004</c:v>
                </c:pt>
                <c:pt idx="44">
                  <c:v>382.28000000000003</c:v>
                </c:pt>
                <c:pt idx="45">
                  <c:v>389.98</c:v>
                </c:pt>
                <c:pt idx="46">
                  <c:v>413.53000000000003</c:v>
                </c:pt>
                <c:pt idx="47">
                  <c:v>417.61</c:v>
                </c:pt>
                <c:pt idx="48">
                  <c:v>421.11</c:v>
                </c:pt>
                <c:pt idx="49">
                  <c:v>428.64</c:v>
                </c:pt>
                <c:pt idx="50">
                  <c:v>430.11</c:v>
                </c:pt>
                <c:pt idx="51">
                  <c:v>430.54</c:v>
                </c:pt>
                <c:pt idx="52">
                  <c:v>431.51000000000005</c:v>
                </c:pt>
                <c:pt idx="53">
                  <c:v>431.51000000000005</c:v>
                </c:pt>
                <c:pt idx="54">
                  <c:v>433.11000000000007</c:v>
                </c:pt>
                <c:pt idx="55">
                  <c:v>434.45000000000005</c:v>
                </c:pt>
                <c:pt idx="56">
                  <c:v>436.38000000000005</c:v>
                </c:pt>
                <c:pt idx="57">
                  <c:v>447.59000000000003</c:v>
                </c:pt>
                <c:pt idx="58">
                  <c:v>459.73</c:v>
                </c:pt>
                <c:pt idx="59">
                  <c:v>466.02000000000004</c:v>
                </c:pt>
                <c:pt idx="60">
                  <c:v>478.24000000000007</c:v>
                </c:pt>
                <c:pt idx="61">
                  <c:v>496.22000000000008</c:v>
                </c:pt>
                <c:pt idx="62">
                  <c:v>514.46</c:v>
                </c:pt>
                <c:pt idx="63">
                  <c:v>542.31000000000006</c:v>
                </c:pt>
                <c:pt idx="64">
                  <c:v>553.55000000000007</c:v>
                </c:pt>
                <c:pt idx="65">
                  <c:v>561.82000000000005</c:v>
                </c:pt>
                <c:pt idx="66">
                  <c:v>571.66000000000008</c:v>
                </c:pt>
                <c:pt idx="67">
                  <c:v>576.21</c:v>
                </c:pt>
                <c:pt idx="68">
                  <c:v>582.46</c:v>
                </c:pt>
                <c:pt idx="69">
                  <c:v>585.97</c:v>
                </c:pt>
                <c:pt idx="70">
                  <c:v>590.73</c:v>
                </c:pt>
                <c:pt idx="71">
                  <c:v>596.94000000000005</c:v>
                </c:pt>
                <c:pt idx="72">
                  <c:v>600.5100000000001</c:v>
                </c:pt>
                <c:pt idx="73">
                  <c:v>603.91000000000008</c:v>
                </c:pt>
                <c:pt idx="74">
                  <c:v>606.57000000000005</c:v>
                </c:pt>
                <c:pt idx="75">
                  <c:v>610.53000000000009</c:v>
                </c:pt>
                <c:pt idx="76">
                  <c:v>611.58000000000004</c:v>
                </c:pt>
                <c:pt idx="77">
                  <c:v>613.82000000000005</c:v>
                </c:pt>
                <c:pt idx="78">
                  <c:v>619.8900000000001</c:v>
                </c:pt>
                <c:pt idx="79">
                  <c:v>627.62000000000012</c:v>
                </c:pt>
                <c:pt idx="80">
                  <c:v>628.80000000000007</c:v>
                </c:pt>
                <c:pt idx="81">
                  <c:v>630.30000000000007</c:v>
                </c:pt>
                <c:pt idx="82">
                  <c:v>631.44000000000005</c:v>
                </c:pt>
                <c:pt idx="83">
                  <c:v>632.19000000000005</c:v>
                </c:pt>
                <c:pt idx="84">
                  <c:v>632.6</c:v>
                </c:pt>
                <c:pt idx="85">
                  <c:v>633</c:v>
                </c:pt>
                <c:pt idx="86">
                  <c:v>633.57000000000005</c:v>
                </c:pt>
                <c:pt idx="87">
                  <c:v>634.6</c:v>
                </c:pt>
                <c:pt idx="88">
                  <c:v>635.4</c:v>
                </c:pt>
                <c:pt idx="89">
                  <c:v>636.92999999999995</c:v>
                </c:pt>
                <c:pt idx="90">
                  <c:v>640.79999999999995</c:v>
                </c:pt>
                <c:pt idx="91">
                  <c:v>641.5</c:v>
                </c:pt>
                <c:pt idx="92">
                  <c:v>642.29999999999995</c:v>
                </c:pt>
                <c:pt idx="93">
                  <c:v>642.79999999999995</c:v>
                </c:pt>
                <c:pt idx="94">
                  <c:v>643</c:v>
                </c:pt>
                <c:pt idx="95">
                  <c:v>643</c:v>
                </c:pt>
                <c:pt idx="96">
                  <c:v>648</c:v>
                </c:pt>
                <c:pt idx="97">
                  <c:v>648.09</c:v>
                </c:pt>
                <c:pt idx="98">
                  <c:v>648.18000000000006</c:v>
                </c:pt>
                <c:pt idx="99">
                  <c:v>648.2700000000001</c:v>
                </c:pt>
                <c:pt idx="100">
                  <c:v>648.36000000000013</c:v>
                </c:pt>
                <c:pt idx="101">
                  <c:v>648.45000000000016</c:v>
                </c:pt>
                <c:pt idx="102">
                  <c:v>648.54000000000019</c:v>
                </c:pt>
                <c:pt idx="103">
                  <c:v>648.63000000000022</c:v>
                </c:pt>
                <c:pt idx="104">
                  <c:v>648.72000000000025</c:v>
                </c:pt>
                <c:pt idx="105">
                  <c:v>648.81000000000029</c:v>
                </c:pt>
                <c:pt idx="106">
                  <c:v>648.90000000000032</c:v>
                </c:pt>
                <c:pt idx="107">
                  <c:v>648.99000000000035</c:v>
                </c:pt>
                <c:pt idx="108">
                  <c:v>649.08000000000038</c:v>
                </c:pt>
                <c:pt idx="109">
                  <c:v>649.17000000000041</c:v>
                </c:pt>
                <c:pt idx="110">
                  <c:v>649.26000000000045</c:v>
                </c:pt>
                <c:pt idx="111">
                  <c:v>649.35000000000048</c:v>
                </c:pt>
                <c:pt idx="112">
                  <c:v>649.44000000000051</c:v>
                </c:pt>
                <c:pt idx="113">
                  <c:v>649.53000000000054</c:v>
                </c:pt>
                <c:pt idx="114">
                  <c:v>649.62000000000057</c:v>
                </c:pt>
                <c:pt idx="115">
                  <c:v>649.7100000000006</c:v>
                </c:pt>
                <c:pt idx="116">
                  <c:v>649.80000000000064</c:v>
                </c:pt>
                <c:pt idx="117">
                  <c:v>649.89000000000067</c:v>
                </c:pt>
                <c:pt idx="118">
                  <c:v>649.9800000000007</c:v>
                </c:pt>
                <c:pt idx="119">
                  <c:v>650.07000000000073</c:v>
                </c:pt>
                <c:pt idx="120">
                  <c:v>650.21000000000072</c:v>
                </c:pt>
                <c:pt idx="121">
                  <c:v>651.05000000000075</c:v>
                </c:pt>
                <c:pt idx="122">
                  <c:v>651.89000000000078</c:v>
                </c:pt>
                <c:pt idx="123">
                  <c:v>652.73000000000081</c:v>
                </c:pt>
                <c:pt idx="124">
                  <c:v>653.57000000000085</c:v>
                </c:pt>
                <c:pt idx="125">
                  <c:v>654.41000000000088</c:v>
                </c:pt>
                <c:pt idx="126">
                  <c:v>655.25000000000091</c:v>
                </c:pt>
                <c:pt idx="127">
                  <c:v>656.09000000000094</c:v>
                </c:pt>
                <c:pt idx="128">
                  <c:v>656.93000000000097</c:v>
                </c:pt>
                <c:pt idx="129">
                  <c:v>657.770000000001</c:v>
                </c:pt>
                <c:pt idx="130">
                  <c:v>658.61000000000104</c:v>
                </c:pt>
                <c:pt idx="131">
                  <c:v>659.45000000000107</c:v>
                </c:pt>
                <c:pt idx="132">
                  <c:v>660.2900000000011</c:v>
                </c:pt>
                <c:pt idx="133">
                  <c:v>661.13000000000113</c:v>
                </c:pt>
                <c:pt idx="134">
                  <c:v>661.97000000000116</c:v>
                </c:pt>
                <c:pt idx="135">
                  <c:v>662.8100000000012</c:v>
                </c:pt>
                <c:pt idx="136">
                  <c:v>663.65000000000123</c:v>
                </c:pt>
                <c:pt idx="137">
                  <c:v>664.49000000000126</c:v>
                </c:pt>
                <c:pt idx="138">
                  <c:v>665.33000000000129</c:v>
                </c:pt>
                <c:pt idx="139">
                  <c:v>666.17000000000132</c:v>
                </c:pt>
                <c:pt idx="140">
                  <c:v>667.01000000000136</c:v>
                </c:pt>
                <c:pt idx="141">
                  <c:v>667.85000000000139</c:v>
                </c:pt>
                <c:pt idx="142">
                  <c:v>668.69000000000142</c:v>
                </c:pt>
                <c:pt idx="143">
                  <c:v>669.53000000000145</c:v>
                </c:pt>
                <c:pt idx="144">
                  <c:v>670.31000000000142</c:v>
                </c:pt>
                <c:pt idx="145">
                  <c:v>670.31000000000142</c:v>
                </c:pt>
                <c:pt idx="146">
                  <c:v>670.31000000000142</c:v>
                </c:pt>
                <c:pt idx="147">
                  <c:v>670.31000000000142</c:v>
                </c:pt>
                <c:pt idx="148">
                  <c:v>670.31000000000142</c:v>
                </c:pt>
                <c:pt idx="149">
                  <c:v>670.31000000000142</c:v>
                </c:pt>
                <c:pt idx="150">
                  <c:v>670.31000000000142</c:v>
                </c:pt>
                <c:pt idx="151">
                  <c:v>670.31000000000142</c:v>
                </c:pt>
                <c:pt idx="152">
                  <c:v>670.31000000000142</c:v>
                </c:pt>
                <c:pt idx="153">
                  <c:v>670.31000000000142</c:v>
                </c:pt>
                <c:pt idx="154">
                  <c:v>670.31000000000142</c:v>
                </c:pt>
                <c:pt idx="155">
                  <c:v>670.31000000000142</c:v>
                </c:pt>
                <c:pt idx="156">
                  <c:v>670.31000000000142</c:v>
                </c:pt>
                <c:pt idx="157">
                  <c:v>670.31000000000142</c:v>
                </c:pt>
                <c:pt idx="158">
                  <c:v>670.36000000000138</c:v>
                </c:pt>
                <c:pt idx="159">
                  <c:v>675.81000000000142</c:v>
                </c:pt>
                <c:pt idx="160">
                  <c:v>675.81000000000142</c:v>
                </c:pt>
                <c:pt idx="161">
                  <c:v>675.81000000000142</c:v>
                </c:pt>
                <c:pt idx="162">
                  <c:v>675.81000000000142</c:v>
                </c:pt>
                <c:pt idx="163">
                  <c:v>675.81000000000142</c:v>
                </c:pt>
                <c:pt idx="164">
                  <c:v>675.81000000000142</c:v>
                </c:pt>
                <c:pt idx="165">
                  <c:v>675.81000000000142</c:v>
                </c:pt>
                <c:pt idx="166">
                  <c:v>675.81000000000142</c:v>
                </c:pt>
                <c:pt idx="167">
                  <c:v>675.81000000000142</c:v>
                </c:pt>
                <c:pt idx="168">
                  <c:v>675.81000000000142</c:v>
                </c:pt>
                <c:pt idx="169">
                  <c:v>678.11000000000138</c:v>
                </c:pt>
                <c:pt idx="170">
                  <c:v>678.11000000000138</c:v>
                </c:pt>
                <c:pt idx="171">
                  <c:v>678.11000000000138</c:v>
                </c:pt>
                <c:pt idx="172">
                  <c:v>678.11000000000138</c:v>
                </c:pt>
                <c:pt idx="173">
                  <c:v>678.11000000000138</c:v>
                </c:pt>
                <c:pt idx="174">
                  <c:v>694.87000000000137</c:v>
                </c:pt>
                <c:pt idx="175">
                  <c:v>695.2100000000014</c:v>
                </c:pt>
                <c:pt idx="176">
                  <c:v>695.2100000000014</c:v>
                </c:pt>
                <c:pt idx="177">
                  <c:v>695.81000000000142</c:v>
                </c:pt>
                <c:pt idx="178">
                  <c:v>696.11000000000138</c:v>
                </c:pt>
                <c:pt idx="179">
                  <c:v>696.11000000000138</c:v>
                </c:pt>
                <c:pt idx="180">
                  <c:v>696.11000000000138</c:v>
                </c:pt>
                <c:pt idx="181">
                  <c:v>696.11000000000138</c:v>
                </c:pt>
                <c:pt idx="182">
                  <c:v>696.11000000000138</c:v>
                </c:pt>
                <c:pt idx="183">
                  <c:v>697.11000000000138</c:v>
                </c:pt>
                <c:pt idx="184">
                  <c:v>697.11000000000138</c:v>
                </c:pt>
                <c:pt idx="185">
                  <c:v>697.11000000000138</c:v>
                </c:pt>
                <c:pt idx="186">
                  <c:v>697.11000000000138</c:v>
                </c:pt>
                <c:pt idx="187">
                  <c:v>697.11000000000138</c:v>
                </c:pt>
                <c:pt idx="188">
                  <c:v>697.11000000000138</c:v>
                </c:pt>
                <c:pt idx="189">
                  <c:v>697.11000000000138</c:v>
                </c:pt>
                <c:pt idx="190">
                  <c:v>697.11000000000138</c:v>
                </c:pt>
                <c:pt idx="191">
                  <c:v>697.11000000000138</c:v>
                </c:pt>
                <c:pt idx="192">
                  <c:v>697.11000000000138</c:v>
                </c:pt>
              </c:numCache>
            </c:numRef>
          </c:yVal>
          <c:smooth val="0"/>
        </c:ser>
        <c:ser>
          <c:idx val="1"/>
          <c:order val="1"/>
          <c:tx>
            <c:v>Brisbane Aero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cumulative!$AB$3:$AB$195</c:f>
              <c:numCache>
                <c:formatCode>General</c:formatCode>
                <c:ptCount val="193"/>
                <c:pt idx="0">
                  <c:v>0</c:v>
                </c:pt>
                <c:pt idx="1">
                  <c:v>0</c:v>
                </c:pt>
                <c:pt idx="2">
                  <c:v>2.85</c:v>
                </c:pt>
                <c:pt idx="3">
                  <c:v>6.52</c:v>
                </c:pt>
                <c:pt idx="4">
                  <c:v>8.3099999999999987</c:v>
                </c:pt>
                <c:pt idx="5">
                  <c:v>8.61</c:v>
                </c:pt>
                <c:pt idx="6">
                  <c:v>8.8099999999999987</c:v>
                </c:pt>
                <c:pt idx="7">
                  <c:v>8.8099999999999987</c:v>
                </c:pt>
                <c:pt idx="8">
                  <c:v>12.409999999999998</c:v>
                </c:pt>
                <c:pt idx="9">
                  <c:v>16.61</c:v>
                </c:pt>
                <c:pt idx="10">
                  <c:v>16.61</c:v>
                </c:pt>
                <c:pt idx="11">
                  <c:v>20.11</c:v>
                </c:pt>
                <c:pt idx="12">
                  <c:v>21.41</c:v>
                </c:pt>
                <c:pt idx="13">
                  <c:v>23.91</c:v>
                </c:pt>
                <c:pt idx="14">
                  <c:v>25.71</c:v>
                </c:pt>
                <c:pt idx="15">
                  <c:v>26.71</c:v>
                </c:pt>
                <c:pt idx="16">
                  <c:v>27.91</c:v>
                </c:pt>
                <c:pt idx="17">
                  <c:v>32.03</c:v>
                </c:pt>
                <c:pt idx="18">
                  <c:v>34.480000000000004</c:v>
                </c:pt>
                <c:pt idx="19">
                  <c:v>41.03</c:v>
                </c:pt>
                <c:pt idx="20">
                  <c:v>52.21</c:v>
                </c:pt>
                <c:pt idx="21">
                  <c:v>67.91</c:v>
                </c:pt>
                <c:pt idx="22">
                  <c:v>86.199999999999989</c:v>
                </c:pt>
                <c:pt idx="23">
                  <c:v>101.49999999999999</c:v>
                </c:pt>
                <c:pt idx="24">
                  <c:v>112.20999999999998</c:v>
                </c:pt>
                <c:pt idx="25">
                  <c:v>138.02999999999997</c:v>
                </c:pt>
                <c:pt idx="26">
                  <c:v>164.36999999999998</c:v>
                </c:pt>
                <c:pt idx="27">
                  <c:v>205.83999999999997</c:v>
                </c:pt>
                <c:pt idx="28">
                  <c:v>225.89</c:v>
                </c:pt>
                <c:pt idx="29">
                  <c:v>230.05999999999997</c:v>
                </c:pt>
                <c:pt idx="30">
                  <c:v>230.89999999999998</c:v>
                </c:pt>
                <c:pt idx="31">
                  <c:v>230.89999999999998</c:v>
                </c:pt>
                <c:pt idx="32">
                  <c:v>232.24999999999997</c:v>
                </c:pt>
                <c:pt idx="33">
                  <c:v>232.89999999999998</c:v>
                </c:pt>
                <c:pt idx="34">
                  <c:v>240.7</c:v>
                </c:pt>
                <c:pt idx="35">
                  <c:v>251.95</c:v>
                </c:pt>
                <c:pt idx="36">
                  <c:v>260.96999999999997</c:v>
                </c:pt>
                <c:pt idx="37">
                  <c:v>277.13</c:v>
                </c:pt>
                <c:pt idx="38">
                  <c:v>295.61</c:v>
                </c:pt>
                <c:pt idx="39">
                  <c:v>328.22</c:v>
                </c:pt>
                <c:pt idx="40">
                  <c:v>361.15000000000003</c:v>
                </c:pt>
                <c:pt idx="41">
                  <c:v>375.12000000000006</c:v>
                </c:pt>
                <c:pt idx="42">
                  <c:v>382.88000000000005</c:v>
                </c:pt>
                <c:pt idx="43">
                  <c:v>384.85000000000008</c:v>
                </c:pt>
                <c:pt idx="44">
                  <c:v>389.5800000000001</c:v>
                </c:pt>
                <c:pt idx="45">
                  <c:v>395.46000000000009</c:v>
                </c:pt>
                <c:pt idx="46">
                  <c:v>405.21000000000009</c:v>
                </c:pt>
                <c:pt idx="47">
                  <c:v>411.31000000000012</c:v>
                </c:pt>
                <c:pt idx="48">
                  <c:v>413.80000000000013</c:v>
                </c:pt>
                <c:pt idx="49">
                  <c:v>423.41000000000014</c:v>
                </c:pt>
                <c:pt idx="50">
                  <c:v>433.71000000000015</c:v>
                </c:pt>
                <c:pt idx="51">
                  <c:v>440.31000000000017</c:v>
                </c:pt>
                <c:pt idx="52">
                  <c:v>440.31000000000017</c:v>
                </c:pt>
                <c:pt idx="53">
                  <c:v>440.31000000000017</c:v>
                </c:pt>
                <c:pt idx="54">
                  <c:v>440.31000000000017</c:v>
                </c:pt>
                <c:pt idx="55">
                  <c:v>440.31000000000017</c:v>
                </c:pt>
                <c:pt idx="56">
                  <c:v>441.59000000000015</c:v>
                </c:pt>
                <c:pt idx="57">
                  <c:v>441.91000000000014</c:v>
                </c:pt>
                <c:pt idx="58">
                  <c:v>453.53000000000014</c:v>
                </c:pt>
                <c:pt idx="59">
                  <c:v>462.75000000000017</c:v>
                </c:pt>
                <c:pt idx="60">
                  <c:v>467.6600000000002</c:v>
                </c:pt>
                <c:pt idx="61">
                  <c:v>478.61000000000018</c:v>
                </c:pt>
                <c:pt idx="62">
                  <c:v>492.87000000000018</c:v>
                </c:pt>
                <c:pt idx="63">
                  <c:v>506.12000000000018</c:v>
                </c:pt>
                <c:pt idx="64">
                  <c:v>526.82000000000016</c:v>
                </c:pt>
                <c:pt idx="65">
                  <c:v>537.70000000000016</c:v>
                </c:pt>
                <c:pt idx="66">
                  <c:v>546.31000000000017</c:v>
                </c:pt>
                <c:pt idx="67">
                  <c:v>553.12000000000012</c:v>
                </c:pt>
                <c:pt idx="68">
                  <c:v>555.91000000000008</c:v>
                </c:pt>
                <c:pt idx="69">
                  <c:v>556.83000000000004</c:v>
                </c:pt>
                <c:pt idx="70">
                  <c:v>560.67000000000007</c:v>
                </c:pt>
                <c:pt idx="71">
                  <c:v>565.21</c:v>
                </c:pt>
                <c:pt idx="72">
                  <c:v>568.34</c:v>
                </c:pt>
                <c:pt idx="73">
                  <c:v>571.51</c:v>
                </c:pt>
                <c:pt idx="74">
                  <c:v>574.39</c:v>
                </c:pt>
                <c:pt idx="75">
                  <c:v>578.88</c:v>
                </c:pt>
                <c:pt idx="76">
                  <c:v>582.71</c:v>
                </c:pt>
                <c:pt idx="77">
                  <c:v>585.41000000000008</c:v>
                </c:pt>
                <c:pt idx="78">
                  <c:v>587.37000000000012</c:v>
                </c:pt>
                <c:pt idx="79">
                  <c:v>592.48000000000013</c:v>
                </c:pt>
                <c:pt idx="80">
                  <c:v>596.06000000000017</c:v>
                </c:pt>
                <c:pt idx="81">
                  <c:v>597.44000000000017</c:v>
                </c:pt>
                <c:pt idx="82">
                  <c:v>598.47000000000014</c:v>
                </c:pt>
                <c:pt idx="83">
                  <c:v>600.29000000000019</c:v>
                </c:pt>
                <c:pt idx="84">
                  <c:v>601.01000000000022</c:v>
                </c:pt>
                <c:pt idx="85">
                  <c:v>602.51000000000022</c:v>
                </c:pt>
                <c:pt idx="86">
                  <c:v>603.51000000000022</c:v>
                </c:pt>
                <c:pt idx="87">
                  <c:v>604.11000000000024</c:v>
                </c:pt>
                <c:pt idx="88">
                  <c:v>604.11000000000024</c:v>
                </c:pt>
                <c:pt idx="89">
                  <c:v>605.11000000000024</c:v>
                </c:pt>
                <c:pt idx="90">
                  <c:v>606.61000000000024</c:v>
                </c:pt>
                <c:pt idx="91">
                  <c:v>608.93000000000029</c:v>
                </c:pt>
                <c:pt idx="92">
                  <c:v>609.21000000000026</c:v>
                </c:pt>
                <c:pt idx="93">
                  <c:v>610.01000000000022</c:v>
                </c:pt>
                <c:pt idx="94">
                  <c:v>610.21000000000026</c:v>
                </c:pt>
                <c:pt idx="95">
                  <c:v>610.81000000000029</c:v>
                </c:pt>
                <c:pt idx="96">
                  <c:v>611.01000000000033</c:v>
                </c:pt>
                <c:pt idx="97">
                  <c:v>611.01000000000033</c:v>
                </c:pt>
                <c:pt idx="98">
                  <c:v>611.01000000000033</c:v>
                </c:pt>
                <c:pt idx="99">
                  <c:v>611.01000000000033</c:v>
                </c:pt>
                <c:pt idx="100">
                  <c:v>611.01000000000033</c:v>
                </c:pt>
                <c:pt idx="101">
                  <c:v>614.11000000000035</c:v>
                </c:pt>
                <c:pt idx="102">
                  <c:v>614.62000000000035</c:v>
                </c:pt>
                <c:pt idx="103">
                  <c:v>619.51000000000033</c:v>
                </c:pt>
                <c:pt idx="104">
                  <c:v>620.01000000000033</c:v>
                </c:pt>
                <c:pt idx="105">
                  <c:v>620.01000000000033</c:v>
                </c:pt>
                <c:pt idx="106">
                  <c:v>620.01000000000033</c:v>
                </c:pt>
                <c:pt idx="107">
                  <c:v>620.01000000000033</c:v>
                </c:pt>
                <c:pt idx="108">
                  <c:v>620.01000000000033</c:v>
                </c:pt>
                <c:pt idx="109">
                  <c:v>620.01000000000033</c:v>
                </c:pt>
                <c:pt idx="110">
                  <c:v>620.01000000000033</c:v>
                </c:pt>
                <c:pt idx="111">
                  <c:v>620.01000000000033</c:v>
                </c:pt>
                <c:pt idx="112">
                  <c:v>620.01000000000033</c:v>
                </c:pt>
                <c:pt idx="113">
                  <c:v>620.01000000000033</c:v>
                </c:pt>
                <c:pt idx="114">
                  <c:v>620.01000000000033</c:v>
                </c:pt>
                <c:pt idx="115">
                  <c:v>620.01000000000033</c:v>
                </c:pt>
                <c:pt idx="116">
                  <c:v>620.01000000000033</c:v>
                </c:pt>
                <c:pt idx="117">
                  <c:v>620.01000000000033</c:v>
                </c:pt>
                <c:pt idx="118">
                  <c:v>620.01000000000033</c:v>
                </c:pt>
                <c:pt idx="119">
                  <c:v>620.01000000000033</c:v>
                </c:pt>
                <c:pt idx="120">
                  <c:v>620.01000000000033</c:v>
                </c:pt>
                <c:pt idx="121">
                  <c:v>620.01000000000033</c:v>
                </c:pt>
                <c:pt idx="122">
                  <c:v>620.01000000000033</c:v>
                </c:pt>
                <c:pt idx="123">
                  <c:v>620.01000000000033</c:v>
                </c:pt>
                <c:pt idx="124">
                  <c:v>621.47000000000037</c:v>
                </c:pt>
                <c:pt idx="125">
                  <c:v>622.01000000000033</c:v>
                </c:pt>
                <c:pt idx="126">
                  <c:v>622.01000000000033</c:v>
                </c:pt>
                <c:pt idx="127">
                  <c:v>622.01000000000033</c:v>
                </c:pt>
                <c:pt idx="128">
                  <c:v>622.01000000000033</c:v>
                </c:pt>
                <c:pt idx="129">
                  <c:v>622.01000000000033</c:v>
                </c:pt>
                <c:pt idx="130">
                  <c:v>622.01000000000033</c:v>
                </c:pt>
                <c:pt idx="131">
                  <c:v>622.01000000000033</c:v>
                </c:pt>
                <c:pt idx="132">
                  <c:v>622.01000000000033</c:v>
                </c:pt>
                <c:pt idx="133">
                  <c:v>622.01000000000033</c:v>
                </c:pt>
                <c:pt idx="134">
                  <c:v>622.01000000000033</c:v>
                </c:pt>
                <c:pt idx="135">
                  <c:v>622.01000000000033</c:v>
                </c:pt>
                <c:pt idx="136">
                  <c:v>622.01000000000033</c:v>
                </c:pt>
                <c:pt idx="137">
                  <c:v>622.01000000000033</c:v>
                </c:pt>
                <c:pt idx="138">
                  <c:v>622.01000000000033</c:v>
                </c:pt>
                <c:pt idx="139">
                  <c:v>622.01000000000033</c:v>
                </c:pt>
                <c:pt idx="140">
                  <c:v>622.01000000000033</c:v>
                </c:pt>
                <c:pt idx="141">
                  <c:v>622.01000000000033</c:v>
                </c:pt>
                <c:pt idx="142">
                  <c:v>622.01000000000033</c:v>
                </c:pt>
                <c:pt idx="143">
                  <c:v>622.01000000000033</c:v>
                </c:pt>
                <c:pt idx="144">
                  <c:v>622.01000000000033</c:v>
                </c:pt>
                <c:pt idx="145">
                  <c:v>622.01000000000033</c:v>
                </c:pt>
                <c:pt idx="146">
                  <c:v>622.01000000000033</c:v>
                </c:pt>
                <c:pt idx="147">
                  <c:v>622.01000000000033</c:v>
                </c:pt>
                <c:pt idx="148">
                  <c:v>622.01000000000033</c:v>
                </c:pt>
                <c:pt idx="149">
                  <c:v>622.01000000000033</c:v>
                </c:pt>
                <c:pt idx="150">
                  <c:v>622.01000000000033</c:v>
                </c:pt>
                <c:pt idx="151">
                  <c:v>622.01000000000033</c:v>
                </c:pt>
                <c:pt idx="152">
                  <c:v>622.01000000000033</c:v>
                </c:pt>
                <c:pt idx="153">
                  <c:v>622.01000000000033</c:v>
                </c:pt>
                <c:pt idx="154">
                  <c:v>622.01000000000033</c:v>
                </c:pt>
                <c:pt idx="155">
                  <c:v>622.01000000000033</c:v>
                </c:pt>
                <c:pt idx="156">
                  <c:v>622.01000000000033</c:v>
                </c:pt>
                <c:pt idx="157">
                  <c:v>622.01000000000033</c:v>
                </c:pt>
                <c:pt idx="158">
                  <c:v>622.51000000000033</c:v>
                </c:pt>
                <c:pt idx="159">
                  <c:v>626.61000000000035</c:v>
                </c:pt>
                <c:pt idx="160">
                  <c:v>626.61000000000035</c:v>
                </c:pt>
                <c:pt idx="161">
                  <c:v>626.61000000000035</c:v>
                </c:pt>
                <c:pt idx="162">
                  <c:v>626.61000000000035</c:v>
                </c:pt>
                <c:pt idx="163">
                  <c:v>626.61000000000035</c:v>
                </c:pt>
                <c:pt idx="164">
                  <c:v>626.61000000000035</c:v>
                </c:pt>
                <c:pt idx="165">
                  <c:v>626.61000000000035</c:v>
                </c:pt>
                <c:pt idx="166">
                  <c:v>626.61000000000035</c:v>
                </c:pt>
                <c:pt idx="167">
                  <c:v>626.61000000000035</c:v>
                </c:pt>
                <c:pt idx="168">
                  <c:v>626.61000000000035</c:v>
                </c:pt>
                <c:pt idx="169">
                  <c:v>628.11000000000035</c:v>
                </c:pt>
                <c:pt idx="170">
                  <c:v>628.11000000000035</c:v>
                </c:pt>
                <c:pt idx="171">
                  <c:v>628.11000000000035</c:v>
                </c:pt>
                <c:pt idx="172">
                  <c:v>628.11000000000035</c:v>
                </c:pt>
                <c:pt idx="173">
                  <c:v>628.11000000000035</c:v>
                </c:pt>
                <c:pt idx="174">
                  <c:v>634.01000000000033</c:v>
                </c:pt>
                <c:pt idx="175">
                  <c:v>634.21000000000038</c:v>
                </c:pt>
                <c:pt idx="176">
                  <c:v>634.21000000000038</c:v>
                </c:pt>
                <c:pt idx="177">
                  <c:v>634.21000000000038</c:v>
                </c:pt>
                <c:pt idx="178">
                  <c:v>634.21000000000038</c:v>
                </c:pt>
                <c:pt idx="179">
                  <c:v>634.21000000000038</c:v>
                </c:pt>
                <c:pt idx="180">
                  <c:v>634.28000000000043</c:v>
                </c:pt>
                <c:pt idx="181">
                  <c:v>634.71000000000038</c:v>
                </c:pt>
                <c:pt idx="182">
                  <c:v>634.71000000000038</c:v>
                </c:pt>
                <c:pt idx="183">
                  <c:v>636.01000000000033</c:v>
                </c:pt>
                <c:pt idx="184">
                  <c:v>639.61000000000035</c:v>
                </c:pt>
                <c:pt idx="185">
                  <c:v>639.61000000000035</c:v>
                </c:pt>
                <c:pt idx="186">
                  <c:v>639.61000000000035</c:v>
                </c:pt>
                <c:pt idx="187">
                  <c:v>639.61000000000035</c:v>
                </c:pt>
                <c:pt idx="188">
                  <c:v>639.61000000000035</c:v>
                </c:pt>
                <c:pt idx="189">
                  <c:v>639.61000000000035</c:v>
                </c:pt>
                <c:pt idx="190">
                  <c:v>639.61000000000035</c:v>
                </c:pt>
                <c:pt idx="191">
                  <c:v>639.61000000000035</c:v>
                </c:pt>
                <c:pt idx="192">
                  <c:v>639.61000000000035</c:v>
                </c:pt>
              </c:numCache>
            </c:numRef>
          </c:yVal>
          <c:smooth val="0"/>
        </c:ser>
        <c:ser>
          <c:idx val="2"/>
          <c:order val="2"/>
          <c:tx>
            <c:v>Mount Gravatt East Bcc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cumulative!$AC$3:$AC$195</c:f>
              <c:numCache>
                <c:formatCode>General</c:formatCode>
                <c:ptCount val="19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5</c:v>
                </c:pt>
                <c:pt idx="4">
                  <c:v>14</c:v>
                </c:pt>
                <c:pt idx="5">
                  <c:v>21</c:v>
                </c:pt>
                <c:pt idx="6">
                  <c:v>23</c:v>
                </c:pt>
                <c:pt idx="7">
                  <c:v>24</c:v>
                </c:pt>
                <c:pt idx="8">
                  <c:v>32</c:v>
                </c:pt>
                <c:pt idx="9">
                  <c:v>33</c:v>
                </c:pt>
                <c:pt idx="10">
                  <c:v>34</c:v>
                </c:pt>
                <c:pt idx="11">
                  <c:v>34</c:v>
                </c:pt>
                <c:pt idx="12">
                  <c:v>39</c:v>
                </c:pt>
                <c:pt idx="13">
                  <c:v>44</c:v>
                </c:pt>
                <c:pt idx="14">
                  <c:v>47</c:v>
                </c:pt>
                <c:pt idx="15">
                  <c:v>51</c:v>
                </c:pt>
                <c:pt idx="16">
                  <c:v>53</c:v>
                </c:pt>
                <c:pt idx="17">
                  <c:v>54</c:v>
                </c:pt>
                <c:pt idx="18">
                  <c:v>59</c:v>
                </c:pt>
                <c:pt idx="19">
                  <c:v>64</c:v>
                </c:pt>
                <c:pt idx="20">
                  <c:v>78</c:v>
                </c:pt>
                <c:pt idx="21">
                  <c:v>86</c:v>
                </c:pt>
                <c:pt idx="22">
                  <c:v>93</c:v>
                </c:pt>
                <c:pt idx="23">
                  <c:v>100</c:v>
                </c:pt>
                <c:pt idx="24">
                  <c:v>107</c:v>
                </c:pt>
                <c:pt idx="25">
                  <c:v>113</c:v>
                </c:pt>
                <c:pt idx="26">
                  <c:v>129</c:v>
                </c:pt>
                <c:pt idx="27">
                  <c:v>156</c:v>
                </c:pt>
                <c:pt idx="28">
                  <c:v>172</c:v>
                </c:pt>
                <c:pt idx="29">
                  <c:v>179</c:v>
                </c:pt>
                <c:pt idx="30">
                  <c:v>186</c:v>
                </c:pt>
                <c:pt idx="31">
                  <c:v>186</c:v>
                </c:pt>
                <c:pt idx="32">
                  <c:v>191</c:v>
                </c:pt>
                <c:pt idx="33">
                  <c:v>195</c:v>
                </c:pt>
                <c:pt idx="34">
                  <c:v>201</c:v>
                </c:pt>
                <c:pt idx="35">
                  <c:v>219</c:v>
                </c:pt>
                <c:pt idx="36">
                  <c:v>247</c:v>
                </c:pt>
                <c:pt idx="37">
                  <c:v>264</c:v>
                </c:pt>
                <c:pt idx="38">
                  <c:v>278</c:v>
                </c:pt>
                <c:pt idx="39">
                  <c:v>312</c:v>
                </c:pt>
                <c:pt idx="40">
                  <c:v>358</c:v>
                </c:pt>
                <c:pt idx="41">
                  <c:v>373</c:v>
                </c:pt>
                <c:pt idx="42">
                  <c:v>389</c:v>
                </c:pt>
                <c:pt idx="43">
                  <c:v>396</c:v>
                </c:pt>
                <c:pt idx="44">
                  <c:v>405</c:v>
                </c:pt>
                <c:pt idx="45">
                  <c:v>418</c:v>
                </c:pt>
                <c:pt idx="46">
                  <c:v>435</c:v>
                </c:pt>
                <c:pt idx="47">
                  <c:v>444</c:v>
                </c:pt>
                <c:pt idx="48">
                  <c:v>447</c:v>
                </c:pt>
                <c:pt idx="49">
                  <c:v>457</c:v>
                </c:pt>
                <c:pt idx="50">
                  <c:v>474</c:v>
                </c:pt>
                <c:pt idx="51">
                  <c:v>476</c:v>
                </c:pt>
                <c:pt idx="52">
                  <c:v>477</c:v>
                </c:pt>
                <c:pt idx="53">
                  <c:v>477</c:v>
                </c:pt>
                <c:pt idx="54">
                  <c:v>477</c:v>
                </c:pt>
                <c:pt idx="55">
                  <c:v>480</c:v>
                </c:pt>
                <c:pt idx="56">
                  <c:v>484</c:v>
                </c:pt>
                <c:pt idx="57">
                  <c:v>488</c:v>
                </c:pt>
                <c:pt idx="58">
                  <c:v>501</c:v>
                </c:pt>
                <c:pt idx="59">
                  <c:v>507</c:v>
                </c:pt>
                <c:pt idx="60">
                  <c:v>518</c:v>
                </c:pt>
                <c:pt idx="61">
                  <c:v>529</c:v>
                </c:pt>
                <c:pt idx="62">
                  <c:v>542</c:v>
                </c:pt>
                <c:pt idx="63">
                  <c:v>562</c:v>
                </c:pt>
                <c:pt idx="64">
                  <c:v>582</c:v>
                </c:pt>
                <c:pt idx="65">
                  <c:v>598</c:v>
                </c:pt>
                <c:pt idx="66">
                  <c:v>615</c:v>
                </c:pt>
                <c:pt idx="67">
                  <c:v>617</c:v>
                </c:pt>
                <c:pt idx="68">
                  <c:v>617</c:v>
                </c:pt>
                <c:pt idx="69">
                  <c:v>618</c:v>
                </c:pt>
                <c:pt idx="70">
                  <c:v>620</c:v>
                </c:pt>
                <c:pt idx="71">
                  <c:v>623</c:v>
                </c:pt>
                <c:pt idx="72">
                  <c:v>626</c:v>
                </c:pt>
                <c:pt idx="73">
                  <c:v>630</c:v>
                </c:pt>
                <c:pt idx="74">
                  <c:v>634</c:v>
                </c:pt>
                <c:pt idx="75">
                  <c:v>637</c:v>
                </c:pt>
                <c:pt idx="76">
                  <c:v>642</c:v>
                </c:pt>
                <c:pt idx="77">
                  <c:v>645</c:v>
                </c:pt>
                <c:pt idx="78">
                  <c:v>654</c:v>
                </c:pt>
                <c:pt idx="79">
                  <c:v>657</c:v>
                </c:pt>
                <c:pt idx="80">
                  <c:v>659</c:v>
                </c:pt>
                <c:pt idx="81">
                  <c:v>661</c:v>
                </c:pt>
                <c:pt idx="82">
                  <c:v>663</c:v>
                </c:pt>
                <c:pt idx="83">
                  <c:v>664</c:v>
                </c:pt>
                <c:pt idx="84">
                  <c:v>664</c:v>
                </c:pt>
                <c:pt idx="85">
                  <c:v>665</c:v>
                </c:pt>
                <c:pt idx="86">
                  <c:v>666</c:v>
                </c:pt>
                <c:pt idx="87">
                  <c:v>666</c:v>
                </c:pt>
                <c:pt idx="88">
                  <c:v>667</c:v>
                </c:pt>
                <c:pt idx="89">
                  <c:v>667</c:v>
                </c:pt>
                <c:pt idx="90">
                  <c:v>667</c:v>
                </c:pt>
                <c:pt idx="91">
                  <c:v>668</c:v>
                </c:pt>
                <c:pt idx="92">
                  <c:v>668</c:v>
                </c:pt>
                <c:pt idx="93">
                  <c:v>669</c:v>
                </c:pt>
                <c:pt idx="94">
                  <c:v>669</c:v>
                </c:pt>
                <c:pt idx="95">
                  <c:v>669</c:v>
                </c:pt>
                <c:pt idx="96">
                  <c:v>669</c:v>
                </c:pt>
                <c:pt idx="97">
                  <c:v>669</c:v>
                </c:pt>
                <c:pt idx="98">
                  <c:v>669</c:v>
                </c:pt>
                <c:pt idx="99">
                  <c:v>669</c:v>
                </c:pt>
                <c:pt idx="100">
                  <c:v>669</c:v>
                </c:pt>
                <c:pt idx="101">
                  <c:v>669</c:v>
                </c:pt>
                <c:pt idx="102">
                  <c:v>669</c:v>
                </c:pt>
                <c:pt idx="103">
                  <c:v>669</c:v>
                </c:pt>
                <c:pt idx="104">
                  <c:v>669</c:v>
                </c:pt>
                <c:pt idx="105">
                  <c:v>669</c:v>
                </c:pt>
                <c:pt idx="106">
                  <c:v>669</c:v>
                </c:pt>
                <c:pt idx="107">
                  <c:v>669</c:v>
                </c:pt>
                <c:pt idx="108">
                  <c:v>669</c:v>
                </c:pt>
                <c:pt idx="109">
                  <c:v>669</c:v>
                </c:pt>
                <c:pt idx="110">
                  <c:v>669</c:v>
                </c:pt>
                <c:pt idx="111">
                  <c:v>669</c:v>
                </c:pt>
                <c:pt idx="112">
                  <c:v>669</c:v>
                </c:pt>
                <c:pt idx="113">
                  <c:v>669</c:v>
                </c:pt>
                <c:pt idx="114">
                  <c:v>669</c:v>
                </c:pt>
                <c:pt idx="115">
                  <c:v>669</c:v>
                </c:pt>
                <c:pt idx="116">
                  <c:v>669</c:v>
                </c:pt>
                <c:pt idx="117">
                  <c:v>669</c:v>
                </c:pt>
                <c:pt idx="118">
                  <c:v>669</c:v>
                </c:pt>
                <c:pt idx="119">
                  <c:v>669</c:v>
                </c:pt>
                <c:pt idx="120">
                  <c:v>669</c:v>
                </c:pt>
                <c:pt idx="121">
                  <c:v>669</c:v>
                </c:pt>
                <c:pt idx="122">
                  <c:v>669</c:v>
                </c:pt>
                <c:pt idx="123">
                  <c:v>669</c:v>
                </c:pt>
                <c:pt idx="124">
                  <c:v>669</c:v>
                </c:pt>
                <c:pt idx="125">
                  <c:v>669</c:v>
                </c:pt>
                <c:pt idx="126">
                  <c:v>669</c:v>
                </c:pt>
                <c:pt idx="127">
                  <c:v>669</c:v>
                </c:pt>
                <c:pt idx="128">
                  <c:v>669</c:v>
                </c:pt>
                <c:pt idx="129">
                  <c:v>669</c:v>
                </c:pt>
                <c:pt idx="130">
                  <c:v>669</c:v>
                </c:pt>
                <c:pt idx="131">
                  <c:v>669</c:v>
                </c:pt>
                <c:pt idx="132">
                  <c:v>669</c:v>
                </c:pt>
                <c:pt idx="133">
                  <c:v>669</c:v>
                </c:pt>
                <c:pt idx="134">
                  <c:v>669</c:v>
                </c:pt>
                <c:pt idx="135">
                  <c:v>669</c:v>
                </c:pt>
                <c:pt idx="136">
                  <c:v>669</c:v>
                </c:pt>
                <c:pt idx="137">
                  <c:v>669</c:v>
                </c:pt>
                <c:pt idx="138">
                  <c:v>669</c:v>
                </c:pt>
                <c:pt idx="139">
                  <c:v>669</c:v>
                </c:pt>
                <c:pt idx="140">
                  <c:v>669</c:v>
                </c:pt>
                <c:pt idx="141">
                  <c:v>669</c:v>
                </c:pt>
                <c:pt idx="142">
                  <c:v>669</c:v>
                </c:pt>
                <c:pt idx="143">
                  <c:v>669</c:v>
                </c:pt>
                <c:pt idx="144">
                  <c:v>669</c:v>
                </c:pt>
                <c:pt idx="145">
                  <c:v>669</c:v>
                </c:pt>
                <c:pt idx="146">
                  <c:v>669</c:v>
                </c:pt>
                <c:pt idx="147">
                  <c:v>669</c:v>
                </c:pt>
                <c:pt idx="148">
                  <c:v>669</c:v>
                </c:pt>
                <c:pt idx="149">
                  <c:v>669</c:v>
                </c:pt>
                <c:pt idx="150">
                  <c:v>669</c:v>
                </c:pt>
                <c:pt idx="151">
                  <c:v>669</c:v>
                </c:pt>
                <c:pt idx="152">
                  <c:v>669</c:v>
                </c:pt>
                <c:pt idx="153">
                  <c:v>669</c:v>
                </c:pt>
                <c:pt idx="154">
                  <c:v>669</c:v>
                </c:pt>
                <c:pt idx="155">
                  <c:v>669</c:v>
                </c:pt>
                <c:pt idx="156">
                  <c:v>669</c:v>
                </c:pt>
                <c:pt idx="157">
                  <c:v>669</c:v>
                </c:pt>
                <c:pt idx="158">
                  <c:v>669</c:v>
                </c:pt>
                <c:pt idx="159">
                  <c:v>669</c:v>
                </c:pt>
                <c:pt idx="160">
                  <c:v>669</c:v>
                </c:pt>
                <c:pt idx="161">
                  <c:v>669</c:v>
                </c:pt>
                <c:pt idx="162">
                  <c:v>669</c:v>
                </c:pt>
                <c:pt idx="163">
                  <c:v>669</c:v>
                </c:pt>
                <c:pt idx="164">
                  <c:v>669</c:v>
                </c:pt>
                <c:pt idx="165">
                  <c:v>669</c:v>
                </c:pt>
                <c:pt idx="166">
                  <c:v>669</c:v>
                </c:pt>
                <c:pt idx="167">
                  <c:v>669</c:v>
                </c:pt>
                <c:pt idx="168">
                  <c:v>669</c:v>
                </c:pt>
                <c:pt idx="169">
                  <c:v>669</c:v>
                </c:pt>
                <c:pt idx="170">
                  <c:v>669</c:v>
                </c:pt>
                <c:pt idx="171">
                  <c:v>669</c:v>
                </c:pt>
                <c:pt idx="172">
                  <c:v>669</c:v>
                </c:pt>
                <c:pt idx="173">
                  <c:v>669</c:v>
                </c:pt>
                <c:pt idx="174">
                  <c:v>669</c:v>
                </c:pt>
                <c:pt idx="175">
                  <c:v>669</c:v>
                </c:pt>
                <c:pt idx="176">
                  <c:v>669</c:v>
                </c:pt>
                <c:pt idx="177">
                  <c:v>669</c:v>
                </c:pt>
                <c:pt idx="178">
                  <c:v>669</c:v>
                </c:pt>
                <c:pt idx="179">
                  <c:v>669</c:v>
                </c:pt>
                <c:pt idx="180">
                  <c:v>669</c:v>
                </c:pt>
                <c:pt idx="181">
                  <c:v>669</c:v>
                </c:pt>
                <c:pt idx="182">
                  <c:v>669</c:v>
                </c:pt>
                <c:pt idx="183">
                  <c:v>669</c:v>
                </c:pt>
                <c:pt idx="184">
                  <c:v>669</c:v>
                </c:pt>
                <c:pt idx="185">
                  <c:v>669</c:v>
                </c:pt>
                <c:pt idx="186">
                  <c:v>669</c:v>
                </c:pt>
                <c:pt idx="187">
                  <c:v>669</c:v>
                </c:pt>
                <c:pt idx="188">
                  <c:v>669</c:v>
                </c:pt>
                <c:pt idx="189">
                  <c:v>669</c:v>
                </c:pt>
                <c:pt idx="190">
                  <c:v>669</c:v>
                </c:pt>
                <c:pt idx="191">
                  <c:v>669</c:v>
                </c:pt>
                <c:pt idx="192">
                  <c:v>669</c:v>
                </c:pt>
              </c:numCache>
            </c:numRef>
          </c:yVal>
          <c:smooth val="0"/>
        </c:ser>
        <c:ser>
          <c:idx val="3"/>
          <c:order val="3"/>
          <c:tx>
            <c:v>Boondall Bcc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cumulative!$AD$3:$AD$195</c:f>
              <c:numCache>
                <c:formatCode>General</c:formatCode>
                <c:ptCount val="1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1.9</c:v>
                </c:pt>
                <c:pt idx="10">
                  <c:v>1.9</c:v>
                </c:pt>
                <c:pt idx="11">
                  <c:v>2.5</c:v>
                </c:pt>
                <c:pt idx="12">
                  <c:v>6.2</c:v>
                </c:pt>
                <c:pt idx="13">
                  <c:v>8.1</c:v>
                </c:pt>
                <c:pt idx="14">
                  <c:v>10</c:v>
                </c:pt>
                <c:pt idx="15">
                  <c:v>11.9</c:v>
                </c:pt>
                <c:pt idx="16">
                  <c:v>12.5</c:v>
                </c:pt>
                <c:pt idx="17">
                  <c:v>17.5</c:v>
                </c:pt>
                <c:pt idx="18">
                  <c:v>26.9</c:v>
                </c:pt>
                <c:pt idx="19">
                  <c:v>35.599999999999994</c:v>
                </c:pt>
                <c:pt idx="20">
                  <c:v>44.399999999999991</c:v>
                </c:pt>
                <c:pt idx="21">
                  <c:v>57.499999999999993</c:v>
                </c:pt>
                <c:pt idx="22">
                  <c:v>72.5</c:v>
                </c:pt>
                <c:pt idx="23">
                  <c:v>90</c:v>
                </c:pt>
                <c:pt idx="24">
                  <c:v>99.4</c:v>
                </c:pt>
                <c:pt idx="25">
                  <c:v>146.19999999999999</c:v>
                </c:pt>
                <c:pt idx="26">
                  <c:v>186.2</c:v>
                </c:pt>
                <c:pt idx="27">
                  <c:v>219.39999999999998</c:v>
                </c:pt>
                <c:pt idx="28">
                  <c:v>238.09999999999997</c:v>
                </c:pt>
                <c:pt idx="29">
                  <c:v>241.89999999999998</c:v>
                </c:pt>
                <c:pt idx="30">
                  <c:v>245.59999999999997</c:v>
                </c:pt>
                <c:pt idx="31">
                  <c:v>249.39999999999998</c:v>
                </c:pt>
                <c:pt idx="32">
                  <c:v>250.59999999999997</c:v>
                </c:pt>
                <c:pt idx="33">
                  <c:v>254.39999999999998</c:v>
                </c:pt>
                <c:pt idx="34">
                  <c:v>262.5</c:v>
                </c:pt>
                <c:pt idx="35">
                  <c:v>271.89999999999998</c:v>
                </c:pt>
                <c:pt idx="36">
                  <c:v>280.59999999999997</c:v>
                </c:pt>
                <c:pt idx="37">
                  <c:v>289.99999999999994</c:v>
                </c:pt>
                <c:pt idx="38">
                  <c:v>314.99999999999994</c:v>
                </c:pt>
                <c:pt idx="39">
                  <c:v>348.69999999999993</c:v>
                </c:pt>
                <c:pt idx="40">
                  <c:v>365.59999999999991</c:v>
                </c:pt>
                <c:pt idx="41">
                  <c:v>387.49999999999989</c:v>
                </c:pt>
                <c:pt idx="42">
                  <c:v>393.69999999999987</c:v>
                </c:pt>
                <c:pt idx="43">
                  <c:v>397.49999999999989</c:v>
                </c:pt>
                <c:pt idx="44">
                  <c:v>403.69999999999987</c:v>
                </c:pt>
                <c:pt idx="45">
                  <c:v>416.19999999999987</c:v>
                </c:pt>
                <c:pt idx="46">
                  <c:v>425.59999999999985</c:v>
                </c:pt>
                <c:pt idx="47">
                  <c:v>429.39999999999986</c:v>
                </c:pt>
                <c:pt idx="48">
                  <c:v>435.59999999999985</c:v>
                </c:pt>
                <c:pt idx="49">
                  <c:v>439.99999999999983</c:v>
                </c:pt>
                <c:pt idx="50">
                  <c:v>446.19999999999982</c:v>
                </c:pt>
                <c:pt idx="51">
                  <c:v>451.89999999999981</c:v>
                </c:pt>
                <c:pt idx="52">
                  <c:v>452.49999999999983</c:v>
                </c:pt>
                <c:pt idx="53">
                  <c:v>452.49999999999983</c:v>
                </c:pt>
                <c:pt idx="54">
                  <c:v>453.09999999999985</c:v>
                </c:pt>
                <c:pt idx="55">
                  <c:v>453.69999999999987</c:v>
                </c:pt>
                <c:pt idx="56">
                  <c:v>453.69999999999987</c:v>
                </c:pt>
                <c:pt idx="57">
                  <c:v>456.19999999999987</c:v>
                </c:pt>
                <c:pt idx="58">
                  <c:v>473.69999999999987</c:v>
                </c:pt>
                <c:pt idx="59">
                  <c:v>479.99999999999989</c:v>
                </c:pt>
                <c:pt idx="60">
                  <c:v>488.09999999999991</c:v>
                </c:pt>
                <c:pt idx="61">
                  <c:v>502.49999999999989</c:v>
                </c:pt>
                <c:pt idx="62">
                  <c:v>514.39999999999986</c:v>
                </c:pt>
                <c:pt idx="63">
                  <c:v>528.69999999999982</c:v>
                </c:pt>
                <c:pt idx="64">
                  <c:v>535.5999999999998</c:v>
                </c:pt>
                <c:pt idx="65">
                  <c:v>542.49999999999977</c:v>
                </c:pt>
                <c:pt idx="66">
                  <c:v>546.89999999999975</c:v>
                </c:pt>
                <c:pt idx="67">
                  <c:v>554.99999999999977</c:v>
                </c:pt>
                <c:pt idx="68">
                  <c:v>558.69999999999982</c:v>
                </c:pt>
                <c:pt idx="69">
                  <c:v>564.39999999999986</c:v>
                </c:pt>
                <c:pt idx="70">
                  <c:v>569.99999999999989</c:v>
                </c:pt>
                <c:pt idx="71">
                  <c:v>573.69999999999993</c:v>
                </c:pt>
                <c:pt idx="72">
                  <c:v>578.69999999999993</c:v>
                </c:pt>
                <c:pt idx="73">
                  <c:v>579.99999999999989</c:v>
                </c:pt>
                <c:pt idx="74">
                  <c:v>581.89999999999986</c:v>
                </c:pt>
                <c:pt idx="75">
                  <c:v>587.49999999999989</c:v>
                </c:pt>
                <c:pt idx="76">
                  <c:v>591.89999999999986</c:v>
                </c:pt>
                <c:pt idx="77">
                  <c:v>594.99999999999989</c:v>
                </c:pt>
                <c:pt idx="78">
                  <c:v>598.69999999999993</c:v>
                </c:pt>
                <c:pt idx="79">
                  <c:v>601.19999999999993</c:v>
                </c:pt>
                <c:pt idx="80">
                  <c:v>614.4</c:v>
                </c:pt>
                <c:pt idx="81">
                  <c:v>616.9</c:v>
                </c:pt>
                <c:pt idx="82">
                  <c:v>620</c:v>
                </c:pt>
                <c:pt idx="83">
                  <c:v>621.20000000000005</c:v>
                </c:pt>
                <c:pt idx="84">
                  <c:v>621.20000000000005</c:v>
                </c:pt>
                <c:pt idx="85">
                  <c:v>621.20000000000005</c:v>
                </c:pt>
                <c:pt idx="86">
                  <c:v>621.90000000000009</c:v>
                </c:pt>
                <c:pt idx="87">
                  <c:v>622.50000000000011</c:v>
                </c:pt>
                <c:pt idx="88">
                  <c:v>623.10000000000014</c:v>
                </c:pt>
                <c:pt idx="89">
                  <c:v>623.10000000000014</c:v>
                </c:pt>
                <c:pt idx="90">
                  <c:v>623.10000000000014</c:v>
                </c:pt>
                <c:pt idx="91">
                  <c:v>623.10000000000014</c:v>
                </c:pt>
                <c:pt idx="92">
                  <c:v>624.40000000000009</c:v>
                </c:pt>
                <c:pt idx="93">
                  <c:v>625.00000000000011</c:v>
                </c:pt>
                <c:pt idx="94">
                  <c:v>625.60000000000014</c:v>
                </c:pt>
                <c:pt idx="95">
                  <c:v>625.60000000000014</c:v>
                </c:pt>
                <c:pt idx="96">
                  <c:v>625.60000000000014</c:v>
                </c:pt>
                <c:pt idx="97">
                  <c:v>625.60000000000014</c:v>
                </c:pt>
                <c:pt idx="98">
                  <c:v>625.60000000000014</c:v>
                </c:pt>
                <c:pt idx="99">
                  <c:v>625.60000000000014</c:v>
                </c:pt>
                <c:pt idx="100">
                  <c:v>625.60000000000014</c:v>
                </c:pt>
                <c:pt idx="101">
                  <c:v>625.60000000000014</c:v>
                </c:pt>
                <c:pt idx="102">
                  <c:v>625.60000000000014</c:v>
                </c:pt>
                <c:pt idx="103">
                  <c:v>625.60000000000014</c:v>
                </c:pt>
                <c:pt idx="104">
                  <c:v>625.60000000000014</c:v>
                </c:pt>
                <c:pt idx="105">
                  <c:v>625.60000000000014</c:v>
                </c:pt>
                <c:pt idx="106">
                  <c:v>625.60000000000014</c:v>
                </c:pt>
                <c:pt idx="107">
                  <c:v>625.60000000000014</c:v>
                </c:pt>
                <c:pt idx="108">
                  <c:v>625.60000000000014</c:v>
                </c:pt>
                <c:pt idx="109">
                  <c:v>625.60000000000014</c:v>
                </c:pt>
                <c:pt idx="110">
                  <c:v>625.60000000000014</c:v>
                </c:pt>
                <c:pt idx="111">
                  <c:v>625.60000000000014</c:v>
                </c:pt>
                <c:pt idx="112">
                  <c:v>625.60000000000014</c:v>
                </c:pt>
                <c:pt idx="113">
                  <c:v>625.60000000000014</c:v>
                </c:pt>
                <c:pt idx="114">
                  <c:v>625.60000000000014</c:v>
                </c:pt>
                <c:pt idx="115">
                  <c:v>625.60000000000014</c:v>
                </c:pt>
                <c:pt idx="116">
                  <c:v>625.60000000000014</c:v>
                </c:pt>
                <c:pt idx="117">
                  <c:v>625.60000000000014</c:v>
                </c:pt>
                <c:pt idx="118">
                  <c:v>625.60000000000014</c:v>
                </c:pt>
                <c:pt idx="119">
                  <c:v>625.60000000000014</c:v>
                </c:pt>
                <c:pt idx="120">
                  <c:v>625.60000000000014</c:v>
                </c:pt>
                <c:pt idx="121">
                  <c:v>625.60000000000014</c:v>
                </c:pt>
                <c:pt idx="122">
                  <c:v>625.60000000000014</c:v>
                </c:pt>
                <c:pt idx="123">
                  <c:v>625.60000000000014</c:v>
                </c:pt>
                <c:pt idx="124">
                  <c:v>625.60000000000014</c:v>
                </c:pt>
                <c:pt idx="125">
                  <c:v>625.60000000000014</c:v>
                </c:pt>
                <c:pt idx="126">
                  <c:v>625.60000000000014</c:v>
                </c:pt>
                <c:pt idx="127">
                  <c:v>625.60000000000014</c:v>
                </c:pt>
                <c:pt idx="128">
                  <c:v>625.60000000000014</c:v>
                </c:pt>
                <c:pt idx="129">
                  <c:v>625.60000000000014</c:v>
                </c:pt>
                <c:pt idx="130">
                  <c:v>625.60000000000014</c:v>
                </c:pt>
                <c:pt idx="131">
                  <c:v>625.60000000000014</c:v>
                </c:pt>
                <c:pt idx="132">
                  <c:v>625.60000000000014</c:v>
                </c:pt>
                <c:pt idx="133">
                  <c:v>625.60000000000014</c:v>
                </c:pt>
                <c:pt idx="134">
                  <c:v>625.60000000000014</c:v>
                </c:pt>
                <c:pt idx="135">
                  <c:v>625.60000000000014</c:v>
                </c:pt>
                <c:pt idx="136">
                  <c:v>625.60000000000014</c:v>
                </c:pt>
                <c:pt idx="137">
                  <c:v>625.60000000000014</c:v>
                </c:pt>
                <c:pt idx="138">
                  <c:v>625.60000000000014</c:v>
                </c:pt>
                <c:pt idx="139">
                  <c:v>625.60000000000014</c:v>
                </c:pt>
                <c:pt idx="140">
                  <c:v>625.60000000000014</c:v>
                </c:pt>
                <c:pt idx="141">
                  <c:v>625.60000000000014</c:v>
                </c:pt>
                <c:pt idx="142">
                  <c:v>625.60000000000014</c:v>
                </c:pt>
                <c:pt idx="143">
                  <c:v>625.60000000000014</c:v>
                </c:pt>
                <c:pt idx="144">
                  <c:v>625.60000000000014</c:v>
                </c:pt>
                <c:pt idx="145">
                  <c:v>625.60000000000014</c:v>
                </c:pt>
                <c:pt idx="146">
                  <c:v>625.60000000000014</c:v>
                </c:pt>
                <c:pt idx="147">
                  <c:v>625.60000000000014</c:v>
                </c:pt>
                <c:pt idx="148">
                  <c:v>625.60000000000014</c:v>
                </c:pt>
                <c:pt idx="149">
                  <c:v>625.60000000000014</c:v>
                </c:pt>
                <c:pt idx="150">
                  <c:v>625.60000000000014</c:v>
                </c:pt>
                <c:pt idx="151">
                  <c:v>625.60000000000014</c:v>
                </c:pt>
                <c:pt idx="152">
                  <c:v>625.60000000000014</c:v>
                </c:pt>
                <c:pt idx="153">
                  <c:v>625.60000000000014</c:v>
                </c:pt>
                <c:pt idx="154">
                  <c:v>625.60000000000014</c:v>
                </c:pt>
                <c:pt idx="155">
                  <c:v>625.60000000000014</c:v>
                </c:pt>
                <c:pt idx="156">
                  <c:v>625.60000000000014</c:v>
                </c:pt>
                <c:pt idx="157">
                  <c:v>625.60000000000014</c:v>
                </c:pt>
                <c:pt idx="158">
                  <c:v>625.60000000000014</c:v>
                </c:pt>
                <c:pt idx="159">
                  <c:v>625.60000000000014</c:v>
                </c:pt>
                <c:pt idx="160">
                  <c:v>625.60000000000014</c:v>
                </c:pt>
                <c:pt idx="161">
                  <c:v>625.60000000000014</c:v>
                </c:pt>
                <c:pt idx="162">
                  <c:v>625.60000000000014</c:v>
                </c:pt>
                <c:pt idx="163">
                  <c:v>625.60000000000014</c:v>
                </c:pt>
                <c:pt idx="164">
                  <c:v>625.60000000000014</c:v>
                </c:pt>
                <c:pt idx="165">
                  <c:v>625.60000000000014</c:v>
                </c:pt>
                <c:pt idx="166">
                  <c:v>625.60000000000014</c:v>
                </c:pt>
                <c:pt idx="167">
                  <c:v>625.60000000000014</c:v>
                </c:pt>
                <c:pt idx="168">
                  <c:v>625.60000000000014</c:v>
                </c:pt>
                <c:pt idx="169">
                  <c:v>625.60000000000014</c:v>
                </c:pt>
                <c:pt idx="170">
                  <c:v>625.60000000000014</c:v>
                </c:pt>
                <c:pt idx="171">
                  <c:v>625.60000000000014</c:v>
                </c:pt>
                <c:pt idx="172">
                  <c:v>625.60000000000014</c:v>
                </c:pt>
                <c:pt idx="173">
                  <c:v>625.60000000000014</c:v>
                </c:pt>
                <c:pt idx="174">
                  <c:v>625.60000000000014</c:v>
                </c:pt>
                <c:pt idx="175">
                  <c:v>625.60000000000014</c:v>
                </c:pt>
                <c:pt idx="176">
                  <c:v>625.60000000000014</c:v>
                </c:pt>
                <c:pt idx="177">
                  <c:v>625.60000000000014</c:v>
                </c:pt>
                <c:pt idx="178">
                  <c:v>625.60000000000014</c:v>
                </c:pt>
                <c:pt idx="179">
                  <c:v>625.60000000000014</c:v>
                </c:pt>
                <c:pt idx="180">
                  <c:v>625.60000000000014</c:v>
                </c:pt>
                <c:pt idx="181">
                  <c:v>625.60000000000014</c:v>
                </c:pt>
                <c:pt idx="182">
                  <c:v>625.60000000000014</c:v>
                </c:pt>
                <c:pt idx="183">
                  <c:v>625.60000000000014</c:v>
                </c:pt>
                <c:pt idx="184">
                  <c:v>625.60000000000014</c:v>
                </c:pt>
                <c:pt idx="185">
                  <c:v>625.60000000000014</c:v>
                </c:pt>
                <c:pt idx="186">
                  <c:v>625.60000000000014</c:v>
                </c:pt>
                <c:pt idx="187">
                  <c:v>625.60000000000014</c:v>
                </c:pt>
                <c:pt idx="188">
                  <c:v>625.60000000000014</c:v>
                </c:pt>
                <c:pt idx="189">
                  <c:v>625.60000000000014</c:v>
                </c:pt>
                <c:pt idx="190">
                  <c:v>625.60000000000014</c:v>
                </c:pt>
                <c:pt idx="191">
                  <c:v>625.60000000000014</c:v>
                </c:pt>
                <c:pt idx="192">
                  <c:v>625.60000000000014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997184"/>
        <c:axId val="250073088"/>
      </c:scatterChart>
      <c:valAx>
        <c:axId val="249997184"/>
        <c:scaling>
          <c:orientation val="minMax"/>
          <c:max val="27061.375"/>
          <c:min val="27053.37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Date Time</a:t>
                </a:r>
                <a:endParaRPr/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txPr>
          <a:bodyPr rot="-900000" vert="horz"/>
          <a:lstStyle/>
          <a:p>
            <a:pPr>
              <a:defRPr/>
            </a:pPr>
            <a:endParaRPr lang="en-US"/>
          </a:p>
        </c:txPr>
        <c:crossAx val="250073088"/>
        <c:crosses val="autoZero"/>
        <c:crossBetween val="midCat"/>
      </c:valAx>
      <c:valAx>
        <c:axId val="250073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Rainfall (mm)</a:t>
                </a:r>
                <a:endParaRPr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99971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All Others- Pluviograph</a:t>
            </a:r>
            <a:endParaRPr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Nambour DPI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cumulative!$AE$3:$AE$195</c:f>
              <c:numCache>
                <c:formatCode>General</c:formatCode>
                <c:ptCount val="193"/>
                <c:pt idx="0">
                  <c:v>0</c:v>
                </c:pt>
                <c:pt idx="1">
                  <c:v>4.41</c:v>
                </c:pt>
                <c:pt idx="2">
                  <c:v>5.79</c:v>
                </c:pt>
                <c:pt idx="3">
                  <c:v>6</c:v>
                </c:pt>
                <c:pt idx="4">
                  <c:v>6.1</c:v>
                </c:pt>
                <c:pt idx="5">
                  <c:v>6.3999999999999995</c:v>
                </c:pt>
                <c:pt idx="6">
                  <c:v>11.57</c:v>
                </c:pt>
                <c:pt idx="7">
                  <c:v>13.21</c:v>
                </c:pt>
                <c:pt idx="8">
                  <c:v>17.91</c:v>
                </c:pt>
                <c:pt idx="9">
                  <c:v>26.880000000000003</c:v>
                </c:pt>
                <c:pt idx="10">
                  <c:v>37.940000000000005</c:v>
                </c:pt>
                <c:pt idx="11">
                  <c:v>57.730000000000004</c:v>
                </c:pt>
                <c:pt idx="12">
                  <c:v>72.710000000000008</c:v>
                </c:pt>
                <c:pt idx="13">
                  <c:v>82.890000000000015</c:v>
                </c:pt>
                <c:pt idx="14">
                  <c:v>88.240000000000009</c:v>
                </c:pt>
                <c:pt idx="15">
                  <c:v>98.300000000000011</c:v>
                </c:pt>
                <c:pt idx="16">
                  <c:v>112.74000000000001</c:v>
                </c:pt>
                <c:pt idx="17">
                  <c:v>125.55000000000001</c:v>
                </c:pt>
                <c:pt idx="18">
                  <c:v>138.43</c:v>
                </c:pt>
                <c:pt idx="19">
                  <c:v>155.59</c:v>
                </c:pt>
                <c:pt idx="20">
                  <c:v>177.57</c:v>
                </c:pt>
                <c:pt idx="21">
                  <c:v>201.59</c:v>
                </c:pt>
                <c:pt idx="22">
                  <c:v>213.49</c:v>
                </c:pt>
                <c:pt idx="23">
                  <c:v>216.03</c:v>
                </c:pt>
                <c:pt idx="24">
                  <c:v>216.03</c:v>
                </c:pt>
                <c:pt idx="25">
                  <c:v>216.03</c:v>
                </c:pt>
                <c:pt idx="26">
                  <c:v>216.03</c:v>
                </c:pt>
                <c:pt idx="27">
                  <c:v>216.03</c:v>
                </c:pt>
                <c:pt idx="28">
                  <c:v>216.44</c:v>
                </c:pt>
                <c:pt idx="29">
                  <c:v>219.73</c:v>
                </c:pt>
                <c:pt idx="30">
                  <c:v>222.11999999999998</c:v>
                </c:pt>
                <c:pt idx="31">
                  <c:v>227.76999999999998</c:v>
                </c:pt>
                <c:pt idx="32">
                  <c:v>230.40999999999997</c:v>
                </c:pt>
                <c:pt idx="33">
                  <c:v>235.38999999999996</c:v>
                </c:pt>
                <c:pt idx="34">
                  <c:v>249.12999999999997</c:v>
                </c:pt>
                <c:pt idx="35">
                  <c:v>252.92999999999998</c:v>
                </c:pt>
                <c:pt idx="36">
                  <c:v>254.73</c:v>
                </c:pt>
                <c:pt idx="37">
                  <c:v>254.73</c:v>
                </c:pt>
                <c:pt idx="38">
                  <c:v>254.73</c:v>
                </c:pt>
                <c:pt idx="39">
                  <c:v>254.73</c:v>
                </c:pt>
                <c:pt idx="40">
                  <c:v>254.73</c:v>
                </c:pt>
                <c:pt idx="41">
                  <c:v>255.53</c:v>
                </c:pt>
                <c:pt idx="42">
                  <c:v>255.53</c:v>
                </c:pt>
                <c:pt idx="43">
                  <c:v>255.53</c:v>
                </c:pt>
                <c:pt idx="44">
                  <c:v>258.56</c:v>
                </c:pt>
                <c:pt idx="45">
                  <c:v>260.33</c:v>
                </c:pt>
                <c:pt idx="46">
                  <c:v>261.19</c:v>
                </c:pt>
                <c:pt idx="47">
                  <c:v>263.49</c:v>
                </c:pt>
                <c:pt idx="48">
                  <c:v>268.33</c:v>
                </c:pt>
                <c:pt idx="49">
                  <c:v>273.52999999999997</c:v>
                </c:pt>
                <c:pt idx="50">
                  <c:v>274.63</c:v>
                </c:pt>
                <c:pt idx="51">
                  <c:v>274.95999999999998</c:v>
                </c:pt>
                <c:pt idx="52">
                  <c:v>276.22999999999996</c:v>
                </c:pt>
                <c:pt idx="53">
                  <c:v>276.72999999999996</c:v>
                </c:pt>
                <c:pt idx="54">
                  <c:v>280.02999999999997</c:v>
                </c:pt>
                <c:pt idx="55">
                  <c:v>290.79999999999995</c:v>
                </c:pt>
                <c:pt idx="56">
                  <c:v>296.67999999999995</c:v>
                </c:pt>
                <c:pt idx="57">
                  <c:v>308.87999999999994</c:v>
                </c:pt>
                <c:pt idx="58">
                  <c:v>314.51999999999992</c:v>
                </c:pt>
                <c:pt idx="59">
                  <c:v>317.12999999999994</c:v>
                </c:pt>
                <c:pt idx="60">
                  <c:v>322.49999999999994</c:v>
                </c:pt>
                <c:pt idx="61">
                  <c:v>342.11999999999995</c:v>
                </c:pt>
                <c:pt idx="62">
                  <c:v>354.71999999999997</c:v>
                </c:pt>
                <c:pt idx="63">
                  <c:v>373.82</c:v>
                </c:pt>
                <c:pt idx="64">
                  <c:v>386.32</c:v>
                </c:pt>
                <c:pt idx="65">
                  <c:v>403.32</c:v>
                </c:pt>
                <c:pt idx="66">
                  <c:v>424.89</c:v>
                </c:pt>
                <c:pt idx="67">
                  <c:v>446.52</c:v>
                </c:pt>
                <c:pt idx="68">
                  <c:v>455.22999999999996</c:v>
                </c:pt>
                <c:pt idx="69">
                  <c:v>470.25999999999993</c:v>
                </c:pt>
                <c:pt idx="70">
                  <c:v>478.99999999999994</c:v>
                </c:pt>
                <c:pt idx="71">
                  <c:v>482.85999999999996</c:v>
                </c:pt>
                <c:pt idx="72">
                  <c:v>486.71999999999997</c:v>
                </c:pt>
                <c:pt idx="73">
                  <c:v>500.86999999999995</c:v>
                </c:pt>
                <c:pt idx="74">
                  <c:v>511.95999999999992</c:v>
                </c:pt>
                <c:pt idx="75">
                  <c:v>518.61999999999989</c:v>
                </c:pt>
                <c:pt idx="76">
                  <c:v>524.24999999999989</c:v>
                </c:pt>
                <c:pt idx="77">
                  <c:v>530.08999999999992</c:v>
                </c:pt>
                <c:pt idx="78">
                  <c:v>535.59999999999991</c:v>
                </c:pt>
                <c:pt idx="79">
                  <c:v>541.18999999999994</c:v>
                </c:pt>
                <c:pt idx="80">
                  <c:v>549.09999999999991</c:v>
                </c:pt>
                <c:pt idx="81">
                  <c:v>554.43999999999994</c:v>
                </c:pt>
                <c:pt idx="82">
                  <c:v>556.01</c:v>
                </c:pt>
                <c:pt idx="83">
                  <c:v>559.02</c:v>
                </c:pt>
                <c:pt idx="84">
                  <c:v>565.46</c:v>
                </c:pt>
                <c:pt idx="85">
                  <c:v>566.77</c:v>
                </c:pt>
                <c:pt idx="86">
                  <c:v>576.44999999999993</c:v>
                </c:pt>
                <c:pt idx="87">
                  <c:v>581.79</c:v>
                </c:pt>
                <c:pt idx="88">
                  <c:v>584.98</c:v>
                </c:pt>
                <c:pt idx="89">
                  <c:v>585.61</c:v>
                </c:pt>
                <c:pt idx="90">
                  <c:v>586.32000000000005</c:v>
                </c:pt>
                <c:pt idx="91">
                  <c:v>588.23</c:v>
                </c:pt>
                <c:pt idx="92">
                  <c:v>588.9</c:v>
                </c:pt>
                <c:pt idx="93">
                  <c:v>590.41999999999996</c:v>
                </c:pt>
                <c:pt idx="94">
                  <c:v>590.70999999999992</c:v>
                </c:pt>
                <c:pt idx="95">
                  <c:v>597.31999999999994</c:v>
                </c:pt>
                <c:pt idx="96">
                  <c:v>601.41999999999996</c:v>
                </c:pt>
                <c:pt idx="97">
                  <c:v>611.41999999999996</c:v>
                </c:pt>
                <c:pt idx="98">
                  <c:v>615.12</c:v>
                </c:pt>
                <c:pt idx="99">
                  <c:v>615.12</c:v>
                </c:pt>
                <c:pt idx="100">
                  <c:v>615.41999999999996</c:v>
                </c:pt>
                <c:pt idx="101">
                  <c:v>615.41999999999996</c:v>
                </c:pt>
                <c:pt idx="102">
                  <c:v>615.41999999999996</c:v>
                </c:pt>
                <c:pt idx="103">
                  <c:v>615.41999999999996</c:v>
                </c:pt>
                <c:pt idx="104">
                  <c:v>615.71999999999991</c:v>
                </c:pt>
                <c:pt idx="105">
                  <c:v>615.71999999999991</c:v>
                </c:pt>
                <c:pt idx="106">
                  <c:v>615.79</c:v>
                </c:pt>
                <c:pt idx="107">
                  <c:v>616.62</c:v>
                </c:pt>
                <c:pt idx="108">
                  <c:v>616.62</c:v>
                </c:pt>
                <c:pt idx="109">
                  <c:v>616.62</c:v>
                </c:pt>
                <c:pt idx="110">
                  <c:v>616.62</c:v>
                </c:pt>
                <c:pt idx="111">
                  <c:v>616.62</c:v>
                </c:pt>
                <c:pt idx="112">
                  <c:v>616.62</c:v>
                </c:pt>
                <c:pt idx="113">
                  <c:v>616.62</c:v>
                </c:pt>
                <c:pt idx="114">
                  <c:v>616.62</c:v>
                </c:pt>
                <c:pt idx="115">
                  <c:v>616.62</c:v>
                </c:pt>
                <c:pt idx="116">
                  <c:v>616.62</c:v>
                </c:pt>
                <c:pt idx="117">
                  <c:v>616.62</c:v>
                </c:pt>
                <c:pt idx="118">
                  <c:v>616.62</c:v>
                </c:pt>
                <c:pt idx="119">
                  <c:v>616.62</c:v>
                </c:pt>
                <c:pt idx="120">
                  <c:v>616.62</c:v>
                </c:pt>
                <c:pt idx="121">
                  <c:v>616.62</c:v>
                </c:pt>
                <c:pt idx="122">
                  <c:v>616.62</c:v>
                </c:pt>
                <c:pt idx="123">
                  <c:v>616.73</c:v>
                </c:pt>
                <c:pt idx="124">
                  <c:v>616.84</c:v>
                </c:pt>
                <c:pt idx="125">
                  <c:v>616.95000000000005</c:v>
                </c:pt>
                <c:pt idx="126">
                  <c:v>617.06000000000006</c:v>
                </c:pt>
                <c:pt idx="127">
                  <c:v>617.17000000000007</c:v>
                </c:pt>
                <c:pt idx="128">
                  <c:v>617.28000000000009</c:v>
                </c:pt>
                <c:pt idx="129">
                  <c:v>617.3900000000001</c:v>
                </c:pt>
                <c:pt idx="130">
                  <c:v>617.50000000000011</c:v>
                </c:pt>
                <c:pt idx="131">
                  <c:v>617.61000000000013</c:v>
                </c:pt>
                <c:pt idx="132">
                  <c:v>617.72000000000014</c:v>
                </c:pt>
                <c:pt idx="133">
                  <c:v>617.83000000000015</c:v>
                </c:pt>
                <c:pt idx="134">
                  <c:v>617.94000000000017</c:v>
                </c:pt>
                <c:pt idx="135">
                  <c:v>618.05000000000018</c:v>
                </c:pt>
                <c:pt idx="136">
                  <c:v>618.1600000000002</c:v>
                </c:pt>
                <c:pt idx="137">
                  <c:v>618.1600000000002</c:v>
                </c:pt>
                <c:pt idx="138">
                  <c:v>618.1600000000002</c:v>
                </c:pt>
                <c:pt idx="139">
                  <c:v>618.1600000000002</c:v>
                </c:pt>
                <c:pt idx="140">
                  <c:v>620.06000000000017</c:v>
                </c:pt>
                <c:pt idx="141">
                  <c:v>620.06000000000017</c:v>
                </c:pt>
                <c:pt idx="142">
                  <c:v>620.06000000000017</c:v>
                </c:pt>
                <c:pt idx="143">
                  <c:v>620.06000000000017</c:v>
                </c:pt>
                <c:pt idx="144">
                  <c:v>620.06000000000017</c:v>
                </c:pt>
                <c:pt idx="145">
                  <c:v>620.06000000000017</c:v>
                </c:pt>
                <c:pt idx="146">
                  <c:v>621.1600000000002</c:v>
                </c:pt>
                <c:pt idx="147">
                  <c:v>621.1600000000002</c:v>
                </c:pt>
                <c:pt idx="148">
                  <c:v>621.1600000000002</c:v>
                </c:pt>
                <c:pt idx="149">
                  <c:v>622.06000000000017</c:v>
                </c:pt>
                <c:pt idx="150">
                  <c:v>622.06000000000017</c:v>
                </c:pt>
                <c:pt idx="151">
                  <c:v>622.06000000000017</c:v>
                </c:pt>
                <c:pt idx="152">
                  <c:v>622.06000000000017</c:v>
                </c:pt>
                <c:pt idx="153">
                  <c:v>622.06000000000017</c:v>
                </c:pt>
                <c:pt idx="154">
                  <c:v>624.22000000000014</c:v>
                </c:pt>
                <c:pt idx="155">
                  <c:v>624.46000000000015</c:v>
                </c:pt>
                <c:pt idx="156">
                  <c:v>624.46000000000015</c:v>
                </c:pt>
                <c:pt idx="157">
                  <c:v>624.96000000000015</c:v>
                </c:pt>
                <c:pt idx="158">
                  <c:v>626.06000000000017</c:v>
                </c:pt>
                <c:pt idx="159">
                  <c:v>627.1500000000002</c:v>
                </c:pt>
                <c:pt idx="160">
                  <c:v>627.1600000000002</c:v>
                </c:pt>
                <c:pt idx="161">
                  <c:v>627.1600000000002</c:v>
                </c:pt>
                <c:pt idx="162">
                  <c:v>627.1600000000002</c:v>
                </c:pt>
                <c:pt idx="163">
                  <c:v>627.1600000000002</c:v>
                </c:pt>
                <c:pt idx="164">
                  <c:v>627.1600000000002</c:v>
                </c:pt>
                <c:pt idx="165">
                  <c:v>627.1600000000002</c:v>
                </c:pt>
                <c:pt idx="166">
                  <c:v>627.1600000000002</c:v>
                </c:pt>
                <c:pt idx="167">
                  <c:v>627.1600000000002</c:v>
                </c:pt>
                <c:pt idx="168">
                  <c:v>627.1600000000002</c:v>
                </c:pt>
                <c:pt idx="169">
                  <c:v>627.1600000000002</c:v>
                </c:pt>
                <c:pt idx="170">
                  <c:v>632.1600000000002</c:v>
                </c:pt>
                <c:pt idx="171">
                  <c:v>632.1600000000002</c:v>
                </c:pt>
                <c:pt idx="172">
                  <c:v>632.1600000000002</c:v>
                </c:pt>
                <c:pt idx="173">
                  <c:v>632.1600000000002</c:v>
                </c:pt>
                <c:pt idx="174">
                  <c:v>632.1600000000002</c:v>
                </c:pt>
                <c:pt idx="175">
                  <c:v>632.1600000000002</c:v>
                </c:pt>
                <c:pt idx="176">
                  <c:v>632.1600000000002</c:v>
                </c:pt>
                <c:pt idx="177">
                  <c:v>632.1600000000002</c:v>
                </c:pt>
                <c:pt idx="178">
                  <c:v>632.1600000000002</c:v>
                </c:pt>
                <c:pt idx="179">
                  <c:v>632.1600000000002</c:v>
                </c:pt>
                <c:pt idx="180">
                  <c:v>632.1600000000002</c:v>
                </c:pt>
                <c:pt idx="181">
                  <c:v>632.1600000000002</c:v>
                </c:pt>
                <c:pt idx="182">
                  <c:v>632.1600000000002</c:v>
                </c:pt>
                <c:pt idx="183">
                  <c:v>634.46000000000015</c:v>
                </c:pt>
                <c:pt idx="184">
                  <c:v>635.1600000000002</c:v>
                </c:pt>
                <c:pt idx="185">
                  <c:v>635.1600000000002</c:v>
                </c:pt>
                <c:pt idx="186">
                  <c:v>635.1600000000002</c:v>
                </c:pt>
                <c:pt idx="187">
                  <c:v>635.1600000000002</c:v>
                </c:pt>
                <c:pt idx="188">
                  <c:v>635.1600000000002</c:v>
                </c:pt>
                <c:pt idx="189">
                  <c:v>635.1600000000002</c:v>
                </c:pt>
                <c:pt idx="190">
                  <c:v>635.1600000000002</c:v>
                </c:pt>
                <c:pt idx="191">
                  <c:v>635.1600000000002</c:v>
                </c:pt>
                <c:pt idx="192">
                  <c:v>635.1600000000002</c:v>
                </c:pt>
              </c:numCache>
            </c:numRef>
          </c:yVal>
          <c:smooth val="0"/>
        </c:ser>
        <c:ser>
          <c:idx val="1"/>
          <c:order val="1"/>
          <c:tx>
            <c:v>Kenilworth Bridge</c:v>
          </c:tx>
          <c:spPr>
            <a:ln w="25400">
              <a:prstDash val="solid"/>
            </a:ln>
          </c:spPr>
          <c:marker>
            <c:symbol val="none"/>
          </c:marker>
          <c:xVal>
            <c:numRef>
              <c:f>cumulative!$A$3:$A$195</c:f>
              <c:numCache>
                <c:formatCode>m/d/yyyy\ h:mm</c:formatCode>
                <c:ptCount val="193"/>
                <c:pt idx="0">
                  <c:v>27053.375</c:v>
                </c:pt>
                <c:pt idx="1">
                  <c:v>27053.416666666668</c:v>
                </c:pt>
                <c:pt idx="2">
                  <c:v>27053.458333333332</c:v>
                </c:pt>
                <c:pt idx="3">
                  <c:v>27053.5</c:v>
                </c:pt>
                <c:pt idx="4">
                  <c:v>27053.541666666668</c:v>
                </c:pt>
                <c:pt idx="5">
                  <c:v>27053.583333333332</c:v>
                </c:pt>
                <c:pt idx="6">
                  <c:v>27053.625</c:v>
                </c:pt>
                <c:pt idx="7">
                  <c:v>27053.666666666668</c:v>
                </c:pt>
                <c:pt idx="8">
                  <c:v>27053.708333333332</c:v>
                </c:pt>
                <c:pt idx="9">
                  <c:v>27053.75</c:v>
                </c:pt>
                <c:pt idx="10">
                  <c:v>27053.791666666668</c:v>
                </c:pt>
                <c:pt idx="11">
                  <c:v>27053.833333333332</c:v>
                </c:pt>
                <c:pt idx="12">
                  <c:v>27053.875</c:v>
                </c:pt>
                <c:pt idx="13">
                  <c:v>27053.916666666668</c:v>
                </c:pt>
                <c:pt idx="14">
                  <c:v>27053.958333333332</c:v>
                </c:pt>
                <c:pt idx="15">
                  <c:v>27054</c:v>
                </c:pt>
                <c:pt idx="16">
                  <c:v>27054.041666666668</c:v>
                </c:pt>
                <c:pt idx="17">
                  <c:v>27054.083333333332</c:v>
                </c:pt>
                <c:pt idx="18">
                  <c:v>27054.125</c:v>
                </c:pt>
                <c:pt idx="19">
                  <c:v>27054.166666666668</c:v>
                </c:pt>
                <c:pt idx="20">
                  <c:v>27054.208333333332</c:v>
                </c:pt>
                <c:pt idx="21">
                  <c:v>27054.25</c:v>
                </c:pt>
                <c:pt idx="22">
                  <c:v>27054.291666666668</c:v>
                </c:pt>
                <c:pt idx="23">
                  <c:v>27054.333333333332</c:v>
                </c:pt>
                <c:pt idx="24">
                  <c:v>27054.375</c:v>
                </c:pt>
                <c:pt idx="25">
                  <c:v>27054.416666666668</c:v>
                </c:pt>
                <c:pt idx="26">
                  <c:v>27054.458333333332</c:v>
                </c:pt>
                <c:pt idx="27">
                  <c:v>27054.5</c:v>
                </c:pt>
                <c:pt idx="28">
                  <c:v>27054.541666666668</c:v>
                </c:pt>
                <c:pt idx="29">
                  <c:v>27054.583333333332</c:v>
                </c:pt>
                <c:pt idx="30">
                  <c:v>27054.625</c:v>
                </c:pt>
                <c:pt idx="31">
                  <c:v>27054.666666666668</c:v>
                </c:pt>
                <c:pt idx="32">
                  <c:v>27054.708333333332</c:v>
                </c:pt>
                <c:pt idx="33">
                  <c:v>27054.75</c:v>
                </c:pt>
                <c:pt idx="34">
                  <c:v>27054.791666666668</c:v>
                </c:pt>
                <c:pt idx="35">
                  <c:v>27054.833333333332</c:v>
                </c:pt>
                <c:pt idx="36">
                  <c:v>27054.875</c:v>
                </c:pt>
                <c:pt idx="37">
                  <c:v>27054.916666666668</c:v>
                </c:pt>
                <c:pt idx="38">
                  <c:v>27054.958333333332</c:v>
                </c:pt>
                <c:pt idx="39">
                  <c:v>27055</c:v>
                </c:pt>
                <c:pt idx="40">
                  <c:v>27055.041666666668</c:v>
                </c:pt>
                <c:pt idx="41">
                  <c:v>27055.083333333332</c:v>
                </c:pt>
                <c:pt idx="42">
                  <c:v>27055.125</c:v>
                </c:pt>
                <c:pt idx="43">
                  <c:v>27055.166666666668</c:v>
                </c:pt>
                <c:pt idx="44">
                  <c:v>27055.208333333332</c:v>
                </c:pt>
                <c:pt idx="45">
                  <c:v>27055.25</c:v>
                </c:pt>
                <c:pt idx="46">
                  <c:v>27055.291666666668</c:v>
                </c:pt>
                <c:pt idx="47">
                  <c:v>27055.333333333332</c:v>
                </c:pt>
                <c:pt idx="48">
                  <c:v>27055.375</c:v>
                </c:pt>
                <c:pt idx="49">
                  <c:v>27055.416666666668</c:v>
                </c:pt>
                <c:pt idx="50">
                  <c:v>27055.458333333332</c:v>
                </c:pt>
                <c:pt idx="51">
                  <c:v>27055.5</c:v>
                </c:pt>
                <c:pt idx="52">
                  <c:v>27055.541666666668</c:v>
                </c:pt>
                <c:pt idx="53">
                  <c:v>27055.583333333332</c:v>
                </c:pt>
                <c:pt idx="54">
                  <c:v>27055.625</c:v>
                </c:pt>
                <c:pt idx="55">
                  <c:v>27055.666666666668</c:v>
                </c:pt>
                <c:pt idx="56">
                  <c:v>27055.708333333332</c:v>
                </c:pt>
                <c:pt idx="57">
                  <c:v>27055.75</c:v>
                </c:pt>
                <c:pt idx="58">
                  <c:v>27055.791666666668</c:v>
                </c:pt>
                <c:pt idx="59">
                  <c:v>27055.833333333332</c:v>
                </c:pt>
                <c:pt idx="60">
                  <c:v>27055.875</c:v>
                </c:pt>
                <c:pt idx="61">
                  <c:v>27055.916666666668</c:v>
                </c:pt>
                <c:pt idx="62">
                  <c:v>27055.958333333332</c:v>
                </c:pt>
                <c:pt idx="63">
                  <c:v>27056</c:v>
                </c:pt>
                <c:pt idx="64">
                  <c:v>27056.041666666668</c:v>
                </c:pt>
                <c:pt idx="65">
                  <c:v>27056.083333333332</c:v>
                </c:pt>
                <c:pt idx="66">
                  <c:v>27056.125</c:v>
                </c:pt>
                <c:pt idx="67">
                  <c:v>27056.166666666668</c:v>
                </c:pt>
                <c:pt idx="68">
                  <c:v>27056.208333333332</c:v>
                </c:pt>
                <c:pt idx="69">
                  <c:v>27056.25</c:v>
                </c:pt>
                <c:pt idx="70">
                  <c:v>27056.291666666668</c:v>
                </c:pt>
                <c:pt idx="71">
                  <c:v>27056.333333333332</c:v>
                </c:pt>
                <c:pt idx="72">
                  <c:v>27056.375</c:v>
                </c:pt>
                <c:pt idx="73">
                  <c:v>27056.416666666668</c:v>
                </c:pt>
                <c:pt idx="74">
                  <c:v>27056.458333333332</c:v>
                </c:pt>
                <c:pt idx="75">
                  <c:v>27056.5</c:v>
                </c:pt>
                <c:pt idx="76">
                  <c:v>27056.541666666668</c:v>
                </c:pt>
                <c:pt idx="77">
                  <c:v>27056.583333333332</c:v>
                </c:pt>
                <c:pt idx="78">
                  <c:v>27056.625</c:v>
                </c:pt>
                <c:pt idx="79">
                  <c:v>27056.666666666668</c:v>
                </c:pt>
                <c:pt idx="80">
                  <c:v>27056.708333333332</c:v>
                </c:pt>
                <c:pt idx="81">
                  <c:v>27056.75</c:v>
                </c:pt>
                <c:pt idx="82">
                  <c:v>27056.791666666668</c:v>
                </c:pt>
                <c:pt idx="83">
                  <c:v>27056.833333333332</c:v>
                </c:pt>
                <c:pt idx="84">
                  <c:v>27056.875</c:v>
                </c:pt>
                <c:pt idx="85">
                  <c:v>27056.916666666668</c:v>
                </c:pt>
                <c:pt idx="86">
                  <c:v>27056.958333333332</c:v>
                </c:pt>
                <c:pt idx="87">
                  <c:v>27057</c:v>
                </c:pt>
                <c:pt idx="88">
                  <c:v>27057.041666666668</c:v>
                </c:pt>
                <c:pt idx="89">
                  <c:v>27057.083333333332</c:v>
                </c:pt>
                <c:pt idx="90">
                  <c:v>27057.125</c:v>
                </c:pt>
                <c:pt idx="91">
                  <c:v>27057.166666666668</c:v>
                </c:pt>
                <c:pt idx="92">
                  <c:v>27057.208333333332</c:v>
                </c:pt>
                <c:pt idx="93">
                  <c:v>27057.25</c:v>
                </c:pt>
                <c:pt idx="94">
                  <c:v>27057.291666666668</c:v>
                </c:pt>
                <c:pt idx="95">
                  <c:v>27057.333333333332</c:v>
                </c:pt>
                <c:pt idx="96">
                  <c:v>27057.375</c:v>
                </c:pt>
                <c:pt idx="97">
                  <c:v>27057.416666666668</c:v>
                </c:pt>
                <c:pt idx="98">
                  <c:v>27057.458333333332</c:v>
                </c:pt>
                <c:pt idx="99">
                  <c:v>27057.5</c:v>
                </c:pt>
                <c:pt idx="100">
                  <c:v>27057.541666666668</c:v>
                </c:pt>
                <c:pt idx="101">
                  <c:v>27057.583333333332</c:v>
                </c:pt>
                <c:pt idx="102">
                  <c:v>27057.625</c:v>
                </c:pt>
                <c:pt idx="103">
                  <c:v>27057.666666666668</c:v>
                </c:pt>
                <c:pt idx="104">
                  <c:v>27057.708333333332</c:v>
                </c:pt>
                <c:pt idx="105">
                  <c:v>27057.75</c:v>
                </c:pt>
                <c:pt idx="106">
                  <c:v>27057.791666666668</c:v>
                </c:pt>
                <c:pt idx="107">
                  <c:v>27057.833333333332</c:v>
                </c:pt>
                <c:pt idx="108">
                  <c:v>27057.875</c:v>
                </c:pt>
                <c:pt idx="109">
                  <c:v>27057.916666666668</c:v>
                </c:pt>
                <c:pt idx="110">
                  <c:v>27057.958333333332</c:v>
                </c:pt>
                <c:pt idx="111">
                  <c:v>27058</c:v>
                </c:pt>
                <c:pt idx="112">
                  <c:v>27058.041666666668</c:v>
                </c:pt>
                <c:pt idx="113">
                  <c:v>27058.083333333332</c:v>
                </c:pt>
                <c:pt idx="114">
                  <c:v>27058.125</c:v>
                </c:pt>
                <c:pt idx="115">
                  <c:v>27058.166666666668</c:v>
                </c:pt>
                <c:pt idx="116">
                  <c:v>27058.208333333332</c:v>
                </c:pt>
                <c:pt idx="117">
                  <c:v>27058.25</c:v>
                </c:pt>
                <c:pt idx="118">
                  <c:v>27058.291666666668</c:v>
                </c:pt>
                <c:pt idx="119">
                  <c:v>27058.333333333332</c:v>
                </c:pt>
                <c:pt idx="120">
                  <c:v>27058.375</c:v>
                </c:pt>
                <c:pt idx="121">
                  <c:v>27058.416666666668</c:v>
                </c:pt>
                <c:pt idx="122">
                  <c:v>27058.458333333332</c:v>
                </c:pt>
                <c:pt idx="123">
                  <c:v>27058.5</c:v>
                </c:pt>
                <c:pt idx="124">
                  <c:v>27058.541666666668</c:v>
                </c:pt>
                <c:pt idx="125">
                  <c:v>27058.583333333332</c:v>
                </c:pt>
                <c:pt idx="126">
                  <c:v>27058.625</c:v>
                </c:pt>
                <c:pt idx="127">
                  <c:v>27058.666666666668</c:v>
                </c:pt>
                <c:pt idx="128">
                  <c:v>27058.708333333332</c:v>
                </c:pt>
                <c:pt idx="129">
                  <c:v>27058.75</c:v>
                </c:pt>
                <c:pt idx="130">
                  <c:v>27058.791666666668</c:v>
                </c:pt>
                <c:pt idx="131">
                  <c:v>27058.833333333332</c:v>
                </c:pt>
                <c:pt idx="132">
                  <c:v>27058.875</c:v>
                </c:pt>
                <c:pt idx="133">
                  <c:v>27058.916666666668</c:v>
                </c:pt>
                <c:pt idx="134">
                  <c:v>27058.958333333332</c:v>
                </c:pt>
                <c:pt idx="135">
                  <c:v>27059</c:v>
                </c:pt>
                <c:pt idx="136">
                  <c:v>27059.041666666668</c:v>
                </c:pt>
                <c:pt idx="137">
                  <c:v>27059.083333333332</c:v>
                </c:pt>
                <c:pt idx="138">
                  <c:v>27059.125</c:v>
                </c:pt>
                <c:pt idx="139">
                  <c:v>27059.166666666668</c:v>
                </c:pt>
                <c:pt idx="140">
                  <c:v>27059.208333333332</c:v>
                </c:pt>
                <c:pt idx="141">
                  <c:v>27059.25</c:v>
                </c:pt>
                <c:pt idx="142">
                  <c:v>27059.291666666668</c:v>
                </c:pt>
                <c:pt idx="143">
                  <c:v>27059.333333333332</c:v>
                </c:pt>
                <c:pt idx="144">
                  <c:v>27059.375</c:v>
                </c:pt>
                <c:pt idx="145">
                  <c:v>27059.416666666668</c:v>
                </c:pt>
                <c:pt idx="146">
                  <c:v>27059.458333333332</c:v>
                </c:pt>
                <c:pt idx="147">
                  <c:v>27059.5</c:v>
                </c:pt>
                <c:pt idx="148">
                  <c:v>27059.541666666668</c:v>
                </c:pt>
                <c:pt idx="149">
                  <c:v>27059.583333333332</c:v>
                </c:pt>
                <c:pt idx="150">
                  <c:v>27059.625</c:v>
                </c:pt>
                <c:pt idx="151">
                  <c:v>27059.666666666668</c:v>
                </c:pt>
                <c:pt idx="152">
                  <c:v>27059.708333333332</c:v>
                </c:pt>
                <c:pt idx="153">
                  <c:v>27059.75</c:v>
                </c:pt>
                <c:pt idx="154">
                  <c:v>27059.791666666668</c:v>
                </c:pt>
                <c:pt idx="155">
                  <c:v>27059.833333333332</c:v>
                </c:pt>
                <c:pt idx="156">
                  <c:v>27059.875</c:v>
                </c:pt>
                <c:pt idx="157">
                  <c:v>27059.916666666668</c:v>
                </c:pt>
                <c:pt idx="158">
                  <c:v>27059.958333333332</c:v>
                </c:pt>
                <c:pt idx="159">
                  <c:v>27060</c:v>
                </c:pt>
                <c:pt idx="160">
                  <c:v>27060.041666666668</c:v>
                </c:pt>
                <c:pt idx="161">
                  <c:v>27060.083333333332</c:v>
                </c:pt>
                <c:pt idx="162">
                  <c:v>27060.125</c:v>
                </c:pt>
                <c:pt idx="163">
                  <c:v>27060.166666666668</c:v>
                </c:pt>
                <c:pt idx="164">
                  <c:v>27060.208333333332</c:v>
                </c:pt>
                <c:pt idx="165">
                  <c:v>27060.25</c:v>
                </c:pt>
                <c:pt idx="166">
                  <c:v>27060.291666666668</c:v>
                </c:pt>
                <c:pt idx="167">
                  <c:v>27060.333333333332</c:v>
                </c:pt>
                <c:pt idx="168">
                  <c:v>27060.375</c:v>
                </c:pt>
                <c:pt idx="169">
                  <c:v>27060.416666666668</c:v>
                </c:pt>
                <c:pt idx="170">
                  <c:v>27060.458333333332</c:v>
                </c:pt>
                <c:pt idx="171">
                  <c:v>27060.5</c:v>
                </c:pt>
                <c:pt idx="172">
                  <c:v>27060.541666666668</c:v>
                </c:pt>
                <c:pt idx="173">
                  <c:v>27060.583333333332</c:v>
                </c:pt>
                <c:pt idx="174">
                  <c:v>27060.625</c:v>
                </c:pt>
                <c:pt idx="175">
                  <c:v>27060.666666666668</c:v>
                </c:pt>
                <c:pt idx="176">
                  <c:v>27060.708333333332</c:v>
                </c:pt>
                <c:pt idx="177">
                  <c:v>27060.75</c:v>
                </c:pt>
                <c:pt idx="178">
                  <c:v>27060.791666666668</c:v>
                </c:pt>
                <c:pt idx="179">
                  <c:v>27060.833333333332</c:v>
                </c:pt>
                <c:pt idx="180">
                  <c:v>27060.875</c:v>
                </c:pt>
                <c:pt idx="181">
                  <c:v>27060.916666666668</c:v>
                </c:pt>
                <c:pt idx="182">
                  <c:v>27060.958333333332</c:v>
                </c:pt>
                <c:pt idx="183">
                  <c:v>27061</c:v>
                </c:pt>
                <c:pt idx="184">
                  <c:v>27061.041666666668</c:v>
                </c:pt>
                <c:pt idx="185">
                  <c:v>27061.083333333332</c:v>
                </c:pt>
                <c:pt idx="186">
                  <c:v>27061.125</c:v>
                </c:pt>
                <c:pt idx="187">
                  <c:v>27061.166666666668</c:v>
                </c:pt>
                <c:pt idx="188">
                  <c:v>27061.208333333332</c:v>
                </c:pt>
                <c:pt idx="189">
                  <c:v>27061.25</c:v>
                </c:pt>
                <c:pt idx="190">
                  <c:v>27061.291666666668</c:v>
                </c:pt>
                <c:pt idx="191">
                  <c:v>27061.333333333332</c:v>
                </c:pt>
                <c:pt idx="192">
                  <c:v>27061.375</c:v>
                </c:pt>
              </c:numCache>
            </c:numRef>
          </c:xVal>
          <c:yVal>
            <c:numRef>
              <c:f>cumulative!$AF$3:$AF$195</c:f>
              <c:numCache>
                <c:formatCode>General</c:formatCode>
                <c:ptCount val="193"/>
                <c:pt idx="0">
                  <c:v>0</c:v>
                </c:pt>
                <c:pt idx="1">
                  <c:v>5.77</c:v>
                </c:pt>
                <c:pt idx="2">
                  <c:v>8.24</c:v>
                </c:pt>
                <c:pt idx="3">
                  <c:v>10.61</c:v>
                </c:pt>
                <c:pt idx="4">
                  <c:v>11.01</c:v>
                </c:pt>
                <c:pt idx="5">
                  <c:v>11.01</c:v>
                </c:pt>
                <c:pt idx="6">
                  <c:v>15.7</c:v>
                </c:pt>
                <c:pt idx="7">
                  <c:v>18.579999999999998</c:v>
                </c:pt>
                <c:pt idx="8">
                  <c:v>22.06</c:v>
                </c:pt>
                <c:pt idx="9">
                  <c:v>26.599999999999998</c:v>
                </c:pt>
                <c:pt idx="10">
                  <c:v>32.89</c:v>
                </c:pt>
                <c:pt idx="11">
                  <c:v>46.68</c:v>
                </c:pt>
                <c:pt idx="12">
                  <c:v>59.28</c:v>
                </c:pt>
                <c:pt idx="13">
                  <c:v>73.990000000000009</c:v>
                </c:pt>
                <c:pt idx="14">
                  <c:v>89.570000000000007</c:v>
                </c:pt>
                <c:pt idx="15">
                  <c:v>100.47000000000001</c:v>
                </c:pt>
                <c:pt idx="16">
                  <c:v>107.41000000000001</c:v>
                </c:pt>
                <c:pt idx="17">
                  <c:v>119.89000000000001</c:v>
                </c:pt>
                <c:pt idx="18">
                  <c:v>132.08000000000001</c:v>
                </c:pt>
                <c:pt idx="19">
                  <c:v>140.47000000000003</c:v>
                </c:pt>
                <c:pt idx="20">
                  <c:v>162.65000000000003</c:v>
                </c:pt>
                <c:pt idx="21">
                  <c:v>174.01000000000005</c:v>
                </c:pt>
                <c:pt idx="22">
                  <c:v>178.04000000000005</c:v>
                </c:pt>
                <c:pt idx="23">
                  <c:v>178.04000000000005</c:v>
                </c:pt>
                <c:pt idx="24">
                  <c:v>178.04000000000005</c:v>
                </c:pt>
                <c:pt idx="25">
                  <c:v>178.04000000000005</c:v>
                </c:pt>
                <c:pt idx="26">
                  <c:v>178.04000000000005</c:v>
                </c:pt>
                <c:pt idx="27">
                  <c:v>178.04000000000005</c:v>
                </c:pt>
                <c:pt idx="28">
                  <c:v>178.04000000000005</c:v>
                </c:pt>
                <c:pt idx="29">
                  <c:v>189.33000000000004</c:v>
                </c:pt>
                <c:pt idx="30">
                  <c:v>193.24000000000004</c:v>
                </c:pt>
                <c:pt idx="31">
                  <c:v>200.14000000000004</c:v>
                </c:pt>
                <c:pt idx="32">
                  <c:v>202.34000000000003</c:v>
                </c:pt>
                <c:pt idx="33">
                  <c:v>202.98000000000002</c:v>
                </c:pt>
                <c:pt idx="34">
                  <c:v>207.34000000000003</c:v>
                </c:pt>
                <c:pt idx="35">
                  <c:v>208.36000000000004</c:v>
                </c:pt>
                <c:pt idx="36">
                  <c:v>209.04000000000005</c:v>
                </c:pt>
                <c:pt idx="37">
                  <c:v>209.64000000000004</c:v>
                </c:pt>
                <c:pt idx="38">
                  <c:v>209.64000000000004</c:v>
                </c:pt>
                <c:pt idx="39">
                  <c:v>209.64000000000004</c:v>
                </c:pt>
                <c:pt idx="40">
                  <c:v>210.74000000000004</c:v>
                </c:pt>
                <c:pt idx="41">
                  <c:v>210.94000000000003</c:v>
                </c:pt>
                <c:pt idx="42">
                  <c:v>210.94000000000003</c:v>
                </c:pt>
                <c:pt idx="43">
                  <c:v>212.74000000000004</c:v>
                </c:pt>
                <c:pt idx="44">
                  <c:v>213.44000000000003</c:v>
                </c:pt>
                <c:pt idx="45">
                  <c:v>213.44000000000003</c:v>
                </c:pt>
                <c:pt idx="46">
                  <c:v>213.67000000000002</c:v>
                </c:pt>
                <c:pt idx="47">
                  <c:v>215.64000000000001</c:v>
                </c:pt>
                <c:pt idx="48">
                  <c:v>216.04000000000002</c:v>
                </c:pt>
                <c:pt idx="49">
                  <c:v>226.53000000000003</c:v>
                </c:pt>
                <c:pt idx="50">
                  <c:v>227.84000000000003</c:v>
                </c:pt>
                <c:pt idx="51">
                  <c:v>228.16000000000003</c:v>
                </c:pt>
                <c:pt idx="52">
                  <c:v>229.14000000000001</c:v>
                </c:pt>
                <c:pt idx="53">
                  <c:v>229.34</c:v>
                </c:pt>
                <c:pt idx="54">
                  <c:v>230.01</c:v>
                </c:pt>
                <c:pt idx="55">
                  <c:v>245.69</c:v>
                </c:pt>
                <c:pt idx="56">
                  <c:v>263.22000000000003</c:v>
                </c:pt>
                <c:pt idx="57">
                  <c:v>275.11</c:v>
                </c:pt>
                <c:pt idx="58">
                  <c:v>278.03000000000003</c:v>
                </c:pt>
                <c:pt idx="59">
                  <c:v>279.84000000000003</c:v>
                </c:pt>
                <c:pt idx="60">
                  <c:v>283.18</c:v>
                </c:pt>
                <c:pt idx="61">
                  <c:v>295.02</c:v>
                </c:pt>
                <c:pt idx="62">
                  <c:v>311.06</c:v>
                </c:pt>
                <c:pt idx="63">
                  <c:v>327.34000000000003</c:v>
                </c:pt>
                <c:pt idx="64">
                  <c:v>354.26000000000005</c:v>
                </c:pt>
                <c:pt idx="65">
                  <c:v>391.24000000000007</c:v>
                </c:pt>
                <c:pt idx="66">
                  <c:v>413.10000000000008</c:v>
                </c:pt>
                <c:pt idx="67">
                  <c:v>424.22000000000008</c:v>
                </c:pt>
                <c:pt idx="68">
                  <c:v>427.35000000000008</c:v>
                </c:pt>
                <c:pt idx="69">
                  <c:v>434.97000000000008</c:v>
                </c:pt>
                <c:pt idx="70">
                  <c:v>439.71000000000009</c:v>
                </c:pt>
                <c:pt idx="71">
                  <c:v>444.98000000000008</c:v>
                </c:pt>
                <c:pt idx="72">
                  <c:v>453.04000000000008</c:v>
                </c:pt>
                <c:pt idx="73">
                  <c:v>454.32000000000005</c:v>
                </c:pt>
                <c:pt idx="74">
                  <c:v>455.14000000000004</c:v>
                </c:pt>
                <c:pt idx="75">
                  <c:v>456.94000000000005</c:v>
                </c:pt>
                <c:pt idx="76">
                  <c:v>461.95000000000005</c:v>
                </c:pt>
                <c:pt idx="77">
                  <c:v>463.94000000000005</c:v>
                </c:pt>
                <c:pt idx="78">
                  <c:v>465.04000000000008</c:v>
                </c:pt>
                <c:pt idx="79">
                  <c:v>466.90000000000009</c:v>
                </c:pt>
                <c:pt idx="80">
                  <c:v>475.17000000000007</c:v>
                </c:pt>
                <c:pt idx="81">
                  <c:v>482.86000000000007</c:v>
                </c:pt>
                <c:pt idx="82">
                  <c:v>489.22000000000008</c:v>
                </c:pt>
                <c:pt idx="83">
                  <c:v>492.37000000000006</c:v>
                </c:pt>
                <c:pt idx="84">
                  <c:v>492.93000000000006</c:v>
                </c:pt>
                <c:pt idx="85">
                  <c:v>496.03000000000009</c:v>
                </c:pt>
                <c:pt idx="86">
                  <c:v>498.4500000000001</c:v>
                </c:pt>
                <c:pt idx="87">
                  <c:v>500.8300000000001</c:v>
                </c:pt>
                <c:pt idx="88">
                  <c:v>509.92000000000007</c:v>
                </c:pt>
                <c:pt idx="89">
                  <c:v>517.59</c:v>
                </c:pt>
                <c:pt idx="90">
                  <c:v>523.49</c:v>
                </c:pt>
                <c:pt idx="91">
                  <c:v>525.33000000000004</c:v>
                </c:pt>
                <c:pt idx="92">
                  <c:v>526.5200000000001</c:v>
                </c:pt>
                <c:pt idx="93">
                  <c:v>527.73000000000013</c:v>
                </c:pt>
                <c:pt idx="94">
                  <c:v>528.41000000000008</c:v>
                </c:pt>
                <c:pt idx="95">
                  <c:v>529.43000000000006</c:v>
                </c:pt>
                <c:pt idx="96">
                  <c:v>530.03000000000009</c:v>
                </c:pt>
                <c:pt idx="97">
                  <c:v>531.53000000000009</c:v>
                </c:pt>
                <c:pt idx="98">
                  <c:v>534.00000000000011</c:v>
                </c:pt>
                <c:pt idx="99">
                  <c:v>534.42000000000007</c:v>
                </c:pt>
                <c:pt idx="100">
                  <c:v>534.82000000000005</c:v>
                </c:pt>
                <c:pt idx="101">
                  <c:v>534.82000000000005</c:v>
                </c:pt>
                <c:pt idx="102">
                  <c:v>534.82000000000005</c:v>
                </c:pt>
                <c:pt idx="103">
                  <c:v>534.82000000000005</c:v>
                </c:pt>
                <c:pt idx="104">
                  <c:v>534.82000000000005</c:v>
                </c:pt>
                <c:pt idx="105">
                  <c:v>534.82000000000005</c:v>
                </c:pt>
                <c:pt idx="106">
                  <c:v>534.82000000000005</c:v>
                </c:pt>
                <c:pt idx="107">
                  <c:v>535.05000000000007</c:v>
                </c:pt>
                <c:pt idx="108">
                  <c:v>535.42000000000007</c:v>
                </c:pt>
                <c:pt idx="109">
                  <c:v>535.42000000000007</c:v>
                </c:pt>
                <c:pt idx="110">
                  <c:v>535.42000000000007</c:v>
                </c:pt>
                <c:pt idx="111">
                  <c:v>535.42000000000007</c:v>
                </c:pt>
                <c:pt idx="112">
                  <c:v>535.42000000000007</c:v>
                </c:pt>
                <c:pt idx="113">
                  <c:v>535.42000000000007</c:v>
                </c:pt>
                <c:pt idx="114">
                  <c:v>535.42000000000007</c:v>
                </c:pt>
                <c:pt idx="115">
                  <c:v>535.42000000000007</c:v>
                </c:pt>
                <c:pt idx="116">
                  <c:v>535.42000000000007</c:v>
                </c:pt>
                <c:pt idx="117">
                  <c:v>535.42000000000007</c:v>
                </c:pt>
                <c:pt idx="118">
                  <c:v>535.42000000000007</c:v>
                </c:pt>
                <c:pt idx="119">
                  <c:v>535.42000000000007</c:v>
                </c:pt>
                <c:pt idx="120">
                  <c:v>535.42000000000007</c:v>
                </c:pt>
                <c:pt idx="121">
                  <c:v>535.42000000000007</c:v>
                </c:pt>
                <c:pt idx="122">
                  <c:v>535.42000000000007</c:v>
                </c:pt>
                <c:pt idx="123">
                  <c:v>535.42000000000007</c:v>
                </c:pt>
                <c:pt idx="124">
                  <c:v>535.42000000000007</c:v>
                </c:pt>
                <c:pt idx="125">
                  <c:v>536.0200000000001</c:v>
                </c:pt>
                <c:pt idx="126">
                  <c:v>536.32000000000005</c:v>
                </c:pt>
                <c:pt idx="127">
                  <c:v>536.42000000000007</c:v>
                </c:pt>
                <c:pt idx="128">
                  <c:v>536.42000000000007</c:v>
                </c:pt>
                <c:pt idx="129">
                  <c:v>536.42000000000007</c:v>
                </c:pt>
                <c:pt idx="130">
                  <c:v>536.42000000000007</c:v>
                </c:pt>
                <c:pt idx="131">
                  <c:v>536.42000000000007</c:v>
                </c:pt>
                <c:pt idx="132">
                  <c:v>537.0200000000001</c:v>
                </c:pt>
                <c:pt idx="133">
                  <c:v>537.0200000000001</c:v>
                </c:pt>
                <c:pt idx="134">
                  <c:v>537.0200000000001</c:v>
                </c:pt>
                <c:pt idx="135">
                  <c:v>537.12000000000012</c:v>
                </c:pt>
                <c:pt idx="136">
                  <c:v>537.12000000000012</c:v>
                </c:pt>
                <c:pt idx="137">
                  <c:v>537.12000000000012</c:v>
                </c:pt>
                <c:pt idx="138">
                  <c:v>537.12000000000012</c:v>
                </c:pt>
                <c:pt idx="139">
                  <c:v>537.12000000000012</c:v>
                </c:pt>
                <c:pt idx="140">
                  <c:v>538.20000000000016</c:v>
                </c:pt>
                <c:pt idx="141">
                  <c:v>538.42000000000019</c:v>
                </c:pt>
                <c:pt idx="142">
                  <c:v>538.42000000000019</c:v>
                </c:pt>
                <c:pt idx="143">
                  <c:v>538.42000000000019</c:v>
                </c:pt>
                <c:pt idx="144">
                  <c:v>538.42000000000019</c:v>
                </c:pt>
                <c:pt idx="145">
                  <c:v>538.42000000000019</c:v>
                </c:pt>
                <c:pt idx="146">
                  <c:v>539.62000000000023</c:v>
                </c:pt>
                <c:pt idx="147">
                  <c:v>539.62000000000023</c:v>
                </c:pt>
                <c:pt idx="148">
                  <c:v>539.62000000000023</c:v>
                </c:pt>
                <c:pt idx="149">
                  <c:v>539.62000000000023</c:v>
                </c:pt>
                <c:pt idx="150">
                  <c:v>539.62000000000023</c:v>
                </c:pt>
                <c:pt idx="151">
                  <c:v>539.62000000000023</c:v>
                </c:pt>
                <c:pt idx="152">
                  <c:v>539.62000000000023</c:v>
                </c:pt>
                <c:pt idx="153">
                  <c:v>539.62000000000023</c:v>
                </c:pt>
                <c:pt idx="154">
                  <c:v>539.62000000000023</c:v>
                </c:pt>
                <c:pt idx="155">
                  <c:v>539.82000000000028</c:v>
                </c:pt>
                <c:pt idx="156">
                  <c:v>539.82000000000028</c:v>
                </c:pt>
                <c:pt idx="157">
                  <c:v>540.19000000000028</c:v>
                </c:pt>
                <c:pt idx="158">
                  <c:v>540.72000000000025</c:v>
                </c:pt>
                <c:pt idx="159">
                  <c:v>540.72000000000025</c:v>
                </c:pt>
                <c:pt idx="160">
                  <c:v>541.12000000000023</c:v>
                </c:pt>
                <c:pt idx="161">
                  <c:v>541.12000000000023</c:v>
                </c:pt>
                <c:pt idx="162">
                  <c:v>541.12000000000023</c:v>
                </c:pt>
                <c:pt idx="163">
                  <c:v>541.12000000000023</c:v>
                </c:pt>
                <c:pt idx="164">
                  <c:v>541.12000000000023</c:v>
                </c:pt>
                <c:pt idx="165">
                  <c:v>541.42000000000019</c:v>
                </c:pt>
                <c:pt idx="166">
                  <c:v>541.42000000000019</c:v>
                </c:pt>
                <c:pt idx="167">
                  <c:v>541.42000000000019</c:v>
                </c:pt>
                <c:pt idx="168">
                  <c:v>541.42000000000019</c:v>
                </c:pt>
                <c:pt idx="169">
                  <c:v>541.42000000000019</c:v>
                </c:pt>
                <c:pt idx="170">
                  <c:v>543.94000000000017</c:v>
                </c:pt>
                <c:pt idx="171">
                  <c:v>544.32000000000016</c:v>
                </c:pt>
                <c:pt idx="172">
                  <c:v>544.32000000000016</c:v>
                </c:pt>
                <c:pt idx="173">
                  <c:v>544.72000000000014</c:v>
                </c:pt>
                <c:pt idx="174">
                  <c:v>544.72000000000014</c:v>
                </c:pt>
                <c:pt idx="175">
                  <c:v>544.72000000000014</c:v>
                </c:pt>
                <c:pt idx="176">
                  <c:v>544.72000000000014</c:v>
                </c:pt>
                <c:pt idx="177">
                  <c:v>544.72000000000014</c:v>
                </c:pt>
                <c:pt idx="178">
                  <c:v>544.87000000000012</c:v>
                </c:pt>
                <c:pt idx="179">
                  <c:v>545.03000000000009</c:v>
                </c:pt>
                <c:pt idx="180">
                  <c:v>545.22000000000014</c:v>
                </c:pt>
                <c:pt idx="181">
                  <c:v>545.72000000000014</c:v>
                </c:pt>
                <c:pt idx="182">
                  <c:v>545.72000000000014</c:v>
                </c:pt>
                <c:pt idx="183">
                  <c:v>546.72000000000014</c:v>
                </c:pt>
                <c:pt idx="184">
                  <c:v>546.72000000000014</c:v>
                </c:pt>
                <c:pt idx="185">
                  <c:v>546.72000000000014</c:v>
                </c:pt>
                <c:pt idx="186">
                  <c:v>546.72000000000014</c:v>
                </c:pt>
                <c:pt idx="187">
                  <c:v>546.72000000000014</c:v>
                </c:pt>
                <c:pt idx="188">
                  <c:v>546.72000000000014</c:v>
                </c:pt>
                <c:pt idx="189">
                  <c:v>546.72000000000014</c:v>
                </c:pt>
                <c:pt idx="190">
                  <c:v>546.72000000000014</c:v>
                </c:pt>
                <c:pt idx="191">
                  <c:v>546.72000000000014</c:v>
                </c:pt>
                <c:pt idx="192">
                  <c:v>546.72000000000014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181504"/>
        <c:axId val="250183680"/>
      </c:scatterChart>
      <c:valAx>
        <c:axId val="250181504"/>
        <c:scaling>
          <c:orientation val="minMax"/>
          <c:max val="27061.375"/>
          <c:min val="27053.37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Date Time</a:t>
                </a:r>
                <a:endParaRPr/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txPr>
          <a:bodyPr rot="-900000" vert="horz"/>
          <a:lstStyle/>
          <a:p>
            <a:pPr>
              <a:defRPr/>
            </a:pPr>
            <a:endParaRPr lang="en-US"/>
          </a:p>
        </c:txPr>
        <c:crossAx val="250183680"/>
        <c:crosses val="autoZero"/>
        <c:crossBetween val="midCat"/>
      </c:valAx>
      <c:valAx>
        <c:axId val="250183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Rainfall (mm)</a:t>
                </a:r>
                <a:endParaRPr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01815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3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13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3"/>
  <sheetViews>
    <sheetView zoomScale="135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4"/>
  <sheetViews>
    <sheetView zoomScale="125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5"/>
  <sheetViews>
    <sheetView zoomScale="135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6"/>
  <sheetViews>
    <sheetView zoomScale="149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7"/>
  <sheetViews>
    <sheetView zoomScale="125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8"/>
  <sheetViews>
    <sheetView zoomScale="125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Chart9"/>
  <sheetViews>
    <sheetView zoomScale="12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18317</xdr:colOff>
      <xdr:row>1</xdr:row>
      <xdr:rowOff>169986</xdr:rowOff>
    </xdr:from>
    <xdr:to>
      <xdr:col>9</xdr:col>
      <xdr:colOff>37367</xdr:colOff>
      <xdr:row>4</xdr:row>
      <xdr:rowOff>141407</xdr:rowOff>
    </xdr:to>
    <xdr:sp macro="" textlink="">
      <xdr:nvSpPr>
        <xdr:cNvPr id="3" name="Bent-Up Arrow 2"/>
        <xdr:cNvSpPr/>
      </xdr:nvSpPr>
      <xdr:spPr>
        <a:xfrm rot="5400000" flipV="1">
          <a:off x="5728556" y="-901578"/>
          <a:ext cx="542921" cy="3067050"/>
        </a:xfrm>
        <a:prstGeom prst="bentUpArrow">
          <a:avLst>
            <a:gd name="adj1" fmla="val 10106"/>
            <a:gd name="adj2" fmla="val 14362"/>
            <a:gd name="adj3" fmla="val 2659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2</xdr:col>
      <xdr:colOff>30045</xdr:colOff>
      <xdr:row>0</xdr:row>
      <xdr:rowOff>180978</xdr:rowOff>
    </xdr:from>
    <xdr:to>
      <xdr:col>5</xdr:col>
      <xdr:colOff>47628</xdr:colOff>
      <xdr:row>3</xdr:row>
      <xdr:rowOff>133351</xdr:rowOff>
    </xdr:to>
    <xdr:sp macro="" textlink="">
      <xdr:nvSpPr>
        <xdr:cNvPr id="4" name="Bent-Up Arrow 3"/>
        <xdr:cNvSpPr/>
      </xdr:nvSpPr>
      <xdr:spPr>
        <a:xfrm rot="5400000" flipV="1">
          <a:off x="3310675" y="-1089877"/>
          <a:ext cx="523873" cy="3065583"/>
        </a:xfrm>
        <a:prstGeom prst="bentUpArrow">
          <a:avLst>
            <a:gd name="adj1" fmla="val 10504"/>
            <a:gd name="adj2" fmla="val 14241"/>
            <a:gd name="adj3" fmla="val 2893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6</xdr:col>
      <xdr:colOff>485041</xdr:colOff>
      <xdr:row>19</xdr:row>
      <xdr:rowOff>17585</xdr:rowOff>
    </xdr:from>
    <xdr:to>
      <xdr:col>7</xdr:col>
      <xdr:colOff>590548</xdr:colOff>
      <xdr:row>22</xdr:row>
      <xdr:rowOff>161925</xdr:rowOff>
    </xdr:to>
    <xdr:sp macro="" textlink="">
      <xdr:nvSpPr>
        <xdr:cNvPr id="5" name="Bent-Up Arrow 4"/>
        <xdr:cNvSpPr/>
      </xdr:nvSpPr>
      <xdr:spPr>
        <a:xfrm rot="10800000" flipV="1">
          <a:off x="6828691" y="3665660"/>
          <a:ext cx="715107" cy="715840"/>
        </a:xfrm>
        <a:prstGeom prst="bentUpArrow">
          <a:avLst>
            <a:gd name="adj1" fmla="val 10106"/>
            <a:gd name="adj2" fmla="val 14362"/>
            <a:gd name="adj3" fmla="val 2659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8</xdr:col>
      <xdr:colOff>246913</xdr:colOff>
      <xdr:row>19</xdr:row>
      <xdr:rowOff>38100</xdr:rowOff>
    </xdr:from>
    <xdr:to>
      <xdr:col>8</xdr:col>
      <xdr:colOff>571499</xdr:colOff>
      <xdr:row>20</xdr:row>
      <xdr:rowOff>133350</xdr:rowOff>
    </xdr:to>
    <xdr:sp macro="" textlink="">
      <xdr:nvSpPr>
        <xdr:cNvPr id="7" name="Bent-Up Arrow 6"/>
        <xdr:cNvSpPr/>
      </xdr:nvSpPr>
      <xdr:spPr>
        <a:xfrm rot="10800000" flipV="1">
          <a:off x="7809763" y="3686175"/>
          <a:ext cx="324586" cy="285750"/>
        </a:xfrm>
        <a:prstGeom prst="bentUpArrow">
          <a:avLst>
            <a:gd name="adj1" fmla="val 25656"/>
            <a:gd name="adj2" fmla="val 23849"/>
            <a:gd name="adj3" fmla="val 4351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333375</xdr:colOff>
          <xdr:row>0</xdr:row>
          <xdr:rowOff>57150</xdr:rowOff>
        </xdr:from>
        <xdr:to>
          <xdr:col>2</xdr:col>
          <xdr:colOff>2047875</xdr:colOff>
          <xdr:row>1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1.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47625</xdr:rowOff>
        </xdr:from>
        <xdr:to>
          <xdr:col>6</xdr:col>
          <xdr:colOff>171450</xdr:colOff>
          <xdr:row>1</xdr:row>
          <xdr:rowOff>161925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2. Re-Generate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38100</xdr:rowOff>
        </xdr:from>
        <xdr:to>
          <xdr:col>9</xdr:col>
          <xdr:colOff>361950</xdr:colOff>
          <xdr:row>1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3. Format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19050</xdr:rowOff>
        </xdr:from>
        <xdr:to>
          <xdr:col>9</xdr:col>
          <xdr:colOff>657225</xdr:colOff>
          <xdr:row>23</xdr:row>
          <xdr:rowOff>38100</xdr:rowOff>
        </xdr:to>
        <xdr:sp macro="" textlink="">
          <xdr:nvSpPr>
            <xdr:cNvPr id="4104" name="Label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Enter catchment's 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20</xdr:row>
          <xdr:rowOff>9525</xdr:rowOff>
        </xdr:from>
        <xdr:to>
          <xdr:col>12</xdr:col>
          <xdr:colOff>571500</xdr:colOff>
          <xdr:row>21</xdr:row>
          <xdr:rowOff>38100</xdr:rowOff>
        </xdr:to>
        <xdr:sp macro="" textlink="">
          <xdr:nvSpPr>
            <xdr:cNvPr id="4105" name="Label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Enter number of stations in the corresponding catchment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38100</xdr:rowOff>
        </xdr:from>
        <xdr:to>
          <xdr:col>0</xdr:col>
          <xdr:colOff>1009650</xdr:colOff>
          <xdr:row>5</xdr:row>
          <xdr:rowOff>152400</xdr:rowOff>
        </xdr:to>
        <xdr:sp macro="" textlink="">
          <xdr:nvSpPr>
            <xdr:cNvPr id="5122" name="Label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5774" cy="607785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5774" cy="607785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5774" cy="607785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5774" cy="607785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5774" cy="607785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7651" cy="608577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5774" cy="607785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5774" cy="607785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5774" cy="607785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857"/>
  <sheetViews>
    <sheetView workbookViewId="0">
      <selection activeCell="B1" sqref="B1"/>
    </sheetView>
  </sheetViews>
  <sheetFormatPr defaultRowHeight="15" x14ac:dyDescent="0.25"/>
  <cols>
    <col min="2" max="2" width="49.7109375" bestFit="1" customWidth="1"/>
    <col min="4" max="4" width="13.140625" bestFit="1" customWidth="1"/>
  </cols>
  <sheetData>
    <row r="1" spans="1:4" x14ac:dyDescent="0.25">
      <c r="A1" s="19">
        <v>40000</v>
      </c>
      <c r="B1" s="19" t="e">
        <f>VLOOKUP($A1,Config!$B$6:$E$1862,2,FALSE)</f>
        <v>#N/A</v>
      </c>
      <c r="C1" s="19" t="e">
        <f>VLOOKUP($A1,Config!$B$6:$E$1862,3,FALSE)</f>
        <v>#N/A</v>
      </c>
      <c r="D1" s="19" t="e">
        <f>VLOOKUP($A1,Config!$B$6:$E$1862,4,FALSE)</f>
        <v>#N/A</v>
      </c>
    </row>
    <row r="2" spans="1:4" x14ac:dyDescent="0.25">
      <c r="A2" s="19">
        <v>40001</v>
      </c>
      <c r="B2" s="19" t="e">
        <f>VLOOKUP($A2,Config!$B$6:$E$1862,2,FALSE)</f>
        <v>#N/A</v>
      </c>
      <c r="C2" s="19" t="e">
        <f>VLOOKUP($A2,Config!$B$6:$E$1862,3,FALSE)</f>
        <v>#N/A</v>
      </c>
      <c r="D2" s="19" t="e">
        <f>VLOOKUP($A2,Config!$B$6:$E$1862,4,FALSE)</f>
        <v>#N/A</v>
      </c>
    </row>
    <row r="3" spans="1:4" x14ac:dyDescent="0.25">
      <c r="A3" s="19">
        <v>40002</v>
      </c>
      <c r="B3" s="19" t="e">
        <f>VLOOKUP($A3,Config!$B$6:$E$1862,2,FALSE)</f>
        <v>#N/A</v>
      </c>
      <c r="C3" s="19" t="e">
        <f>VLOOKUP($A3,Config!$B$6:$E$1862,3,FALSE)</f>
        <v>#N/A</v>
      </c>
      <c r="D3" s="19" t="e">
        <f>VLOOKUP($A3,Config!$B$6:$E$1862,4,FALSE)</f>
        <v>#N/A</v>
      </c>
    </row>
    <row r="4" spans="1:4" x14ac:dyDescent="0.25">
      <c r="A4" s="19">
        <v>40003</v>
      </c>
      <c r="B4" s="19" t="e">
        <f>VLOOKUP($A4,Config!$B$6:$E$1862,2,FALSE)</f>
        <v>#N/A</v>
      </c>
      <c r="C4" s="19" t="e">
        <f>VLOOKUP($A4,Config!$B$6:$E$1862,3,FALSE)</f>
        <v>#N/A</v>
      </c>
      <c r="D4" s="19" t="e">
        <f>VLOOKUP($A4,Config!$B$6:$E$1862,4,FALSE)</f>
        <v>#N/A</v>
      </c>
    </row>
    <row r="5" spans="1:4" x14ac:dyDescent="0.25">
      <c r="A5" s="19">
        <v>40004</v>
      </c>
      <c r="B5" s="19" t="e">
        <f>VLOOKUP($A5,Config!$B$6:$E$1862,2,FALSE)</f>
        <v>#N/A</v>
      </c>
      <c r="C5" s="19" t="e">
        <f>VLOOKUP($A5,Config!$B$6:$E$1862,3,FALSE)</f>
        <v>#N/A</v>
      </c>
      <c r="D5" s="19" t="e">
        <f>VLOOKUP($A5,Config!$B$6:$E$1862,4,FALSE)</f>
        <v>#N/A</v>
      </c>
    </row>
    <row r="6" spans="1:4" x14ac:dyDescent="0.25">
      <c r="A6" s="19">
        <v>40005</v>
      </c>
      <c r="B6" s="19" t="e">
        <f>VLOOKUP($A6,Config!$B$6:$E$1862,2,FALSE)</f>
        <v>#N/A</v>
      </c>
      <c r="C6" s="19" t="e">
        <f>VLOOKUP($A6,Config!$B$6:$E$1862,3,FALSE)</f>
        <v>#N/A</v>
      </c>
      <c r="D6" s="19" t="e">
        <f>VLOOKUP($A6,Config!$B$6:$E$1862,4,FALSE)</f>
        <v>#N/A</v>
      </c>
    </row>
    <row r="7" spans="1:4" x14ac:dyDescent="0.25">
      <c r="A7" s="19">
        <v>40006</v>
      </c>
      <c r="B7" s="19" t="e">
        <f>VLOOKUP($A7,Config!$B$6:$E$1862,2,FALSE)</f>
        <v>#N/A</v>
      </c>
      <c r="C7" s="19" t="e">
        <f>VLOOKUP($A7,Config!$B$6:$E$1862,3,FALSE)</f>
        <v>#N/A</v>
      </c>
      <c r="D7" s="19" t="e">
        <f>VLOOKUP($A7,Config!$B$6:$E$1862,4,FALSE)</f>
        <v>#N/A</v>
      </c>
    </row>
    <row r="8" spans="1:4" x14ac:dyDescent="0.25">
      <c r="A8" s="19">
        <v>40007</v>
      </c>
      <c r="B8" s="19" t="e">
        <f>VLOOKUP($A8,Config!$B$6:$E$1862,2,FALSE)</f>
        <v>#N/A</v>
      </c>
      <c r="C8" s="19" t="e">
        <f>VLOOKUP($A8,Config!$B$6:$E$1862,3,FALSE)</f>
        <v>#N/A</v>
      </c>
      <c r="D8" s="19" t="e">
        <f>VLOOKUP($A8,Config!$B$6:$E$1862,4,FALSE)</f>
        <v>#N/A</v>
      </c>
    </row>
    <row r="9" spans="1:4" x14ac:dyDescent="0.25">
      <c r="A9" s="19">
        <v>40008</v>
      </c>
      <c r="B9" s="19" t="e">
        <f>VLOOKUP($A9,Config!$B$6:$E$1862,2,FALSE)</f>
        <v>#N/A</v>
      </c>
      <c r="C9" s="19" t="e">
        <f>VLOOKUP($A9,Config!$B$6:$E$1862,3,FALSE)</f>
        <v>#N/A</v>
      </c>
      <c r="D9" s="19" t="e">
        <f>VLOOKUP($A9,Config!$B$6:$E$1862,4,FALSE)</f>
        <v>#N/A</v>
      </c>
    </row>
    <row r="10" spans="1:4" x14ac:dyDescent="0.25">
      <c r="A10" s="19">
        <v>40009</v>
      </c>
      <c r="B10" s="19" t="e">
        <f>VLOOKUP($A10,Config!$B$6:$E$1862,2,FALSE)</f>
        <v>#N/A</v>
      </c>
      <c r="C10" s="19" t="e">
        <f>VLOOKUP($A10,Config!$B$6:$E$1862,3,FALSE)</f>
        <v>#N/A</v>
      </c>
      <c r="D10" s="19" t="e">
        <f>VLOOKUP($A10,Config!$B$6:$E$1862,4,FALSE)</f>
        <v>#N/A</v>
      </c>
    </row>
    <row r="11" spans="1:4" x14ac:dyDescent="0.25">
      <c r="A11" s="19">
        <v>40010</v>
      </c>
      <c r="B11" s="19" t="e">
        <f>VLOOKUP($A11,Config!$B$6:$E$1862,2,FALSE)</f>
        <v>#N/A</v>
      </c>
      <c r="C11" s="19" t="e">
        <f>VLOOKUP($A11,Config!$B$6:$E$1862,3,FALSE)</f>
        <v>#N/A</v>
      </c>
      <c r="D11" s="19" t="e">
        <f>VLOOKUP($A11,Config!$B$6:$E$1862,4,FALSE)</f>
        <v>#N/A</v>
      </c>
    </row>
    <row r="12" spans="1:4" x14ac:dyDescent="0.25">
      <c r="A12" s="19">
        <v>40011</v>
      </c>
      <c r="B12" s="19" t="e">
        <f>VLOOKUP($A12,Config!$B$6:$E$1862,2,FALSE)</f>
        <v>#N/A</v>
      </c>
      <c r="C12" s="19" t="e">
        <f>VLOOKUP($A12,Config!$B$6:$E$1862,3,FALSE)</f>
        <v>#N/A</v>
      </c>
      <c r="D12" s="19" t="e">
        <f>VLOOKUP($A12,Config!$B$6:$E$1862,4,FALSE)</f>
        <v>#N/A</v>
      </c>
    </row>
    <row r="13" spans="1:4" x14ac:dyDescent="0.25">
      <c r="A13" s="19">
        <v>40012</v>
      </c>
      <c r="B13" s="19" t="e">
        <f>VLOOKUP($A13,Config!$B$6:$E$1862,2,FALSE)</f>
        <v>#N/A</v>
      </c>
      <c r="C13" s="19" t="e">
        <f>VLOOKUP($A13,Config!$B$6:$E$1862,3,FALSE)</f>
        <v>#N/A</v>
      </c>
      <c r="D13" s="19" t="e">
        <f>VLOOKUP($A13,Config!$B$6:$E$1862,4,FALSE)</f>
        <v>#N/A</v>
      </c>
    </row>
    <row r="14" spans="1:4" x14ac:dyDescent="0.25">
      <c r="A14" s="19">
        <v>40013</v>
      </c>
      <c r="B14" s="19" t="e">
        <f>VLOOKUP($A14,Config!$B$6:$E$1862,2,FALSE)</f>
        <v>#N/A</v>
      </c>
      <c r="C14" s="19" t="e">
        <f>VLOOKUP($A14,Config!$B$6:$E$1862,3,FALSE)</f>
        <v>#N/A</v>
      </c>
      <c r="D14" s="19" t="e">
        <f>VLOOKUP($A14,Config!$B$6:$E$1862,4,FALSE)</f>
        <v>#N/A</v>
      </c>
    </row>
    <row r="15" spans="1:4" x14ac:dyDescent="0.25">
      <c r="A15" s="19">
        <v>40014</v>
      </c>
      <c r="B15" s="19" t="e">
        <f>VLOOKUP($A15,Config!$B$6:$E$1862,2,FALSE)</f>
        <v>#N/A</v>
      </c>
      <c r="C15" s="19" t="e">
        <f>VLOOKUP($A15,Config!$B$6:$E$1862,3,FALSE)</f>
        <v>#N/A</v>
      </c>
      <c r="D15" s="19" t="e">
        <f>VLOOKUP($A15,Config!$B$6:$E$1862,4,FALSE)</f>
        <v>#N/A</v>
      </c>
    </row>
    <row r="16" spans="1:4" x14ac:dyDescent="0.25">
      <c r="A16" s="19">
        <v>40015</v>
      </c>
      <c r="B16" s="19" t="e">
        <f>VLOOKUP($A16,Config!$B$6:$E$1862,2,FALSE)</f>
        <v>#N/A</v>
      </c>
      <c r="C16" s="19" t="e">
        <f>VLOOKUP($A16,Config!$B$6:$E$1862,3,FALSE)</f>
        <v>#N/A</v>
      </c>
      <c r="D16" s="19" t="e">
        <f>VLOOKUP($A16,Config!$B$6:$E$1862,4,FALSE)</f>
        <v>#N/A</v>
      </c>
    </row>
    <row r="17" spans="1:4" x14ac:dyDescent="0.25">
      <c r="A17" s="19">
        <v>40016</v>
      </c>
      <c r="B17" s="19" t="e">
        <f>VLOOKUP($A17,Config!$B$6:$E$1862,2,FALSE)</f>
        <v>#N/A</v>
      </c>
      <c r="C17" s="19" t="e">
        <f>VLOOKUP($A17,Config!$B$6:$E$1862,3,FALSE)</f>
        <v>#N/A</v>
      </c>
      <c r="D17" s="19" t="e">
        <f>VLOOKUP($A17,Config!$B$6:$E$1862,4,FALSE)</f>
        <v>#N/A</v>
      </c>
    </row>
    <row r="18" spans="1:4" x14ac:dyDescent="0.25">
      <c r="A18" s="19">
        <v>40017</v>
      </c>
      <c r="B18" s="19" t="e">
        <f>VLOOKUP($A18,Config!$B$6:$E$1862,2,FALSE)</f>
        <v>#N/A</v>
      </c>
      <c r="C18" s="19" t="e">
        <f>VLOOKUP($A18,Config!$B$6:$E$1862,3,FALSE)</f>
        <v>#N/A</v>
      </c>
      <c r="D18" s="19" t="e">
        <f>VLOOKUP($A18,Config!$B$6:$E$1862,4,FALSE)</f>
        <v>#N/A</v>
      </c>
    </row>
    <row r="19" spans="1:4" x14ac:dyDescent="0.25">
      <c r="A19" s="19">
        <v>40018</v>
      </c>
      <c r="B19" s="19" t="e">
        <f>VLOOKUP($A19,Config!$B$6:$E$1862,2,FALSE)</f>
        <v>#N/A</v>
      </c>
      <c r="C19" s="19" t="e">
        <f>VLOOKUP($A19,Config!$B$6:$E$1862,3,FALSE)</f>
        <v>#N/A</v>
      </c>
      <c r="D19" s="19" t="e">
        <f>VLOOKUP($A19,Config!$B$6:$E$1862,4,FALSE)</f>
        <v>#N/A</v>
      </c>
    </row>
    <row r="20" spans="1:4" x14ac:dyDescent="0.25">
      <c r="A20" s="19">
        <v>40019</v>
      </c>
      <c r="B20" s="19" t="e">
        <f>VLOOKUP($A20,Config!$B$6:$E$1862,2,FALSE)</f>
        <v>#N/A</v>
      </c>
      <c r="C20" s="19" t="e">
        <f>VLOOKUP($A20,Config!$B$6:$E$1862,3,FALSE)</f>
        <v>#N/A</v>
      </c>
      <c r="D20" s="19" t="e">
        <f>VLOOKUP($A20,Config!$B$6:$E$1862,4,FALSE)</f>
        <v>#N/A</v>
      </c>
    </row>
    <row r="21" spans="1:4" x14ac:dyDescent="0.25">
      <c r="A21" s="19">
        <v>40020</v>
      </c>
      <c r="B21" s="19" t="e">
        <f>VLOOKUP($A21,Config!$B$6:$E$1862,2,FALSE)</f>
        <v>#N/A</v>
      </c>
      <c r="C21" s="19" t="e">
        <f>VLOOKUP($A21,Config!$B$6:$E$1862,3,FALSE)</f>
        <v>#N/A</v>
      </c>
      <c r="D21" s="19" t="e">
        <f>VLOOKUP($A21,Config!$B$6:$E$1862,4,FALSE)</f>
        <v>#N/A</v>
      </c>
    </row>
    <row r="22" spans="1:4" x14ac:dyDescent="0.25">
      <c r="A22" s="19">
        <v>40021</v>
      </c>
      <c r="B22" s="19" t="e">
        <f>VLOOKUP($A22,Config!$B$6:$E$1862,2,FALSE)</f>
        <v>#N/A</v>
      </c>
      <c r="C22" s="19" t="e">
        <f>VLOOKUP($A22,Config!$B$6:$E$1862,3,FALSE)</f>
        <v>#N/A</v>
      </c>
      <c r="D22" s="19" t="e">
        <f>VLOOKUP($A22,Config!$B$6:$E$1862,4,FALSE)</f>
        <v>#N/A</v>
      </c>
    </row>
    <row r="23" spans="1:4" x14ac:dyDescent="0.25">
      <c r="A23" s="19">
        <v>40022</v>
      </c>
      <c r="B23" s="19" t="e">
        <f>VLOOKUP($A23,Config!$B$6:$E$1862,2,FALSE)</f>
        <v>#N/A</v>
      </c>
      <c r="C23" s="19" t="e">
        <f>VLOOKUP($A23,Config!$B$6:$E$1862,3,FALSE)</f>
        <v>#N/A</v>
      </c>
      <c r="D23" s="19" t="e">
        <f>VLOOKUP($A23,Config!$B$6:$E$1862,4,FALSE)</f>
        <v>#N/A</v>
      </c>
    </row>
    <row r="24" spans="1:4" x14ac:dyDescent="0.25">
      <c r="A24" s="19">
        <v>40023</v>
      </c>
      <c r="B24" s="19" t="e">
        <f>VLOOKUP($A24,Config!$B$6:$E$1862,2,FALSE)</f>
        <v>#N/A</v>
      </c>
      <c r="C24" s="19" t="e">
        <f>VLOOKUP($A24,Config!$B$6:$E$1862,3,FALSE)</f>
        <v>#N/A</v>
      </c>
      <c r="D24" s="19" t="e">
        <f>VLOOKUP($A24,Config!$B$6:$E$1862,4,FALSE)</f>
        <v>#N/A</v>
      </c>
    </row>
    <row r="25" spans="1:4" x14ac:dyDescent="0.25">
      <c r="A25" s="19">
        <v>40024</v>
      </c>
      <c r="B25" s="19" t="e">
        <f>VLOOKUP($A25,Config!$B$6:$E$1862,2,FALSE)</f>
        <v>#N/A</v>
      </c>
      <c r="C25" s="19" t="e">
        <f>VLOOKUP($A25,Config!$B$6:$E$1862,3,FALSE)</f>
        <v>#N/A</v>
      </c>
      <c r="D25" s="19" t="e">
        <f>VLOOKUP($A25,Config!$B$6:$E$1862,4,FALSE)</f>
        <v>#N/A</v>
      </c>
    </row>
    <row r="26" spans="1:4" x14ac:dyDescent="0.25">
      <c r="A26" s="19">
        <v>40025</v>
      </c>
      <c r="B26" s="19" t="e">
        <f>VLOOKUP($A26,Config!$B$6:$E$1862,2,FALSE)</f>
        <v>#N/A</v>
      </c>
      <c r="C26" s="19" t="e">
        <f>VLOOKUP($A26,Config!$B$6:$E$1862,3,FALSE)</f>
        <v>#N/A</v>
      </c>
      <c r="D26" s="19" t="e">
        <f>VLOOKUP($A26,Config!$B$6:$E$1862,4,FALSE)</f>
        <v>#N/A</v>
      </c>
    </row>
    <row r="27" spans="1:4" x14ac:dyDescent="0.25">
      <c r="A27" s="19">
        <v>40026</v>
      </c>
      <c r="B27" s="19" t="e">
        <f>VLOOKUP($A27,Config!$B$6:$E$1862,2,FALSE)</f>
        <v>#N/A</v>
      </c>
      <c r="C27" s="19" t="e">
        <f>VLOOKUP($A27,Config!$B$6:$E$1862,3,FALSE)</f>
        <v>#N/A</v>
      </c>
      <c r="D27" s="19" t="e">
        <f>VLOOKUP($A27,Config!$B$6:$E$1862,4,FALSE)</f>
        <v>#N/A</v>
      </c>
    </row>
    <row r="28" spans="1:4" x14ac:dyDescent="0.25">
      <c r="A28" s="19">
        <v>40027</v>
      </c>
      <c r="B28" s="19" t="e">
        <f>VLOOKUP($A28,Config!$B$6:$E$1862,2,FALSE)</f>
        <v>#N/A</v>
      </c>
      <c r="C28" s="19" t="e">
        <f>VLOOKUP($A28,Config!$B$6:$E$1862,3,FALSE)</f>
        <v>#N/A</v>
      </c>
      <c r="D28" s="19" t="e">
        <f>VLOOKUP($A28,Config!$B$6:$E$1862,4,FALSE)</f>
        <v>#N/A</v>
      </c>
    </row>
    <row r="29" spans="1:4" x14ac:dyDescent="0.25">
      <c r="A29" s="19">
        <v>40028</v>
      </c>
      <c r="B29" s="19" t="e">
        <f>VLOOKUP($A29,Config!$B$6:$E$1862,2,FALSE)</f>
        <v>#N/A</v>
      </c>
      <c r="C29" s="19" t="e">
        <f>VLOOKUP($A29,Config!$B$6:$E$1862,3,FALSE)</f>
        <v>#N/A</v>
      </c>
      <c r="D29" s="19" t="e">
        <f>VLOOKUP($A29,Config!$B$6:$E$1862,4,FALSE)</f>
        <v>#N/A</v>
      </c>
    </row>
    <row r="30" spans="1:4" x14ac:dyDescent="0.25">
      <c r="A30" s="19">
        <v>40029</v>
      </c>
      <c r="B30" s="19" t="e">
        <f>VLOOKUP($A30,Config!$B$6:$E$1862,2,FALSE)</f>
        <v>#N/A</v>
      </c>
      <c r="C30" s="19" t="e">
        <f>VLOOKUP($A30,Config!$B$6:$E$1862,3,FALSE)</f>
        <v>#N/A</v>
      </c>
      <c r="D30" s="19" t="e">
        <f>VLOOKUP($A30,Config!$B$6:$E$1862,4,FALSE)</f>
        <v>#N/A</v>
      </c>
    </row>
    <row r="31" spans="1:4" x14ac:dyDescent="0.25">
      <c r="A31" s="19">
        <v>40030</v>
      </c>
      <c r="B31" s="19" t="e">
        <f>VLOOKUP($A31,Config!$B$6:$E$1862,2,FALSE)</f>
        <v>#N/A</v>
      </c>
      <c r="C31" s="19" t="e">
        <f>VLOOKUP($A31,Config!$B$6:$E$1862,3,FALSE)</f>
        <v>#N/A</v>
      </c>
      <c r="D31" s="19" t="e">
        <f>VLOOKUP($A31,Config!$B$6:$E$1862,4,FALSE)</f>
        <v>#N/A</v>
      </c>
    </row>
    <row r="32" spans="1:4" x14ac:dyDescent="0.25">
      <c r="A32" s="19">
        <v>40031</v>
      </c>
      <c r="B32" s="19" t="e">
        <f>VLOOKUP($A32,Config!$B$6:$E$1862,2,FALSE)</f>
        <v>#N/A</v>
      </c>
      <c r="C32" s="19" t="e">
        <f>VLOOKUP($A32,Config!$B$6:$E$1862,3,FALSE)</f>
        <v>#N/A</v>
      </c>
      <c r="D32" s="19" t="e">
        <f>VLOOKUP($A32,Config!$B$6:$E$1862,4,FALSE)</f>
        <v>#N/A</v>
      </c>
    </row>
    <row r="33" spans="1:4" x14ac:dyDescent="0.25">
      <c r="A33" s="19">
        <v>40032</v>
      </c>
      <c r="B33" s="19" t="e">
        <f>VLOOKUP($A33,Config!$B$6:$E$1862,2,FALSE)</f>
        <v>#N/A</v>
      </c>
      <c r="C33" s="19" t="e">
        <f>VLOOKUP($A33,Config!$B$6:$E$1862,3,FALSE)</f>
        <v>#N/A</v>
      </c>
      <c r="D33" s="19" t="e">
        <f>VLOOKUP($A33,Config!$B$6:$E$1862,4,FALSE)</f>
        <v>#N/A</v>
      </c>
    </row>
    <row r="34" spans="1:4" x14ac:dyDescent="0.25">
      <c r="A34" s="19">
        <v>40033</v>
      </c>
      <c r="B34" s="19" t="e">
        <f>VLOOKUP($A34,Config!$B$6:$E$1862,2,FALSE)</f>
        <v>#N/A</v>
      </c>
      <c r="C34" s="19" t="e">
        <f>VLOOKUP($A34,Config!$B$6:$E$1862,3,FALSE)</f>
        <v>#N/A</v>
      </c>
      <c r="D34" s="19" t="e">
        <f>VLOOKUP($A34,Config!$B$6:$E$1862,4,FALSE)</f>
        <v>#N/A</v>
      </c>
    </row>
    <row r="35" spans="1:4" x14ac:dyDescent="0.25">
      <c r="A35" s="19">
        <v>40034</v>
      </c>
      <c r="B35" s="19" t="e">
        <f>VLOOKUP($A35,Config!$B$6:$E$1862,2,FALSE)</f>
        <v>#N/A</v>
      </c>
      <c r="C35" s="19" t="e">
        <f>VLOOKUP($A35,Config!$B$6:$E$1862,3,FALSE)</f>
        <v>#N/A</v>
      </c>
      <c r="D35" s="19" t="e">
        <f>VLOOKUP($A35,Config!$B$6:$E$1862,4,FALSE)</f>
        <v>#N/A</v>
      </c>
    </row>
    <row r="36" spans="1:4" x14ac:dyDescent="0.25">
      <c r="A36" s="19">
        <v>40035</v>
      </c>
      <c r="B36" s="19" t="e">
        <f>VLOOKUP($A36,Config!$B$6:$E$1862,2,FALSE)</f>
        <v>#N/A</v>
      </c>
      <c r="C36" s="19" t="e">
        <f>VLOOKUP($A36,Config!$B$6:$E$1862,3,FALSE)</f>
        <v>#N/A</v>
      </c>
      <c r="D36" s="19" t="e">
        <f>VLOOKUP($A36,Config!$B$6:$E$1862,4,FALSE)</f>
        <v>#N/A</v>
      </c>
    </row>
    <row r="37" spans="1:4" x14ac:dyDescent="0.25">
      <c r="A37" s="19">
        <v>40036</v>
      </c>
      <c r="B37" s="19" t="e">
        <f>VLOOKUP($A37,Config!$B$6:$E$1862,2,FALSE)</f>
        <v>#N/A</v>
      </c>
      <c r="C37" s="19" t="e">
        <f>VLOOKUP($A37,Config!$B$6:$E$1862,3,FALSE)</f>
        <v>#N/A</v>
      </c>
      <c r="D37" s="19" t="e">
        <f>VLOOKUP($A37,Config!$B$6:$E$1862,4,FALSE)</f>
        <v>#N/A</v>
      </c>
    </row>
    <row r="38" spans="1:4" x14ac:dyDescent="0.25">
      <c r="A38" s="19">
        <v>40037</v>
      </c>
      <c r="B38" s="19" t="e">
        <f>VLOOKUP($A38,Config!$B$6:$E$1862,2,FALSE)</f>
        <v>#N/A</v>
      </c>
      <c r="C38" s="19" t="e">
        <f>VLOOKUP($A38,Config!$B$6:$E$1862,3,FALSE)</f>
        <v>#N/A</v>
      </c>
      <c r="D38" s="19" t="e">
        <f>VLOOKUP($A38,Config!$B$6:$E$1862,4,FALSE)</f>
        <v>#N/A</v>
      </c>
    </row>
    <row r="39" spans="1:4" x14ac:dyDescent="0.25">
      <c r="A39" s="19">
        <v>40038</v>
      </c>
      <c r="B39" s="19" t="e">
        <f>VLOOKUP($A39,Config!$B$6:$E$1862,2,FALSE)</f>
        <v>#N/A</v>
      </c>
      <c r="C39" s="19" t="e">
        <f>VLOOKUP($A39,Config!$B$6:$E$1862,3,FALSE)</f>
        <v>#N/A</v>
      </c>
      <c r="D39" s="19" t="e">
        <f>VLOOKUP($A39,Config!$B$6:$E$1862,4,FALSE)</f>
        <v>#N/A</v>
      </c>
    </row>
    <row r="40" spans="1:4" x14ac:dyDescent="0.25">
      <c r="A40" s="19">
        <v>40039</v>
      </c>
      <c r="B40" s="19" t="e">
        <f>VLOOKUP($A40,Config!$B$6:$E$1862,2,FALSE)</f>
        <v>#N/A</v>
      </c>
      <c r="C40" s="19" t="e">
        <f>VLOOKUP($A40,Config!$B$6:$E$1862,3,FALSE)</f>
        <v>#N/A</v>
      </c>
      <c r="D40" s="19" t="e">
        <f>VLOOKUP($A40,Config!$B$6:$E$1862,4,FALSE)</f>
        <v>#N/A</v>
      </c>
    </row>
    <row r="41" spans="1:4" x14ac:dyDescent="0.25">
      <c r="A41" s="19">
        <v>40040</v>
      </c>
      <c r="B41" s="19" t="e">
        <f>VLOOKUP($A41,Config!$B$6:$E$1862,2,FALSE)</f>
        <v>#N/A</v>
      </c>
      <c r="C41" s="19" t="e">
        <f>VLOOKUP($A41,Config!$B$6:$E$1862,3,FALSE)</f>
        <v>#N/A</v>
      </c>
      <c r="D41" s="19" t="e">
        <f>VLOOKUP($A41,Config!$B$6:$E$1862,4,FALSE)</f>
        <v>#N/A</v>
      </c>
    </row>
    <row r="42" spans="1:4" x14ac:dyDescent="0.25">
      <c r="A42" s="19">
        <v>40041</v>
      </c>
      <c r="B42" s="19" t="e">
        <f>VLOOKUP($A42,Config!$B$6:$E$1862,2,FALSE)</f>
        <v>#N/A</v>
      </c>
      <c r="C42" s="19" t="e">
        <f>VLOOKUP($A42,Config!$B$6:$E$1862,3,FALSE)</f>
        <v>#N/A</v>
      </c>
      <c r="D42" s="19" t="e">
        <f>VLOOKUP($A42,Config!$B$6:$E$1862,4,FALSE)</f>
        <v>#N/A</v>
      </c>
    </row>
    <row r="43" spans="1:4" x14ac:dyDescent="0.25">
      <c r="A43" s="19">
        <v>40042</v>
      </c>
      <c r="B43" s="19" t="e">
        <f>VLOOKUP($A43,Config!$B$6:$E$1862,2,FALSE)</f>
        <v>#N/A</v>
      </c>
      <c r="C43" s="19" t="e">
        <f>VLOOKUP($A43,Config!$B$6:$E$1862,3,FALSE)</f>
        <v>#N/A</v>
      </c>
      <c r="D43" s="19" t="e">
        <f>VLOOKUP($A43,Config!$B$6:$E$1862,4,FALSE)</f>
        <v>#N/A</v>
      </c>
    </row>
    <row r="44" spans="1:4" x14ac:dyDescent="0.25">
      <c r="A44" s="19">
        <v>40044</v>
      </c>
      <c r="B44" s="19" t="e">
        <f>VLOOKUP($A44,Config!$B$6:$E$1862,2,FALSE)</f>
        <v>#N/A</v>
      </c>
      <c r="C44" s="19" t="e">
        <f>VLOOKUP($A44,Config!$B$6:$E$1862,3,FALSE)</f>
        <v>#N/A</v>
      </c>
      <c r="D44" s="19" t="e">
        <f>VLOOKUP($A44,Config!$B$6:$E$1862,4,FALSE)</f>
        <v>#N/A</v>
      </c>
    </row>
    <row r="45" spans="1:4" x14ac:dyDescent="0.25">
      <c r="A45" s="19">
        <v>40045</v>
      </c>
      <c r="B45" s="19" t="e">
        <f>VLOOKUP($A45,Config!$B$6:$E$1862,2,FALSE)</f>
        <v>#N/A</v>
      </c>
      <c r="C45" s="19" t="e">
        <f>VLOOKUP($A45,Config!$B$6:$E$1862,3,FALSE)</f>
        <v>#N/A</v>
      </c>
      <c r="D45" s="19" t="e">
        <f>VLOOKUP($A45,Config!$B$6:$E$1862,4,FALSE)</f>
        <v>#N/A</v>
      </c>
    </row>
    <row r="46" spans="1:4" x14ac:dyDescent="0.25">
      <c r="A46" s="19">
        <v>40046</v>
      </c>
      <c r="B46" s="19" t="e">
        <f>VLOOKUP($A46,Config!$B$6:$E$1862,2,FALSE)</f>
        <v>#N/A</v>
      </c>
      <c r="C46" s="19" t="e">
        <f>VLOOKUP($A46,Config!$B$6:$E$1862,3,FALSE)</f>
        <v>#N/A</v>
      </c>
      <c r="D46" s="19" t="e">
        <f>VLOOKUP($A46,Config!$B$6:$E$1862,4,FALSE)</f>
        <v>#N/A</v>
      </c>
    </row>
    <row r="47" spans="1:4" x14ac:dyDescent="0.25">
      <c r="A47" s="19">
        <v>40047</v>
      </c>
      <c r="B47" s="19" t="e">
        <f>VLOOKUP($A47,Config!$B$6:$E$1862,2,FALSE)</f>
        <v>#N/A</v>
      </c>
      <c r="C47" s="19" t="e">
        <f>VLOOKUP($A47,Config!$B$6:$E$1862,3,FALSE)</f>
        <v>#N/A</v>
      </c>
      <c r="D47" s="19" t="e">
        <f>VLOOKUP($A47,Config!$B$6:$E$1862,4,FALSE)</f>
        <v>#N/A</v>
      </c>
    </row>
    <row r="48" spans="1:4" x14ac:dyDescent="0.25">
      <c r="A48" s="19">
        <v>40048</v>
      </c>
      <c r="B48" s="19" t="e">
        <f>VLOOKUP($A48,Config!$B$6:$E$1862,2,FALSE)</f>
        <v>#N/A</v>
      </c>
      <c r="C48" s="19" t="e">
        <f>VLOOKUP($A48,Config!$B$6:$E$1862,3,FALSE)</f>
        <v>#N/A</v>
      </c>
      <c r="D48" s="19" t="e">
        <f>VLOOKUP($A48,Config!$B$6:$E$1862,4,FALSE)</f>
        <v>#N/A</v>
      </c>
    </row>
    <row r="49" spans="1:4" x14ac:dyDescent="0.25">
      <c r="A49" s="19">
        <v>40049</v>
      </c>
      <c r="B49" s="19" t="e">
        <f>VLOOKUP($A49,Config!$B$6:$E$1862,2,FALSE)</f>
        <v>#N/A</v>
      </c>
      <c r="C49" s="19" t="e">
        <f>VLOOKUP($A49,Config!$B$6:$E$1862,3,FALSE)</f>
        <v>#N/A</v>
      </c>
      <c r="D49" s="19" t="e">
        <f>VLOOKUP($A49,Config!$B$6:$E$1862,4,FALSE)</f>
        <v>#N/A</v>
      </c>
    </row>
    <row r="50" spans="1:4" x14ac:dyDescent="0.25">
      <c r="A50" s="19">
        <v>40050</v>
      </c>
      <c r="B50" s="19" t="e">
        <f>VLOOKUP($A50,Config!$B$6:$E$1862,2,FALSE)</f>
        <v>#N/A</v>
      </c>
      <c r="C50" s="19" t="e">
        <f>VLOOKUP($A50,Config!$B$6:$E$1862,3,FALSE)</f>
        <v>#N/A</v>
      </c>
      <c r="D50" s="19" t="e">
        <f>VLOOKUP($A50,Config!$B$6:$E$1862,4,FALSE)</f>
        <v>#N/A</v>
      </c>
    </row>
    <row r="51" spans="1:4" x14ac:dyDescent="0.25">
      <c r="A51" s="19">
        <v>40051</v>
      </c>
      <c r="B51" s="19" t="e">
        <f>VLOOKUP($A51,Config!$B$6:$E$1862,2,FALSE)</f>
        <v>#N/A</v>
      </c>
      <c r="C51" s="19" t="e">
        <f>VLOOKUP($A51,Config!$B$6:$E$1862,3,FALSE)</f>
        <v>#N/A</v>
      </c>
      <c r="D51" s="19" t="e">
        <f>VLOOKUP($A51,Config!$B$6:$E$1862,4,FALSE)</f>
        <v>#N/A</v>
      </c>
    </row>
    <row r="52" spans="1:4" x14ac:dyDescent="0.25">
      <c r="A52" s="19">
        <v>40052</v>
      </c>
      <c r="B52" s="19" t="e">
        <f>VLOOKUP($A52,Config!$B$6:$E$1862,2,FALSE)</f>
        <v>#N/A</v>
      </c>
      <c r="C52" s="19" t="e">
        <f>VLOOKUP($A52,Config!$B$6:$E$1862,3,FALSE)</f>
        <v>#N/A</v>
      </c>
      <c r="D52" s="19" t="e">
        <f>VLOOKUP($A52,Config!$B$6:$E$1862,4,FALSE)</f>
        <v>#N/A</v>
      </c>
    </row>
    <row r="53" spans="1:4" x14ac:dyDescent="0.25">
      <c r="A53" s="19">
        <v>40053</v>
      </c>
      <c r="B53" s="19" t="e">
        <f>VLOOKUP($A53,Config!$B$6:$E$1862,2,FALSE)</f>
        <v>#N/A</v>
      </c>
      <c r="C53" s="19" t="e">
        <f>VLOOKUP($A53,Config!$B$6:$E$1862,3,FALSE)</f>
        <v>#N/A</v>
      </c>
      <c r="D53" s="19" t="e">
        <f>VLOOKUP($A53,Config!$B$6:$E$1862,4,FALSE)</f>
        <v>#N/A</v>
      </c>
    </row>
    <row r="54" spans="1:4" x14ac:dyDescent="0.25">
      <c r="A54" s="19">
        <v>40054</v>
      </c>
      <c r="B54" s="19" t="e">
        <f>VLOOKUP($A54,Config!$B$6:$E$1862,2,FALSE)</f>
        <v>#N/A</v>
      </c>
      <c r="C54" s="19" t="e">
        <f>VLOOKUP($A54,Config!$B$6:$E$1862,3,FALSE)</f>
        <v>#N/A</v>
      </c>
      <c r="D54" s="19" t="e">
        <f>VLOOKUP($A54,Config!$B$6:$E$1862,4,FALSE)</f>
        <v>#N/A</v>
      </c>
    </row>
    <row r="55" spans="1:4" x14ac:dyDescent="0.25">
      <c r="A55" s="19">
        <v>40055</v>
      </c>
      <c r="B55" s="19" t="e">
        <f>VLOOKUP($A55,Config!$B$6:$E$1862,2,FALSE)</f>
        <v>#N/A</v>
      </c>
      <c r="C55" s="19" t="e">
        <f>VLOOKUP($A55,Config!$B$6:$E$1862,3,FALSE)</f>
        <v>#N/A</v>
      </c>
      <c r="D55" s="19" t="e">
        <f>VLOOKUP($A55,Config!$B$6:$E$1862,4,FALSE)</f>
        <v>#N/A</v>
      </c>
    </row>
    <row r="56" spans="1:4" x14ac:dyDescent="0.25">
      <c r="A56" s="19">
        <v>40056</v>
      </c>
      <c r="B56" s="19" t="e">
        <f>VLOOKUP($A56,Config!$B$6:$E$1862,2,FALSE)</f>
        <v>#N/A</v>
      </c>
      <c r="C56" s="19" t="e">
        <f>VLOOKUP($A56,Config!$B$6:$E$1862,3,FALSE)</f>
        <v>#N/A</v>
      </c>
      <c r="D56" s="19" t="e">
        <f>VLOOKUP($A56,Config!$B$6:$E$1862,4,FALSE)</f>
        <v>#N/A</v>
      </c>
    </row>
    <row r="57" spans="1:4" x14ac:dyDescent="0.25">
      <c r="A57" s="19">
        <v>40057</v>
      </c>
      <c r="B57" s="19" t="e">
        <f>VLOOKUP($A57,Config!$B$6:$E$1862,2,FALSE)</f>
        <v>#N/A</v>
      </c>
      <c r="C57" s="19" t="e">
        <f>VLOOKUP($A57,Config!$B$6:$E$1862,3,FALSE)</f>
        <v>#N/A</v>
      </c>
      <c r="D57" s="19" t="e">
        <f>VLOOKUP($A57,Config!$B$6:$E$1862,4,FALSE)</f>
        <v>#N/A</v>
      </c>
    </row>
    <row r="58" spans="1:4" x14ac:dyDescent="0.25">
      <c r="A58" s="19">
        <v>40058</v>
      </c>
      <c r="B58" s="19" t="e">
        <f>VLOOKUP($A58,Config!$B$6:$E$1862,2,FALSE)</f>
        <v>#N/A</v>
      </c>
      <c r="C58" s="19" t="e">
        <f>VLOOKUP($A58,Config!$B$6:$E$1862,3,FALSE)</f>
        <v>#N/A</v>
      </c>
      <c r="D58" s="19" t="e">
        <f>VLOOKUP($A58,Config!$B$6:$E$1862,4,FALSE)</f>
        <v>#N/A</v>
      </c>
    </row>
    <row r="59" spans="1:4" x14ac:dyDescent="0.25">
      <c r="A59" s="19">
        <v>40059</v>
      </c>
      <c r="B59" s="19" t="e">
        <f>VLOOKUP($A59,Config!$B$6:$E$1862,2,FALSE)</f>
        <v>#N/A</v>
      </c>
      <c r="C59" s="19" t="e">
        <f>VLOOKUP($A59,Config!$B$6:$E$1862,3,FALSE)</f>
        <v>#N/A</v>
      </c>
      <c r="D59" s="19" t="e">
        <f>VLOOKUP($A59,Config!$B$6:$E$1862,4,FALSE)</f>
        <v>#N/A</v>
      </c>
    </row>
    <row r="60" spans="1:4" x14ac:dyDescent="0.25">
      <c r="A60" s="19">
        <v>40060</v>
      </c>
      <c r="B60" s="19" t="e">
        <f>VLOOKUP($A60,Config!$B$6:$E$1862,2,FALSE)</f>
        <v>#N/A</v>
      </c>
      <c r="C60" s="19" t="e">
        <f>VLOOKUP($A60,Config!$B$6:$E$1862,3,FALSE)</f>
        <v>#N/A</v>
      </c>
      <c r="D60" s="19" t="e">
        <f>VLOOKUP($A60,Config!$B$6:$E$1862,4,FALSE)</f>
        <v>#N/A</v>
      </c>
    </row>
    <row r="61" spans="1:4" x14ac:dyDescent="0.25">
      <c r="A61" s="19">
        <v>40061</v>
      </c>
      <c r="B61" s="19" t="e">
        <f>VLOOKUP($A61,Config!$B$6:$E$1862,2,FALSE)</f>
        <v>#N/A</v>
      </c>
      <c r="C61" s="19" t="e">
        <f>VLOOKUP($A61,Config!$B$6:$E$1862,3,FALSE)</f>
        <v>#N/A</v>
      </c>
      <c r="D61" s="19" t="e">
        <f>VLOOKUP($A61,Config!$B$6:$E$1862,4,FALSE)</f>
        <v>#N/A</v>
      </c>
    </row>
    <row r="62" spans="1:4" x14ac:dyDescent="0.25">
      <c r="A62" s="19">
        <v>40062</v>
      </c>
      <c r="B62" s="19" t="e">
        <f>VLOOKUP($A62,Config!$B$6:$E$1862,2,FALSE)</f>
        <v>#N/A</v>
      </c>
      <c r="C62" s="19" t="e">
        <f>VLOOKUP($A62,Config!$B$6:$E$1862,3,FALSE)</f>
        <v>#N/A</v>
      </c>
      <c r="D62" s="19" t="e">
        <f>VLOOKUP($A62,Config!$B$6:$E$1862,4,FALSE)</f>
        <v>#N/A</v>
      </c>
    </row>
    <row r="63" spans="1:4" x14ac:dyDescent="0.25">
      <c r="A63" s="19">
        <v>40063</v>
      </c>
      <c r="B63" s="19" t="e">
        <f>VLOOKUP($A63,Config!$B$6:$E$1862,2,FALSE)</f>
        <v>#N/A</v>
      </c>
      <c r="C63" s="19" t="e">
        <f>VLOOKUP($A63,Config!$B$6:$E$1862,3,FALSE)</f>
        <v>#N/A</v>
      </c>
      <c r="D63" s="19" t="e">
        <f>VLOOKUP($A63,Config!$B$6:$E$1862,4,FALSE)</f>
        <v>#N/A</v>
      </c>
    </row>
    <row r="64" spans="1:4" x14ac:dyDescent="0.25">
      <c r="A64" s="19">
        <v>40064</v>
      </c>
      <c r="B64" s="19" t="e">
        <f>VLOOKUP($A64,Config!$B$6:$E$1862,2,FALSE)</f>
        <v>#N/A</v>
      </c>
      <c r="C64" s="19" t="e">
        <f>VLOOKUP($A64,Config!$B$6:$E$1862,3,FALSE)</f>
        <v>#N/A</v>
      </c>
      <c r="D64" s="19" t="e">
        <f>VLOOKUP($A64,Config!$B$6:$E$1862,4,FALSE)</f>
        <v>#N/A</v>
      </c>
    </row>
    <row r="65" spans="1:4" x14ac:dyDescent="0.25">
      <c r="A65" s="19">
        <v>40065</v>
      </c>
      <c r="B65" s="19" t="e">
        <f>VLOOKUP($A65,Config!$B$6:$E$1862,2,FALSE)</f>
        <v>#N/A</v>
      </c>
      <c r="C65" s="19" t="e">
        <f>VLOOKUP($A65,Config!$B$6:$E$1862,3,FALSE)</f>
        <v>#N/A</v>
      </c>
      <c r="D65" s="19" t="e">
        <f>VLOOKUP($A65,Config!$B$6:$E$1862,4,FALSE)</f>
        <v>#N/A</v>
      </c>
    </row>
    <row r="66" spans="1:4" x14ac:dyDescent="0.25">
      <c r="A66" s="19">
        <v>40066</v>
      </c>
      <c r="B66" s="19" t="e">
        <f>VLOOKUP($A66,Config!$B$6:$E$1862,2,FALSE)</f>
        <v>#N/A</v>
      </c>
      <c r="C66" s="19" t="e">
        <f>VLOOKUP($A66,Config!$B$6:$E$1862,3,FALSE)</f>
        <v>#N/A</v>
      </c>
      <c r="D66" s="19" t="e">
        <f>VLOOKUP($A66,Config!$B$6:$E$1862,4,FALSE)</f>
        <v>#N/A</v>
      </c>
    </row>
    <row r="67" spans="1:4" x14ac:dyDescent="0.25">
      <c r="A67" s="19">
        <v>40067</v>
      </c>
      <c r="B67" s="19" t="e">
        <f>VLOOKUP($A67,Config!$B$6:$E$1862,2,FALSE)</f>
        <v>#N/A</v>
      </c>
      <c r="C67" s="19" t="e">
        <f>VLOOKUP($A67,Config!$B$6:$E$1862,3,FALSE)</f>
        <v>#N/A</v>
      </c>
      <c r="D67" s="19" t="e">
        <f>VLOOKUP($A67,Config!$B$6:$E$1862,4,FALSE)</f>
        <v>#N/A</v>
      </c>
    </row>
    <row r="68" spans="1:4" x14ac:dyDescent="0.25">
      <c r="A68" s="19">
        <v>40068</v>
      </c>
      <c r="B68" s="19" t="e">
        <f>VLOOKUP($A68,Config!$B$6:$E$1862,2,FALSE)</f>
        <v>#N/A</v>
      </c>
      <c r="C68" s="19" t="e">
        <f>VLOOKUP($A68,Config!$B$6:$E$1862,3,FALSE)</f>
        <v>#N/A</v>
      </c>
      <c r="D68" s="19" t="e">
        <f>VLOOKUP($A68,Config!$B$6:$E$1862,4,FALSE)</f>
        <v>#N/A</v>
      </c>
    </row>
    <row r="69" spans="1:4" x14ac:dyDescent="0.25">
      <c r="A69" s="19">
        <v>40069</v>
      </c>
      <c r="B69" s="19" t="e">
        <f>VLOOKUP($A69,Config!$B$6:$E$1862,2,FALSE)</f>
        <v>#N/A</v>
      </c>
      <c r="C69" s="19" t="e">
        <f>VLOOKUP($A69,Config!$B$6:$E$1862,3,FALSE)</f>
        <v>#N/A</v>
      </c>
      <c r="D69" s="19" t="e">
        <f>VLOOKUP($A69,Config!$B$6:$E$1862,4,FALSE)</f>
        <v>#N/A</v>
      </c>
    </row>
    <row r="70" spans="1:4" x14ac:dyDescent="0.25">
      <c r="A70" s="19">
        <v>40070</v>
      </c>
      <c r="B70" s="19" t="e">
        <f>VLOOKUP($A70,Config!$B$6:$E$1862,2,FALSE)</f>
        <v>#N/A</v>
      </c>
      <c r="C70" s="19" t="e">
        <f>VLOOKUP($A70,Config!$B$6:$E$1862,3,FALSE)</f>
        <v>#N/A</v>
      </c>
      <c r="D70" s="19" t="e">
        <f>VLOOKUP($A70,Config!$B$6:$E$1862,4,FALSE)</f>
        <v>#N/A</v>
      </c>
    </row>
    <row r="71" spans="1:4" x14ac:dyDescent="0.25">
      <c r="A71" s="19">
        <v>40071</v>
      </c>
      <c r="B71" s="19" t="e">
        <f>VLOOKUP($A71,Config!$B$6:$E$1862,2,FALSE)</f>
        <v>#N/A</v>
      </c>
      <c r="C71" s="19" t="e">
        <f>VLOOKUP($A71,Config!$B$6:$E$1862,3,FALSE)</f>
        <v>#N/A</v>
      </c>
      <c r="D71" s="19" t="e">
        <f>VLOOKUP($A71,Config!$B$6:$E$1862,4,FALSE)</f>
        <v>#N/A</v>
      </c>
    </row>
    <row r="72" spans="1:4" x14ac:dyDescent="0.25">
      <c r="A72" s="19">
        <v>40072</v>
      </c>
      <c r="B72" s="19" t="e">
        <f>VLOOKUP($A72,Config!$B$6:$E$1862,2,FALSE)</f>
        <v>#N/A</v>
      </c>
      <c r="C72" s="19" t="e">
        <f>VLOOKUP($A72,Config!$B$6:$E$1862,3,FALSE)</f>
        <v>#N/A</v>
      </c>
      <c r="D72" s="19" t="e">
        <f>VLOOKUP($A72,Config!$B$6:$E$1862,4,FALSE)</f>
        <v>#N/A</v>
      </c>
    </row>
    <row r="73" spans="1:4" x14ac:dyDescent="0.25">
      <c r="A73" s="19">
        <v>40073</v>
      </c>
      <c r="B73" s="19" t="e">
        <f>VLOOKUP($A73,Config!$B$6:$E$1862,2,FALSE)</f>
        <v>#N/A</v>
      </c>
      <c r="C73" s="19" t="e">
        <f>VLOOKUP($A73,Config!$B$6:$E$1862,3,FALSE)</f>
        <v>#N/A</v>
      </c>
      <c r="D73" s="19" t="e">
        <f>VLOOKUP($A73,Config!$B$6:$E$1862,4,FALSE)</f>
        <v>#N/A</v>
      </c>
    </row>
    <row r="74" spans="1:4" x14ac:dyDescent="0.25">
      <c r="A74" s="19">
        <v>40074</v>
      </c>
      <c r="B74" s="19" t="e">
        <f>VLOOKUP($A74,Config!$B$6:$E$1862,2,FALSE)</f>
        <v>#N/A</v>
      </c>
      <c r="C74" s="19" t="e">
        <f>VLOOKUP($A74,Config!$B$6:$E$1862,3,FALSE)</f>
        <v>#N/A</v>
      </c>
      <c r="D74" s="19" t="e">
        <f>VLOOKUP($A74,Config!$B$6:$E$1862,4,FALSE)</f>
        <v>#N/A</v>
      </c>
    </row>
    <row r="75" spans="1:4" x14ac:dyDescent="0.25">
      <c r="A75" s="19">
        <v>40075</v>
      </c>
      <c r="B75" s="19" t="e">
        <f>VLOOKUP($A75,Config!$B$6:$E$1862,2,FALSE)</f>
        <v>#N/A</v>
      </c>
      <c r="C75" s="19" t="e">
        <f>VLOOKUP($A75,Config!$B$6:$E$1862,3,FALSE)</f>
        <v>#N/A</v>
      </c>
      <c r="D75" s="19" t="e">
        <f>VLOOKUP($A75,Config!$B$6:$E$1862,4,FALSE)</f>
        <v>#N/A</v>
      </c>
    </row>
    <row r="76" spans="1:4" x14ac:dyDescent="0.25">
      <c r="A76" s="19">
        <v>40076</v>
      </c>
      <c r="B76" s="19" t="e">
        <f>VLOOKUP($A76,Config!$B$6:$E$1862,2,FALSE)</f>
        <v>#N/A</v>
      </c>
      <c r="C76" s="19" t="e">
        <f>VLOOKUP($A76,Config!$B$6:$E$1862,3,FALSE)</f>
        <v>#N/A</v>
      </c>
      <c r="D76" s="19" t="e">
        <f>VLOOKUP($A76,Config!$B$6:$E$1862,4,FALSE)</f>
        <v>#N/A</v>
      </c>
    </row>
    <row r="77" spans="1:4" x14ac:dyDescent="0.25">
      <c r="A77" s="19">
        <v>40077</v>
      </c>
      <c r="B77" s="19" t="e">
        <f>VLOOKUP($A77,Config!$B$6:$E$1862,2,FALSE)</f>
        <v>#N/A</v>
      </c>
      <c r="C77" s="19" t="e">
        <f>VLOOKUP($A77,Config!$B$6:$E$1862,3,FALSE)</f>
        <v>#N/A</v>
      </c>
      <c r="D77" s="19" t="e">
        <f>VLOOKUP($A77,Config!$B$6:$E$1862,4,FALSE)</f>
        <v>#N/A</v>
      </c>
    </row>
    <row r="78" spans="1:4" x14ac:dyDescent="0.25">
      <c r="A78" s="19">
        <v>40078</v>
      </c>
      <c r="B78" s="19" t="e">
        <f>VLOOKUP($A78,Config!$B$6:$E$1862,2,FALSE)</f>
        <v>#N/A</v>
      </c>
      <c r="C78" s="19" t="e">
        <f>VLOOKUP($A78,Config!$B$6:$E$1862,3,FALSE)</f>
        <v>#N/A</v>
      </c>
      <c r="D78" s="19" t="e">
        <f>VLOOKUP($A78,Config!$B$6:$E$1862,4,FALSE)</f>
        <v>#N/A</v>
      </c>
    </row>
    <row r="79" spans="1:4" x14ac:dyDescent="0.25">
      <c r="A79" s="19">
        <v>40079</v>
      </c>
      <c r="B79" s="19" t="e">
        <f>VLOOKUP($A79,Config!$B$6:$E$1862,2,FALSE)</f>
        <v>#N/A</v>
      </c>
      <c r="C79" s="19" t="e">
        <f>VLOOKUP($A79,Config!$B$6:$E$1862,3,FALSE)</f>
        <v>#N/A</v>
      </c>
      <c r="D79" s="19" t="e">
        <f>VLOOKUP($A79,Config!$B$6:$E$1862,4,FALSE)</f>
        <v>#N/A</v>
      </c>
    </row>
    <row r="80" spans="1:4" x14ac:dyDescent="0.25">
      <c r="A80" s="19">
        <v>40080</v>
      </c>
      <c r="B80" s="19" t="e">
        <f>VLOOKUP($A80,Config!$B$6:$E$1862,2,FALSE)</f>
        <v>#N/A</v>
      </c>
      <c r="C80" s="19" t="e">
        <f>VLOOKUP($A80,Config!$B$6:$E$1862,3,FALSE)</f>
        <v>#N/A</v>
      </c>
      <c r="D80" s="19" t="e">
        <f>VLOOKUP($A80,Config!$B$6:$E$1862,4,FALSE)</f>
        <v>#N/A</v>
      </c>
    </row>
    <row r="81" spans="1:4" x14ac:dyDescent="0.25">
      <c r="A81" s="19">
        <v>40081</v>
      </c>
      <c r="B81" s="19" t="e">
        <f>VLOOKUP($A81,Config!$B$6:$E$1862,2,FALSE)</f>
        <v>#N/A</v>
      </c>
      <c r="C81" s="19" t="e">
        <f>VLOOKUP($A81,Config!$B$6:$E$1862,3,FALSE)</f>
        <v>#N/A</v>
      </c>
      <c r="D81" s="19" t="e">
        <f>VLOOKUP($A81,Config!$B$6:$E$1862,4,FALSE)</f>
        <v>#N/A</v>
      </c>
    </row>
    <row r="82" spans="1:4" x14ac:dyDescent="0.25">
      <c r="A82" s="19">
        <v>40082</v>
      </c>
      <c r="B82" s="19" t="e">
        <f>VLOOKUP($A82,Config!$B$6:$E$1862,2,FALSE)</f>
        <v>#N/A</v>
      </c>
      <c r="C82" s="19" t="e">
        <f>VLOOKUP($A82,Config!$B$6:$E$1862,3,FALSE)</f>
        <v>#N/A</v>
      </c>
      <c r="D82" s="19" t="e">
        <f>VLOOKUP($A82,Config!$B$6:$E$1862,4,FALSE)</f>
        <v>#N/A</v>
      </c>
    </row>
    <row r="83" spans="1:4" x14ac:dyDescent="0.25">
      <c r="A83" s="19">
        <v>40083</v>
      </c>
      <c r="B83" s="19" t="e">
        <f>VLOOKUP($A83,Config!$B$6:$E$1862,2,FALSE)</f>
        <v>#N/A</v>
      </c>
      <c r="C83" s="19" t="e">
        <f>VLOOKUP($A83,Config!$B$6:$E$1862,3,FALSE)</f>
        <v>#N/A</v>
      </c>
      <c r="D83" s="19" t="e">
        <f>VLOOKUP($A83,Config!$B$6:$E$1862,4,FALSE)</f>
        <v>#N/A</v>
      </c>
    </row>
    <row r="84" spans="1:4" x14ac:dyDescent="0.25">
      <c r="A84" s="19">
        <v>40084</v>
      </c>
      <c r="B84" s="19" t="e">
        <f>VLOOKUP($A84,Config!$B$6:$E$1862,2,FALSE)</f>
        <v>#N/A</v>
      </c>
      <c r="C84" s="19" t="e">
        <f>VLOOKUP($A84,Config!$B$6:$E$1862,3,FALSE)</f>
        <v>#N/A</v>
      </c>
      <c r="D84" s="19" t="e">
        <f>VLOOKUP($A84,Config!$B$6:$E$1862,4,FALSE)</f>
        <v>#N/A</v>
      </c>
    </row>
    <row r="85" spans="1:4" x14ac:dyDescent="0.25">
      <c r="A85" s="19">
        <v>40085</v>
      </c>
      <c r="B85" s="19" t="e">
        <f>VLOOKUP($A85,Config!$B$6:$E$1862,2,FALSE)</f>
        <v>#N/A</v>
      </c>
      <c r="C85" s="19" t="e">
        <f>VLOOKUP($A85,Config!$B$6:$E$1862,3,FALSE)</f>
        <v>#N/A</v>
      </c>
      <c r="D85" s="19" t="e">
        <f>VLOOKUP($A85,Config!$B$6:$E$1862,4,FALSE)</f>
        <v>#N/A</v>
      </c>
    </row>
    <row r="86" spans="1:4" x14ac:dyDescent="0.25">
      <c r="A86" s="19">
        <v>40086</v>
      </c>
      <c r="B86" s="19" t="e">
        <f>VLOOKUP($A86,Config!$B$6:$E$1862,2,FALSE)</f>
        <v>#N/A</v>
      </c>
      <c r="C86" s="19" t="e">
        <f>VLOOKUP($A86,Config!$B$6:$E$1862,3,FALSE)</f>
        <v>#N/A</v>
      </c>
      <c r="D86" s="19" t="e">
        <f>VLOOKUP($A86,Config!$B$6:$E$1862,4,FALSE)</f>
        <v>#N/A</v>
      </c>
    </row>
    <row r="87" spans="1:4" x14ac:dyDescent="0.25">
      <c r="A87" s="19">
        <v>40087</v>
      </c>
      <c r="B87" s="19" t="e">
        <f>VLOOKUP($A87,Config!$B$6:$E$1862,2,FALSE)</f>
        <v>#N/A</v>
      </c>
      <c r="C87" s="19" t="e">
        <f>VLOOKUP($A87,Config!$B$6:$E$1862,3,FALSE)</f>
        <v>#N/A</v>
      </c>
      <c r="D87" s="19" t="e">
        <f>VLOOKUP($A87,Config!$B$6:$E$1862,4,FALSE)</f>
        <v>#N/A</v>
      </c>
    </row>
    <row r="88" spans="1:4" x14ac:dyDescent="0.25">
      <c r="A88" s="19">
        <v>40088</v>
      </c>
      <c r="B88" s="19" t="e">
        <f>VLOOKUP($A88,Config!$B$6:$E$1862,2,FALSE)</f>
        <v>#N/A</v>
      </c>
      <c r="C88" s="19" t="e">
        <f>VLOOKUP($A88,Config!$B$6:$E$1862,3,FALSE)</f>
        <v>#N/A</v>
      </c>
      <c r="D88" s="19" t="e">
        <f>VLOOKUP($A88,Config!$B$6:$E$1862,4,FALSE)</f>
        <v>#N/A</v>
      </c>
    </row>
    <row r="89" spans="1:4" x14ac:dyDescent="0.25">
      <c r="A89" s="19">
        <v>40089</v>
      </c>
      <c r="B89" s="19" t="e">
        <f>VLOOKUP($A89,Config!$B$6:$E$1862,2,FALSE)</f>
        <v>#N/A</v>
      </c>
      <c r="C89" s="19" t="e">
        <f>VLOOKUP($A89,Config!$B$6:$E$1862,3,FALSE)</f>
        <v>#N/A</v>
      </c>
      <c r="D89" s="19" t="e">
        <f>VLOOKUP($A89,Config!$B$6:$E$1862,4,FALSE)</f>
        <v>#N/A</v>
      </c>
    </row>
    <row r="90" spans="1:4" x14ac:dyDescent="0.25">
      <c r="A90" s="19">
        <v>40090</v>
      </c>
      <c r="B90" s="19" t="e">
        <f>VLOOKUP($A90,Config!$B$6:$E$1862,2,FALSE)</f>
        <v>#N/A</v>
      </c>
      <c r="C90" s="19" t="e">
        <f>VLOOKUP($A90,Config!$B$6:$E$1862,3,FALSE)</f>
        <v>#N/A</v>
      </c>
      <c r="D90" s="19" t="e">
        <f>VLOOKUP($A90,Config!$B$6:$E$1862,4,FALSE)</f>
        <v>#N/A</v>
      </c>
    </row>
    <row r="91" spans="1:4" x14ac:dyDescent="0.25">
      <c r="A91" s="19">
        <v>40091</v>
      </c>
      <c r="B91" s="19" t="e">
        <f>VLOOKUP($A91,Config!$B$6:$E$1862,2,FALSE)</f>
        <v>#N/A</v>
      </c>
      <c r="C91" s="19" t="e">
        <f>VLOOKUP($A91,Config!$B$6:$E$1862,3,FALSE)</f>
        <v>#N/A</v>
      </c>
      <c r="D91" s="19" t="e">
        <f>VLOOKUP($A91,Config!$B$6:$E$1862,4,FALSE)</f>
        <v>#N/A</v>
      </c>
    </row>
    <row r="92" spans="1:4" x14ac:dyDescent="0.25">
      <c r="A92" s="19">
        <v>40092</v>
      </c>
      <c r="B92" s="19" t="e">
        <f>VLOOKUP($A92,Config!$B$6:$E$1862,2,FALSE)</f>
        <v>#N/A</v>
      </c>
      <c r="C92" s="19" t="e">
        <f>VLOOKUP($A92,Config!$B$6:$E$1862,3,FALSE)</f>
        <v>#N/A</v>
      </c>
      <c r="D92" s="19" t="e">
        <f>VLOOKUP($A92,Config!$B$6:$E$1862,4,FALSE)</f>
        <v>#N/A</v>
      </c>
    </row>
    <row r="93" spans="1:4" x14ac:dyDescent="0.25">
      <c r="A93" s="19">
        <v>40093</v>
      </c>
      <c r="B93" s="19" t="e">
        <f>VLOOKUP($A93,Config!$B$6:$E$1862,2,FALSE)</f>
        <v>#N/A</v>
      </c>
      <c r="C93" s="19" t="e">
        <f>VLOOKUP($A93,Config!$B$6:$E$1862,3,FALSE)</f>
        <v>#N/A</v>
      </c>
      <c r="D93" s="19" t="e">
        <f>VLOOKUP($A93,Config!$B$6:$E$1862,4,FALSE)</f>
        <v>#N/A</v>
      </c>
    </row>
    <row r="94" spans="1:4" x14ac:dyDescent="0.25">
      <c r="A94" s="19">
        <v>40094</v>
      </c>
      <c r="B94" s="19" t="e">
        <f>VLOOKUP($A94,Config!$B$6:$E$1862,2,FALSE)</f>
        <v>#N/A</v>
      </c>
      <c r="C94" s="19" t="e">
        <f>VLOOKUP($A94,Config!$B$6:$E$1862,3,FALSE)</f>
        <v>#N/A</v>
      </c>
      <c r="D94" s="19" t="e">
        <f>VLOOKUP($A94,Config!$B$6:$E$1862,4,FALSE)</f>
        <v>#N/A</v>
      </c>
    </row>
    <row r="95" spans="1:4" x14ac:dyDescent="0.25">
      <c r="A95" s="19">
        <v>40095</v>
      </c>
      <c r="B95" s="19" t="e">
        <f>VLOOKUP($A95,Config!$B$6:$E$1862,2,FALSE)</f>
        <v>#N/A</v>
      </c>
      <c r="C95" s="19" t="e">
        <f>VLOOKUP($A95,Config!$B$6:$E$1862,3,FALSE)</f>
        <v>#N/A</v>
      </c>
      <c r="D95" s="19" t="e">
        <f>VLOOKUP($A95,Config!$B$6:$E$1862,4,FALSE)</f>
        <v>#N/A</v>
      </c>
    </row>
    <row r="96" spans="1:4" x14ac:dyDescent="0.25">
      <c r="A96" s="19">
        <v>40096</v>
      </c>
      <c r="B96" s="19" t="e">
        <f>VLOOKUP($A96,Config!$B$6:$E$1862,2,FALSE)</f>
        <v>#N/A</v>
      </c>
      <c r="C96" s="19" t="e">
        <f>VLOOKUP($A96,Config!$B$6:$E$1862,3,FALSE)</f>
        <v>#N/A</v>
      </c>
      <c r="D96" s="19" t="e">
        <f>VLOOKUP($A96,Config!$B$6:$E$1862,4,FALSE)</f>
        <v>#N/A</v>
      </c>
    </row>
    <row r="97" spans="1:4" x14ac:dyDescent="0.25">
      <c r="A97" s="19">
        <v>40097</v>
      </c>
      <c r="B97" s="19" t="e">
        <f>VLOOKUP($A97,Config!$B$6:$E$1862,2,FALSE)</f>
        <v>#N/A</v>
      </c>
      <c r="C97" s="19" t="e">
        <f>VLOOKUP($A97,Config!$B$6:$E$1862,3,FALSE)</f>
        <v>#N/A</v>
      </c>
      <c r="D97" s="19" t="e">
        <f>VLOOKUP($A97,Config!$B$6:$E$1862,4,FALSE)</f>
        <v>#N/A</v>
      </c>
    </row>
    <row r="98" spans="1:4" x14ac:dyDescent="0.25">
      <c r="A98" s="19">
        <v>40098</v>
      </c>
      <c r="B98" s="19" t="e">
        <f>VLOOKUP($A98,Config!$B$6:$E$1862,2,FALSE)</f>
        <v>#N/A</v>
      </c>
      <c r="C98" s="19" t="e">
        <f>VLOOKUP($A98,Config!$B$6:$E$1862,3,FALSE)</f>
        <v>#N/A</v>
      </c>
      <c r="D98" s="19" t="e">
        <f>VLOOKUP($A98,Config!$B$6:$E$1862,4,FALSE)</f>
        <v>#N/A</v>
      </c>
    </row>
    <row r="99" spans="1:4" x14ac:dyDescent="0.25">
      <c r="A99" s="19">
        <v>40099</v>
      </c>
      <c r="B99" s="19" t="e">
        <f>VLOOKUP($A99,Config!$B$6:$E$1862,2,FALSE)</f>
        <v>#N/A</v>
      </c>
      <c r="C99" s="19" t="e">
        <f>VLOOKUP($A99,Config!$B$6:$E$1862,3,FALSE)</f>
        <v>#N/A</v>
      </c>
      <c r="D99" s="19" t="e">
        <f>VLOOKUP($A99,Config!$B$6:$E$1862,4,FALSE)</f>
        <v>#N/A</v>
      </c>
    </row>
    <row r="100" spans="1:4" x14ac:dyDescent="0.25">
      <c r="A100" s="19">
        <v>40100</v>
      </c>
      <c r="B100" s="19" t="e">
        <f>VLOOKUP($A100,Config!$B$6:$E$1862,2,FALSE)</f>
        <v>#N/A</v>
      </c>
      <c r="C100" s="19" t="e">
        <f>VLOOKUP($A100,Config!$B$6:$E$1862,3,FALSE)</f>
        <v>#N/A</v>
      </c>
      <c r="D100" s="19" t="e">
        <f>VLOOKUP($A100,Config!$B$6:$E$1862,4,FALSE)</f>
        <v>#N/A</v>
      </c>
    </row>
    <row r="101" spans="1:4" x14ac:dyDescent="0.25">
      <c r="A101" s="19">
        <v>40101</v>
      </c>
      <c r="B101" s="19" t="e">
        <f>VLOOKUP($A101,Config!$B$6:$E$1862,2,FALSE)</f>
        <v>#N/A</v>
      </c>
      <c r="C101" s="19" t="e">
        <f>VLOOKUP($A101,Config!$B$6:$E$1862,3,FALSE)</f>
        <v>#N/A</v>
      </c>
      <c r="D101" s="19" t="e">
        <f>VLOOKUP($A101,Config!$B$6:$E$1862,4,FALSE)</f>
        <v>#N/A</v>
      </c>
    </row>
    <row r="102" spans="1:4" x14ac:dyDescent="0.25">
      <c r="A102" s="19">
        <v>40102</v>
      </c>
      <c r="B102" s="19" t="e">
        <f>VLOOKUP($A102,Config!$B$6:$E$1862,2,FALSE)</f>
        <v>#N/A</v>
      </c>
      <c r="C102" s="19" t="e">
        <f>VLOOKUP($A102,Config!$B$6:$E$1862,3,FALSE)</f>
        <v>#N/A</v>
      </c>
      <c r="D102" s="19" t="e">
        <f>VLOOKUP($A102,Config!$B$6:$E$1862,4,FALSE)</f>
        <v>#N/A</v>
      </c>
    </row>
    <row r="103" spans="1:4" x14ac:dyDescent="0.25">
      <c r="A103" s="19">
        <v>40103</v>
      </c>
      <c r="B103" s="19" t="e">
        <f>VLOOKUP($A103,Config!$B$6:$E$1862,2,FALSE)</f>
        <v>#N/A</v>
      </c>
      <c r="C103" s="19" t="e">
        <f>VLOOKUP($A103,Config!$B$6:$E$1862,3,FALSE)</f>
        <v>#N/A</v>
      </c>
      <c r="D103" s="19" t="e">
        <f>VLOOKUP($A103,Config!$B$6:$E$1862,4,FALSE)</f>
        <v>#N/A</v>
      </c>
    </row>
    <row r="104" spans="1:4" x14ac:dyDescent="0.25">
      <c r="A104" s="19">
        <v>40104</v>
      </c>
      <c r="B104" s="19" t="e">
        <f>VLOOKUP($A104,Config!$B$6:$E$1862,2,FALSE)</f>
        <v>#N/A</v>
      </c>
      <c r="C104" s="19" t="e">
        <f>VLOOKUP($A104,Config!$B$6:$E$1862,3,FALSE)</f>
        <v>#N/A</v>
      </c>
      <c r="D104" s="19" t="e">
        <f>VLOOKUP($A104,Config!$B$6:$E$1862,4,FALSE)</f>
        <v>#N/A</v>
      </c>
    </row>
    <row r="105" spans="1:4" x14ac:dyDescent="0.25">
      <c r="A105" s="19">
        <v>40105</v>
      </c>
      <c r="B105" s="19" t="e">
        <f>VLOOKUP($A105,Config!$B$6:$E$1862,2,FALSE)</f>
        <v>#N/A</v>
      </c>
      <c r="C105" s="19" t="e">
        <f>VLOOKUP($A105,Config!$B$6:$E$1862,3,FALSE)</f>
        <v>#N/A</v>
      </c>
      <c r="D105" s="19" t="e">
        <f>VLOOKUP($A105,Config!$B$6:$E$1862,4,FALSE)</f>
        <v>#N/A</v>
      </c>
    </row>
    <row r="106" spans="1:4" x14ac:dyDescent="0.25">
      <c r="A106" s="19">
        <v>40106</v>
      </c>
      <c r="B106" s="19" t="e">
        <f>VLOOKUP($A106,Config!$B$6:$E$1862,2,FALSE)</f>
        <v>#N/A</v>
      </c>
      <c r="C106" s="19" t="e">
        <f>VLOOKUP($A106,Config!$B$6:$E$1862,3,FALSE)</f>
        <v>#N/A</v>
      </c>
      <c r="D106" s="19" t="e">
        <f>VLOOKUP($A106,Config!$B$6:$E$1862,4,FALSE)</f>
        <v>#N/A</v>
      </c>
    </row>
    <row r="107" spans="1:4" x14ac:dyDescent="0.25">
      <c r="A107" s="19">
        <v>40107</v>
      </c>
      <c r="B107" s="19" t="e">
        <f>VLOOKUP($A107,Config!$B$6:$E$1862,2,FALSE)</f>
        <v>#N/A</v>
      </c>
      <c r="C107" s="19" t="e">
        <f>VLOOKUP($A107,Config!$B$6:$E$1862,3,FALSE)</f>
        <v>#N/A</v>
      </c>
      <c r="D107" s="19" t="e">
        <f>VLOOKUP($A107,Config!$B$6:$E$1862,4,FALSE)</f>
        <v>#N/A</v>
      </c>
    </row>
    <row r="108" spans="1:4" x14ac:dyDescent="0.25">
      <c r="A108" s="19">
        <v>40108</v>
      </c>
      <c r="B108" s="19" t="e">
        <f>VLOOKUP($A108,Config!$B$6:$E$1862,2,FALSE)</f>
        <v>#N/A</v>
      </c>
      <c r="C108" s="19" t="e">
        <f>VLOOKUP($A108,Config!$B$6:$E$1862,3,FALSE)</f>
        <v>#N/A</v>
      </c>
      <c r="D108" s="19" t="e">
        <f>VLOOKUP($A108,Config!$B$6:$E$1862,4,FALSE)</f>
        <v>#N/A</v>
      </c>
    </row>
    <row r="109" spans="1:4" x14ac:dyDescent="0.25">
      <c r="A109" s="19">
        <v>40109</v>
      </c>
      <c r="B109" s="19" t="e">
        <f>VLOOKUP($A109,Config!$B$6:$E$1862,2,FALSE)</f>
        <v>#N/A</v>
      </c>
      <c r="C109" s="19" t="e">
        <f>VLOOKUP($A109,Config!$B$6:$E$1862,3,FALSE)</f>
        <v>#N/A</v>
      </c>
      <c r="D109" s="19" t="e">
        <f>VLOOKUP($A109,Config!$B$6:$E$1862,4,FALSE)</f>
        <v>#N/A</v>
      </c>
    </row>
    <row r="110" spans="1:4" x14ac:dyDescent="0.25">
      <c r="A110" s="19">
        <v>40110</v>
      </c>
      <c r="B110" s="19" t="e">
        <f>VLOOKUP($A110,Config!$B$6:$E$1862,2,FALSE)</f>
        <v>#N/A</v>
      </c>
      <c r="C110" s="19" t="e">
        <f>VLOOKUP($A110,Config!$B$6:$E$1862,3,FALSE)</f>
        <v>#N/A</v>
      </c>
      <c r="D110" s="19" t="e">
        <f>VLOOKUP($A110,Config!$B$6:$E$1862,4,FALSE)</f>
        <v>#N/A</v>
      </c>
    </row>
    <row r="111" spans="1:4" x14ac:dyDescent="0.25">
      <c r="A111" s="19">
        <v>40111</v>
      </c>
      <c r="B111" s="19" t="e">
        <f>VLOOKUP($A111,Config!$B$6:$E$1862,2,FALSE)</f>
        <v>#N/A</v>
      </c>
      <c r="C111" s="19" t="e">
        <f>VLOOKUP($A111,Config!$B$6:$E$1862,3,FALSE)</f>
        <v>#N/A</v>
      </c>
      <c r="D111" s="19" t="e">
        <f>VLOOKUP($A111,Config!$B$6:$E$1862,4,FALSE)</f>
        <v>#N/A</v>
      </c>
    </row>
    <row r="112" spans="1:4" x14ac:dyDescent="0.25">
      <c r="A112" s="19">
        <v>40112</v>
      </c>
      <c r="B112" s="19" t="e">
        <f>VLOOKUP($A112,Config!$B$6:$E$1862,2,FALSE)</f>
        <v>#N/A</v>
      </c>
      <c r="C112" s="19" t="e">
        <f>VLOOKUP($A112,Config!$B$6:$E$1862,3,FALSE)</f>
        <v>#N/A</v>
      </c>
      <c r="D112" s="19" t="e">
        <f>VLOOKUP($A112,Config!$B$6:$E$1862,4,FALSE)</f>
        <v>#N/A</v>
      </c>
    </row>
    <row r="113" spans="1:4" x14ac:dyDescent="0.25">
      <c r="A113" s="19">
        <v>40113</v>
      </c>
      <c r="B113" s="19" t="e">
        <f>VLOOKUP($A113,Config!$B$6:$E$1862,2,FALSE)</f>
        <v>#N/A</v>
      </c>
      <c r="C113" s="19" t="e">
        <f>VLOOKUP($A113,Config!$B$6:$E$1862,3,FALSE)</f>
        <v>#N/A</v>
      </c>
      <c r="D113" s="19" t="e">
        <f>VLOOKUP($A113,Config!$B$6:$E$1862,4,FALSE)</f>
        <v>#N/A</v>
      </c>
    </row>
    <row r="114" spans="1:4" x14ac:dyDescent="0.25">
      <c r="A114" s="19">
        <v>40114</v>
      </c>
      <c r="B114" s="19" t="e">
        <f>VLOOKUP($A114,Config!$B$6:$E$1862,2,FALSE)</f>
        <v>#N/A</v>
      </c>
      <c r="C114" s="19" t="e">
        <f>VLOOKUP($A114,Config!$B$6:$E$1862,3,FALSE)</f>
        <v>#N/A</v>
      </c>
      <c r="D114" s="19" t="e">
        <f>VLOOKUP($A114,Config!$B$6:$E$1862,4,FALSE)</f>
        <v>#N/A</v>
      </c>
    </row>
    <row r="115" spans="1:4" x14ac:dyDescent="0.25">
      <c r="A115" s="19">
        <v>40115</v>
      </c>
      <c r="B115" s="19" t="e">
        <f>VLOOKUP($A115,Config!$B$6:$E$1862,2,FALSE)</f>
        <v>#N/A</v>
      </c>
      <c r="C115" s="19" t="e">
        <f>VLOOKUP($A115,Config!$B$6:$E$1862,3,FALSE)</f>
        <v>#N/A</v>
      </c>
      <c r="D115" s="19" t="e">
        <f>VLOOKUP($A115,Config!$B$6:$E$1862,4,FALSE)</f>
        <v>#N/A</v>
      </c>
    </row>
    <row r="116" spans="1:4" x14ac:dyDescent="0.25">
      <c r="A116" s="19">
        <v>40116</v>
      </c>
      <c r="B116" s="19" t="e">
        <f>VLOOKUP($A116,Config!$B$6:$E$1862,2,FALSE)</f>
        <v>#N/A</v>
      </c>
      <c r="C116" s="19" t="e">
        <f>VLOOKUP($A116,Config!$B$6:$E$1862,3,FALSE)</f>
        <v>#N/A</v>
      </c>
      <c r="D116" s="19" t="e">
        <f>VLOOKUP($A116,Config!$B$6:$E$1862,4,FALSE)</f>
        <v>#N/A</v>
      </c>
    </row>
    <row r="117" spans="1:4" x14ac:dyDescent="0.25">
      <c r="A117" s="19">
        <v>40117</v>
      </c>
      <c r="B117" s="19" t="e">
        <f>VLOOKUP($A117,Config!$B$6:$E$1862,2,FALSE)</f>
        <v>#N/A</v>
      </c>
      <c r="C117" s="19" t="e">
        <f>VLOOKUP($A117,Config!$B$6:$E$1862,3,FALSE)</f>
        <v>#N/A</v>
      </c>
      <c r="D117" s="19" t="e">
        <f>VLOOKUP($A117,Config!$B$6:$E$1862,4,FALSE)</f>
        <v>#N/A</v>
      </c>
    </row>
    <row r="118" spans="1:4" x14ac:dyDescent="0.25">
      <c r="A118" s="19">
        <v>40118</v>
      </c>
      <c r="B118" s="19" t="e">
        <f>VLOOKUP($A118,Config!$B$6:$E$1862,2,FALSE)</f>
        <v>#N/A</v>
      </c>
      <c r="C118" s="19" t="e">
        <f>VLOOKUP($A118,Config!$B$6:$E$1862,3,FALSE)</f>
        <v>#N/A</v>
      </c>
      <c r="D118" s="19" t="e">
        <f>VLOOKUP($A118,Config!$B$6:$E$1862,4,FALSE)</f>
        <v>#N/A</v>
      </c>
    </row>
    <row r="119" spans="1:4" x14ac:dyDescent="0.25">
      <c r="A119" s="19">
        <v>40119</v>
      </c>
      <c r="B119" s="19" t="e">
        <f>VLOOKUP($A119,Config!$B$6:$E$1862,2,FALSE)</f>
        <v>#N/A</v>
      </c>
      <c r="C119" s="19" t="e">
        <f>VLOOKUP($A119,Config!$B$6:$E$1862,3,FALSE)</f>
        <v>#N/A</v>
      </c>
      <c r="D119" s="19" t="e">
        <f>VLOOKUP($A119,Config!$B$6:$E$1862,4,FALSE)</f>
        <v>#N/A</v>
      </c>
    </row>
    <row r="120" spans="1:4" x14ac:dyDescent="0.25">
      <c r="A120" s="19">
        <v>40120</v>
      </c>
      <c r="B120" s="19" t="e">
        <f>VLOOKUP($A120,Config!$B$6:$E$1862,2,FALSE)</f>
        <v>#N/A</v>
      </c>
      <c r="C120" s="19" t="e">
        <f>VLOOKUP($A120,Config!$B$6:$E$1862,3,FALSE)</f>
        <v>#N/A</v>
      </c>
      <c r="D120" s="19" t="e">
        <f>VLOOKUP($A120,Config!$B$6:$E$1862,4,FALSE)</f>
        <v>#N/A</v>
      </c>
    </row>
    <row r="121" spans="1:4" x14ac:dyDescent="0.25">
      <c r="A121" s="19">
        <v>40121</v>
      </c>
      <c r="B121" s="19" t="e">
        <f>VLOOKUP($A121,Config!$B$6:$E$1862,2,FALSE)</f>
        <v>#N/A</v>
      </c>
      <c r="C121" s="19" t="e">
        <f>VLOOKUP($A121,Config!$B$6:$E$1862,3,FALSE)</f>
        <v>#N/A</v>
      </c>
      <c r="D121" s="19" t="e">
        <f>VLOOKUP($A121,Config!$B$6:$E$1862,4,FALSE)</f>
        <v>#N/A</v>
      </c>
    </row>
    <row r="122" spans="1:4" x14ac:dyDescent="0.25">
      <c r="A122" s="19">
        <v>40122</v>
      </c>
      <c r="B122" s="19" t="e">
        <f>VLOOKUP($A122,Config!$B$6:$E$1862,2,FALSE)</f>
        <v>#N/A</v>
      </c>
      <c r="C122" s="19" t="e">
        <f>VLOOKUP($A122,Config!$B$6:$E$1862,3,FALSE)</f>
        <v>#N/A</v>
      </c>
      <c r="D122" s="19" t="e">
        <f>VLOOKUP($A122,Config!$B$6:$E$1862,4,FALSE)</f>
        <v>#N/A</v>
      </c>
    </row>
    <row r="123" spans="1:4" x14ac:dyDescent="0.25">
      <c r="A123" s="19">
        <v>40123</v>
      </c>
      <c r="B123" s="19" t="e">
        <f>VLOOKUP($A123,Config!$B$6:$E$1862,2,FALSE)</f>
        <v>#N/A</v>
      </c>
      <c r="C123" s="19" t="e">
        <f>VLOOKUP($A123,Config!$B$6:$E$1862,3,FALSE)</f>
        <v>#N/A</v>
      </c>
      <c r="D123" s="19" t="e">
        <f>VLOOKUP($A123,Config!$B$6:$E$1862,4,FALSE)</f>
        <v>#N/A</v>
      </c>
    </row>
    <row r="124" spans="1:4" x14ac:dyDescent="0.25">
      <c r="A124" s="19">
        <v>40124</v>
      </c>
      <c r="B124" s="19" t="e">
        <f>VLOOKUP($A124,Config!$B$6:$E$1862,2,FALSE)</f>
        <v>#N/A</v>
      </c>
      <c r="C124" s="19" t="e">
        <f>VLOOKUP($A124,Config!$B$6:$E$1862,3,FALSE)</f>
        <v>#N/A</v>
      </c>
      <c r="D124" s="19" t="e">
        <f>VLOOKUP($A124,Config!$B$6:$E$1862,4,FALSE)</f>
        <v>#N/A</v>
      </c>
    </row>
    <row r="125" spans="1:4" x14ac:dyDescent="0.25">
      <c r="A125" s="19">
        <v>40125</v>
      </c>
      <c r="B125" s="19" t="e">
        <f>VLOOKUP($A125,Config!$B$6:$E$1862,2,FALSE)</f>
        <v>#N/A</v>
      </c>
      <c r="C125" s="19" t="e">
        <f>VLOOKUP($A125,Config!$B$6:$E$1862,3,FALSE)</f>
        <v>#N/A</v>
      </c>
      <c r="D125" s="19" t="e">
        <f>VLOOKUP($A125,Config!$B$6:$E$1862,4,FALSE)</f>
        <v>#N/A</v>
      </c>
    </row>
    <row r="126" spans="1:4" x14ac:dyDescent="0.25">
      <c r="A126" s="19">
        <v>40126</v>
      </c>
      <c r="B126" s="19" t="e">
        <f>VLOOKUP($A126,Config!$B$6:$E$1862,2,FALSE)</f>
        <v>#N/A</v>
      </c>
      <c r="C126" s="19" t="e">
        <f>VLOOKUP($A126,Config!$B$6:$E$1862,3,FALSE)</f>
        <v>#N/A</v>
      </c>
      <c r="D126" s="19" t="e">
        <f>VLOOKUP($A126,Config!$B$6:$E$1862,4,FALSE)</f>
        <v>#N/A</v>
      </c>
    </row>
    <row r="127" spans="1:4" x14ac:dyDescent="0.25">
      <c r="A127" s="19">
        <v>40127</v>
      </c>
      <c r="B127" s="19" t="e">
        <f>VLOOKUP($A127,Config!$B$6:$E$1862,2,FALSE)</f>
        <v>#N/A</v>
      </c>
      <c r="C127" s="19" t="e">
        <f>VLOOKUP($A127,Config!$B$6:$E$1862,3,FALSE)</f>
        <v>#N/A</v>
      </c>
      <c r="D127" s="19" t="e">
        <f>VLOOKUP($A127,Config!$B$6:$E$1862,4,FALSE)</f>
        <v>#N/A</v>
      </c>
    </row>
    <row r="128" spans="1:4" x14ac:dyDescent="0.25">
      <c r="A128" s="19">
        <v>40128</v>
      </c>
      <c r="B128" s="19" t="e">
        <f>VLOOKUP($A128,Config!$B$6:$E$1862,2,FALSE)</f>
        <v>#N/A</v>
      </c>
      <c r="C128" s="19" t="e">
        <f>VLOOKUP($A128,Config!$B$6:$E$1862,3,FALSE)</f>
        <v>#N/A</v>
      </c>
      <c r="D128" s="19" t="e">
        <f>VLOOKUP($A128,Config!$B$6:$E$1862,4,FALSE)</f>
        <v>#N/A</v>
      </c>
    </row>
    <row r="129" spans="1:4" x14ac:dyDescent="0.25">
      <c r="A129" s="19">
        <v>40129</v>
      </c>
      <c r="B129" s="19" t="e">
        <f>VLOOKUP($A129,Config!$B$6:$E$1862,2,FALSE)</f>
        <v>#N/A</v>
      </c>
      <c r="C129" s="19" t="e">
        <f>VLOOKUP($A129,Config!$B$6:$E$1862,3,FALSE)</f>
        <v>#N/A</v>
      </c>
      <c r="D129" s="19" t="e">
        <f>VLOOKUP($A129,Config!$B$6:$E$1862,4,FALSE)</f>
        <v>#N/A</v>
      </c>
    </row>
    <row r="130" spans="1:4" x14ac:dyDescent="0.25">
      <c r="A130" s="19">
        <v>40130</v>
      </c>
      <c r="B130" s="19" t="e">
        <f>VLOOKUP($A130,Config!$B$6:$E$1862,2,FALSE)</f>
        <v>#N/A</v>
      </c>
      <c r="C130" s="19" t="e">
        <f>VLOOKUP($A130,Config!$B$6:$E$1862,3,FALSE)</f>
        <v>#N/A</v>
      </c>
      <c r="D130" s="19" t="e">
        <f>VLOOKUP($A130,Config!$B$6:$E$1862,4,FALSE)</f>
        <v>#N/A</v>
      </c>
    </row>
    <row r="131" spans="1:4" x14ac:dyDescent="0.25">
      <c r="A131" s="19">
        <v>40131</v>
      </c>
      <c r="B131" s="19" t="e">
        <f>VLOOKUP($A131,Config!$B$6:$E$1862,2,FALSE)</f>
        <v>#N/A</v>
      </c>
      <c r="C131" s="19" t="e">
        <f>VLOOKUP($A131,Config!$B$6:$E$1862,3,FALSE)</f>
        <v>#N/A</v>
      </c>
      <c r="D131" s="19" t="e">
        <f>VLOOKUP($A131,Config!$B$6:$E$1862,4,FALSE)</f>
        <v>#N/A</v>
      </c>
    </row>
    <row r="132" spans="1:4" x14ac:dyDescent="0.25">
      <c r="A132" s="19">
        <v>40132</v>
      </c>
      <c r="B132" s="19" t="e">
        <f>VLOOKUP($A132,Config!$B$6:$E$1862,2,FALSE)</f>
        <v>#N/A</v>
      </c>
      <c r="C132" s="19" t="e">
        <f>VLOOKUP($A132,Config!$B$6:$E$1862,3,FALSE)</f>
        <v>#N/A</v>
      </c>
      <c r="D132" s="19" t="e">
        <f>VLOOKUP($A132,Config!$B$6:$E$1862,4,FALSE)</f>
        <v>#N/A</v>
      </c>
    </row>
    <row r="133" spans="1:4" x14ac:dyDescent="0.25">
      <c r="A133" s="19">
        <v>40133</v>
      </c>
      <c r="B133" s="19" t="e">
        <f>VLOOKUP($A133,Config!$B$6:$E$1862,2,FALSE)</f>
        <v>#N/A</v>
      </c>
      <c r="C133" s="19" t="e">
        <f>VLOOKUP($A133,Config!$B$6:$E$1862,3,FALSE)</f>
        <v>#N/A</v>
      </c>
      <c r="D133" s="19" t="e">
        <f>VLOOKUP($A133,Config!$B$6:$E$1862,4,FALSE)</f>
        <v>#N/A</v>
      </c>
    </row>
    <row r="134" spans="1:4" x14ac:dyDescent="0.25">
      <c r="A134" s="19">
        <v>40134</v>
      </c>
      <c r="B134" s="19" t="e">
        <f>VLOOKUP($A134,Config!$B$6:$E$1862,2,FALSE)</f>
        <v>#N/A</v>
      </c>
      <c r="C134" s="19" t="e">
        <f>VLOOKUP($A134,Config!$B$6:$E$1862,3,FALSE)</f>
        <v>#N/A</v>
      </c>
      <c r="D134" s="19" t="e">
        <f>VLOOKUP($A134,Config!$B$6:$E$1862,4,FALSE)</f>
        <v>#N/A</v>
      </c>
    </row>
    <row r="135" spans="1:4" x14ac:dyDescent="0.25">
      <c r="A135" s="19">
        <v>40135</v>
      </c>
      <c r="B135" s="19" t="e">
        <f>VLOOKUP($A135,Config!$B$6:$E$1862,2,FALSE)</f>
        <v>#N/A</v>
      </c>
      <c r="C135" s="19" t="e">
        <f>VLOOKUP($A135,Config!$B$6:$E$1862,3,FALSE)</f>
        <v>#N/A</v>
      </c>
      <c r="D135" s="19" t="e">
        <f>VLOOKUP($A135,Config!$B$6:$E$1862,4,FALSE)</f>
        <v>#N/A</v>
      </c>
    </row>
    <row r="136" spans="1:4" x14ac:dyDescent="0.25">
      <c r="A136" s="19">
        <v>40136</v>
      </c>
      <c r="B136" s="19" t="e">
        <f>VLOOKUP($A136,Config!$B$6:$E$1862,2,FALSE)</f>
        <v>#N/A</v>
      </c>
      <c r="C136" s="19" t="e">
        <f>VLOOKUP($A136,Config!$B$6:$E$1862,3,FALSE)</f>
        <v>#N/A</v>
      </c>
      <c r="D136" s="19" t="e">
        <f>VLOOKUP($A136,Config!$B$6:$E$1862,4,FALSE)</f>
        <v>#N/A</v>
      </c>
    </row>
    <row r="137" spans="1:4" x14ac:dyDescent="0.25">
      <c r="A137" s="19">
        <v>40137</v>
      </c>
      <c r="B137" s="19" t="e">
        <f>VLOOKUP($A137,Config!$B$6:$E$1862,2,FALSE)</f>
        <v>#N/A</v>
      </c>
      <c r="C137" s="19" t="e">
        <f>VLOOKUP($A137,Config!$B$6:$E$1862,3,FALSE)</f>
        <v>#N/A</v>
      </c>
      <c r="D137" s="19" t="e">
        <f>VLOOKUP($A137,Config!$B$6:$E$1862,4,FALSE)</f>
        <v>#N/A</v>
      </c>
    </row>
    <row r="138" spans="1:4" x14ac:dyDescent="0.25">
      <c r="A138" s="19">
        <v>40138</v>
      </c>
      <c r="B138" s="19" t="e">
        <f>VLOOKUP($A138,Config!$B$6:$E$1862,2,FALSE)</f>
        <v>#N/A</v>
      </c>
      <c r="C138" s="19" t="e">
        <f>VLOOKUP($A138,Config!$B$6:$E$1862,3,FALSE)</f>
        <v>#N/A</v>
      </c>
      <c r="D138" s="19" t="e">
        <f>VLOOKUP($A138,Config!$B$6:$E$1862,4,FALSE)</f>
        <v>#N/A</v>
      </c>
    </row>
    <row r="139" spans="1:4" x14ac:dyDescent="0.25">
      <c r="A139" s="19">
        <v>40139</v>
      </c>
      <c r="B139" s="19" t="e">
        <f>VLOOKUP($A139,Config!$B$6:$E$1862,2,FALSE)</f>
        <v>#N/A</v>
      </c>
      <c r="C139" s="19" t="e">
        <f>VLOOKUP($A139,Config!$B$6:$E$1862,3,FALSE)</f>
        <v>#N/A</v>
      </c>
      <c r="D139" s="19" t="e">
        <f>VLOOKUP($A139,Config!$B$6:$E$1862,4,FALSE)</f>
        <v>#N/A</v>
      </c>
    </row>
    <row r="140" spans="1:4" x14ac:dyDescent="0.25">
      <c r="A140" s="19">
        <v>40140</v>
      </c>
      <c r="B140" s="19" t="e">
        <f>VLOOKUP($A140,Config!$B$6:$E$1862,2,FALSE)</f>
        <v>#N/A</v>
      </c>
      <c r="C140" s="19" t="e">
        <f>VLOOKUP($A140,Config!$B$6:$E$1862,3,FALSE)</f>
        <v>#N/A</v>
      </c>
      <c r="D140" s="19" t="e">
        <f>VLOOKUP($A140,Config!$B$6:$E$1862,4,FALSE)</f>
        <v>#N/A</v>
      </c>
    </row>
    <row r="141" spans="1:4" x14ac:dyDescent="0.25">
      <c r="A141" s="19">
        <v>40141</v>
      </c>
      <c r="B141" s="19" t="e">
        <f>VLOOKUP($A141,Config!$B$6:$E$1862,2,FALSE)</f>
        <v>#N/A</v>
      </c>
      <c r="C141" s="19" t="e">
        <f>VLOOKUP($A141,Config!$B$6:$E$1862,3,FALSE)</f>
        <v>#N/A</v>
      </c>
      <c r="D141" s="19" t="e">
        <f>VLOOKUP($A141,Config!$B$6:$E$1862,4,FALSE)</f>
        <v>#N/A</v>
      </c>
    </row>
    <row r="142" spans="1:4" x14ac:dyDescent="0.25">
      <c r="A142" s="19">
        <v>40142</v>
      </c>
      <c r="B142" s="19" t="e">
        <f>VLOOKUP($A142,Config!$B$6:$E$1862,2,FALSE)</f>
        <v>#N/A</v>
      </c>
      <c r="C142" s="19" t="e">
        <f>VLOOKUP($A142,Config!$B$6:$E$1862,3,FALSE)</f>
        <v>#N/A</v>
      </c>
      <c r="D142" s="19" t="e">
        <f>VLOOKUP($A142,Config!$B$6:$E$1862,4,FALSE)</f>
        <v>#N/A</v>
      </c>
    </row>
    <row r="143" spans="1:4" x14ac:dyDescent="0.25">
      <c r="A143" s="19">
        <v>40143</v>
      </c>
      <c r="B143" s="19" t="e">
        <f>VLOOKUP($A143,Config!$B$6:$E$1862,2,FALSE)</f>
        <v>#N/A</v>
      </c>
      <c r="C143" s="19" t="e">
        <f>VLOOKUP($A143,Config!$B$6:$E$1862,3,FALSE)</f>
        <v>#N/A</v>
      </c>
      <c r="D143" s="19" t="e">
        <f>VLOOKUP($A143,Config!$B$6:$E$1862,4,FALSE)</f>
        <v>#N/A</v>
      </c>
    </row>
    <row r="144" spans="1:4" x14ac:dyDescent="0.25">
      <c r="A144" s="19">
        <v>40144</v>
      </c>
      <c r="B144" s="19" t="e">
        <f>VLOOKUP($A144,Config!$B$6:$E$1862,2,FALSE)</f>
        <v>#N/A</v>
      </c>
      <c r="C144" s="19" t="e">
        <f>VLOOKUP($A144,Config!$B$6:$E$1862,3,FALSE)</f>
        <v>#N/A</v>
      </c>
      <c r="D144" s="19" t="e">
        <f>VLOOKUP($A144,Config!$B$6:$E$1862,4,FALSE)</f>
        <v>#N/A</v>
      </c>
    </row>
    <row r="145" spans="1:4" x14ac:dyDescent="0.25">
      <c r="A145" s="19">
        <v>40145</v>
      </c>
      <c r="B145" s="19" t="e">
        <f>VLOOKUP($A145,Config!$B$6:$E$1862,2,FALSE)</f>
        <v>#N/A</v>
      </c>
      <c r="C145" s="19" t="e">
        <f>VLOOKUP($A145,Config!$B$6:$E$1862,3,FALSE)</f>
        <v>#N/A</v>
      </c>
      <c r="D145" s="19" t="e">
        <f>VLOOKUP($A145,Config!$B$6:$E$1862,4,FALSE)</f>
        <v>#N/A</v>
      </c>
    </row>
    <row r="146" spans="1:4" x14ac:dyDescent="0.25">
      <c r="A146" s="19">
        <v>40146</v>
      </c>
      <c r="B146" s="19" t="e">
        <f>VLOOKUP($A146,Config!$B$6:$E$1862,2,FALSE)</f>
        <v>#N/A</v>
      </c>
      <c r="C146" s="19" t="e">
        <f>VLOOKUP($A146,Config!$B$6:$E$1862,3,FALSE)</f>
        <v>#N/A</v>
      </c>
      <c r="D146" s="19" t="e">
        <f>VLOOKUP($A146,Config!$B$6:$E$1862,4,FALSE)</f>
        <v>#N/A</v>
      </c>
    </row>
    <row r="147" spans="1:4" x14ac:dyDescent="0.25">
      <c r="A147" s="19">
        <v>40147</v>
      </c>
      <c r="B147" s="19" t="e">
        <f>VLOOKUP($A147,Config!$B$6:$E$1862,2,FALSE)</f>
        <v>#N/A</v>
      </c>
      <c r="C147" s="19" t="e">
        <f>VLOOKUP($A147,Config!$B$6:$E$1862,3,FALSE)</f>
        <v>#N/A</v>
      </c>
      <c r="D147" s="19" t="e">
        <f>VLOOKUP($A147,Config!$B$6:$E$1862,4,FALSE)</f>
        <v>#N/A</v>
      </c>
    </row>
    <row r="148" spans="1:4" x14ac:dyDescent="0.25">
      <c r="A148" s="19">
        <v>40148</v>
      </c>
      <c r="B148" s="19" t="e">
        <f>VLOOKUP($A148,Config!$B$6:$E$1862,2,FALSE)</f>
        <v>#N/A</v>
      </c>
      <c r="C148" s="19" t="e">
        <f>VLOOKUP($A148,Config!$B$6:$E$1862,3,FALSE)</f>
        <v>#N/A</v>
      </c>
      <c r="D148" s="19" t="e">
        <f>VLOOKUP($A148,Config!$B$6:$E$1862,4,FALSE)</f>
        <v>#N/A</v>
      </c>
    </row>
    <row r="149" spans="1:4" x14ac:dyDescent="0.25">
      <c r="A149" s="19">
        <v>40149</v>
      </c>
      <c r="B149" s="19" t="e">
        <f>VLOOKUP($A149,Config!$B$6:$E$1862,2,FALSE)</f>
        <v>#N/A</v>
      </c>
      <c r="C149" s="19" t="e">
        <f>VLOOKUP($A149,Config!$B$6:$E$1862,3,FALSE)</f>
        <v>#N/A</v>
      </c>
      <c r="D149" s="19" t="e">
        <f>VLOOKUP($A149,Config!$B$6:$E$1862,4,FALSE)</f>
        <v>#N/A</v>
      </c>
    </row>
    <row r="150" spans="1:4" x14ac:dyDescent="0.25">
      <c r="A150" s="19">
        <v>40150</v>
      </c>
      <c r="B150" s="19" t="e">
        <f>VLOOKUP($A150,Config!$B$6:$E$1862,2,FALSE)</f>
        <v>#N/A</v>
      </c>
      <c r="C150" s="19" t="e">
        <f>VLOOKUP($A150,Config!$B$6:$E$1862,3,FALSE)</f>
        <v>#N/A</v>
      </c>
      <c r="D150" s="19" t="e">
        <f>VLOOKUP($A150,Config!$B$6:$E$1862,4,FALSE)</f>
        <v>#N/A</v>
      </c>
    </row>
    <row r="151" spans="1:4" x14ac:dyDescent="0.25">
      <c r="A151" s="19">
        <v>40151</v>
      </c>
      <c r="B151" s="19" t="e">
        <f>VLOOKUP($A151,Config!$B$6:$E$1862,2,FALSE)</f>
        <v>#N/A</v>
      </c>
      <c r="C151" s="19" t="e">
        <f>VLOOKUP($A151,Config!$B$6:$E$1862,3,FALSE)</f>
        <v>#N/A</v>
      </c>
      <c r="D151" s="19" t="e">
        <f>VLOOKUP($A151,Config!$B$6:$E$1862,4,FALSE)</f>
        <v>#N/A</v>
      </c>
    </row>
    <row r="152" spans="1:4" x14ac:dyDescent="0.25">
      <c r="A152" s="19">
        <v>40152</v>
      </c>
      <c r="B152" s="19" t="e">
        <f>VLOOKUP($A152,Config!$B$6:$E$1862,2,FALSE)</f>
        <v>#N/A</v>
      </c>
      <c r="C152" s="19" t="e">
        <f>VLOOKUP($A152,Config!$B$6:$E$1862,3,FALSE)</f>
        <v>#N/A</v>
      </c>
      <c r="D152" s="19" t="e">
        <f>VLOOKUP($A152,Config!$B$6:$E$1862,4,FALSE)</f>
        <v>#N/A</v>
      </c>
    </row>
    <row r="153" spans="1:4" x14ac:dyDescent="0.25">
      <c r="A153" s="19">
        <v>40153</v>
      </c>
      <c r="B153" s="19" t="e">
        <f>VLOOKUP($A153,Config!$B$6:$E$1862,2,FALSE)</f>
        <v>#N/A</v>
      </c>
      <c r="C153" s="19" t="e">
        <f>VLOOKUP($A153,Config!$B$6:$E$1862,3,FALSE)</f>
        <v>#N/A</v>
      </c>
      <c r="D153" s="19" t="e">
        <f>VLOOKUP($A153,Config!$B$6:$E$1862,4,FALSE)</f>
        <v>#N/A</v>
      </c>
    </row>
    <row r="154" spans="1:4" x14ac:dyDescent="0.25">
      <c r="A154" s="19">
        <v>40154</v>
      </c>
      <c r="B154" s="19" t="e">
        <f>VLOOKUP($A154,Config!$B$6:$E$1862,2,FALSE)</f>
        <v>#N/A</v>
      </c>
      <c r="C154" s="19" t="e">
        <f>VLOOKUP($A154,Config!$B$6:$E$1862,3,FALSE)</f>
        <v>#N/A</v>
      </c>
      <c r="D154" s="19" t="e">
        <f>VLOOKUP($A154,Config!$B$6:$E$1862,4,FALSE)</f>
        <v>#N/A</v>
      </c>
    </row>
    <row r="155" spans="1:4" x14ac:dyDescent="0.25">
      <c r="A155" s="19">
        <v>40155</v>
      </c>
      <c r="B155" s="19" t="e">
        <f>VLOOKUP($A155,Config!$B$6:$E$1862,2,FALSE)</f>
        <v>#N/A</v>
      </c>
      <c r="C155" s="19" t="e">
        <f>VLOOKUP($A155,Config!$B$6:$E$1862,3,FALSE)</f>
        <v>#N/A</v>
      </c>
      <c r="D155" s="19" t="e">
        <f>VLOOKUP($A155,Config!$B$6:$E$1862,4,FALSE)</f>
        <v>#N/A</v>
      </c>
    </row>
    <row r="156" spans="1:4" x14ac:dyDescent="0.25">
      <c r="A156" s="19">
        <v>40156</v>
      </c>
      <c r="B156" s="19" t="e">
        <f>VLOOKUP($A156,Config!$B$6:$E$1862,2,FALSE)</f>
        <v>#N/A</v>
      </c>
      <c r="C156" s="19" t="e">
        <f>VLOOKUP($A156,Config!$B$6:$E$1862,3,FALSE)</f>
        <v>#N/A</v>
      </c>
      <c r="D156" s="19" t="e">
        <f>VLOOKUP($A156,Config!$B$6:$E$1862,4,FALSE)</f>
        <v>#N/A</v>
      </c>
    </row>
    <row r="157" spans="1:4" x14ac:dyDescent="0.25">
      <c r="A157" s="19">
        <v>40157</v>
      </c>
      <c r="B157" s="19" t="e">
        <f>VLOOKUP($A157,Config!$B$6:$E$1862,2,FALSE)</f>
        <v>#N/A</v>
      </c>
      <c r="C157" s="19" t="e">
        <f>VLOOKUP($A157,Config!$B$6:$E$1862,3,FALSE)</f>
        <v>#N/A</v>
      </c>
      <c r="D157" s="19" t="e">
        <f>VLOOKUP($A157,Config!$B$6:$E$1862,4,FALSE)</f>
        <v>#N/A</v>
      </c>
    </row>
    <row r="158" spans="1:4" x14ac:dyDescent="0.25">
      <c r="A158" s="19">
        <v>40158</v>
      </c>
      <c r="B158" s="19" t="e">
        <f>VLOOKUP($A158,Config!$B$6:$E$1862,2,FALSE)</f>
        <v>#N/A</v>
      </c>
      <c r="C158" s="19" t="e">
        <f>VLOOKUP($A158,Config!$B$6:$E$1862,3,FALSE)</f>
        <v>#N/A</v>
      </c>
      <c r="D158" s="19" t="e">
        <f>VLOOKUP($A158,Config!$B$6:$E$1862,4,FALSE)</f>
        <v>#N/A</v>
      </c>
    </row>
    <row r="159" spans="1:4" x14ac:dyDescent="0.25">
      <c r="A159" s="19">
        <v>40159</v>
      </c>
      <c r="B159" s="19" t="e">
        <f>VLOOKUP($A159,Config!$B$6:$E$1862,2,FALSE)</f>
        <v>#N/A</v>
      </c>
      <c r="C159" s="19" t="e">
        <f>VLOOKUP($A159,Config!$B$6:$E$1862,3,FALSE)</f>
        <v>#N/A</v>
      </c>
      <c r="D159" s="19" t="e">
        <f>VLOOKUP($A159,Config!$B$6:$E$1862,4,FALSE)</f>
        <v>#N/A</v>
      </c>
    </row>
    <row r="160" spans="1:4" x14ac:dyDescent="0.25">
      <c r="A160" s="19">
        <v>40160</v>
      </c>
      <c r="B160" s="19" t="e">
        <f>VLOOKUP($A160,Config!$B$6:$E$1862,2,FALSE)</f>
        <v>#N/A</v>
      </c>
      <c r="C160" s="19" t="e">
        <f>VLOOKUP($A160,Config!$B$6:$E$1862,3,FALSE)</f>
        <v>#N/A</v>
      </c>
      <c r="D160" s="19" t="e">
        <f>VLOOKUP($A160,Config!$B$6:$E$1862,4,FALSE)</f>
        <v>#N/A</v>
      </c>
    </row>
    <row r="161" spans="1:4" x14ac:dyDescent="0.25">
      <c r="A161" s="19">
        <v>40161</v>
      </c>
      <c r="B161" s="19" t="e">
        <f>VLOOKUP($A161,Config!$B$6:$E$1862,2,FALSE)</f>
        <v>#N/A</v>
      </c>
      <c r="C161" s="19" t="e">
        <f>VLOOKUP($A161,Config!$B$6:$E$1862,3,FALSE)</f>
        <v>#N/A</v>
      </c>
      <c r="D161" s="19" t="e">
        <f>VLOOKUP($A161,Config!$B$6:$E$1862,4,FALSE)</f>
        <v>#N/A</v>
      </c>
    </row>
    <row r="162" spans="1:4" x14ac:dyDescent="0.25">
      <c r="A162" s="19">
        <v>40162</v>
      </c>
      <c r="B162" s="19" t="e">
        <f>VLOOKUP($A162,Config!$B$6:$E$1862,2,FALSE)</f>
        <v>#N/A</v>
      </c>
      <c r="C162" s="19" t="e">
        <f>VLOOKUP($A162,Config!$B$6:$E$1862,3,FALSE)</f>
        <v>#N/A</v>
      </c>
      <c r="D162" s="19" t="e">
        <f>VLOOKUP($A162,Config!$B$6:$E$1862,4,FALSE)</f>
        <v>#N/A</v>
      </c>
    </row>
    <row r="163" spans="1:4" x14ac:dyDescent="0.25">
      <c r="A163" s="19">
        <v>40163</v>
      </c>
      <c r="B163" s="19" t="e">
        <f>VLOOKUP($A163,Config!$B$6:$E$1862,2,FALSE)</f>
        <v>#N/A</v>
      </c>
      <c r="C163" s="19" t="e">
        <f>VLOOKUP($A163,Config!$B$6:$E$1862,3,FALSE)</f>
        <v>#N/A</v>
      </c>
      <c r="D163" s="19" t="e">
        <f>VLOOKUP($A163,Config!$B$6:$E$1862,4,FALSE)</f>
        <v>#N/A</v>
      </c>
    </row>
    <row r="164" spans="1:4" x14ac:dyDescent="0.25">
      <c r="A164" s="19">
        <v>40164</v>
      </c>
      <c r="B164" s="19" t="e">
        <f>VLOOKUP($A164,Config!$B$6:$E$1862,2,FALSE)</f>
        <v>#N/A</v>
      </c>
      <c r="C164" s="19" t="e">
        <f>VLOOKUP($A164,Config!$B$6:$E$1862,3,FALSE)</f>
        <v>#N/A</v>
      </c>
      <c r="D164" s="19" t="e">
        <f>VLOOKUP($A164,Config!$B$6:$E$1862,4,FALSE)</f>
        <v>#N/A</v>
      </c>
    </row>
    <row r="165" spans="1:4" x14ac:dyDescent="0.25">
      <c r="A165" s="19">
        <v>40165</v>
      </c>
      <c r="B165" s="19" t="e">
        <f>VLOOKUP($A165,Config!$B$6:$E$1862,2,FALSE)</f>
        <v>#N/A</v>
      </c>
      <c r="C165" s="19" t="e">
        <f>VLOOKUP($A165,Config!$B$6:$E$1862,3,FALSE)</f>
        <v>#N/A</v>
      </c>
      <c r="D165" s="19" t="e">
        <f>VLOOKUP($A165,Config!$B$6:$E$1862,4,FALSE)</f>
        <v>#N/A</v>
      </c>
    </row>
    <row r="166" spans="1:4" x14ac:dyDescent="0.25">
      <c r="A166" s="19">
        <v>40166</v>
      </c>
      <c r="B166" s="19" t="e">
        <f>VLOOKUP($A166,Config!$B$6:$E$1862,2,FALSE)</f>
        <v>#N/A</v>
      </c>
      <c r="C166" s="19" t="e">
        <f>VLOOKUP($A166,Config!$B$6:$E$1862,3,FALSE)</f>
        <v>#N/A</v>
      </c>
      <c r="D166" s="19" t="e">
        <f>VLOOKUP($A166,Config!$B$6:$E$1862,4,FALSE)</f>
        <v>#N/A</v>
      </c>
    </row>
    <row r="167" spans="1:4" x14ac:dyDescent="0.25">
      <c r="A167" s="19">
        <v>40167</v>
      </c>
      <c r="B167" s="19" t="e">
        <f>VLOOKUP($A167,Config!$B$6:$E$1862,2,FALSE)</f>
        <v>#N/A</v>
      </c>
      <c r="C167" s="19" t="e">
        <f>VLOOKUP($A167,Config!$B$6:$E$1862,3,FALSE)</f>
        <v>#N/A</v>
      </c>
      <c r="D167" s="19" t="e">
        <f>VLOOKUP($A167,Config!$B$6:$E$1862,4,FALSE)</f>
        <v>#N/A</v>
      </c>
    </row>
    <row r="168" spans="1:4" x14ac:dyDescent="0.25">
      <c r="A168" s="19">
        <v>40168</v>
      </c>
      <c r="B168" s="19" t="e">
        <f>VLOOKUP($A168,Config!$B$6:$E$1862,2,FALSE)</f>
        <v>#N/A</v>
      </c>
      <c r="C168" s="19" t="e">
        <f>VLOOKUP($A168,Config!$B$6:$E$1862,3,FALSE)</f>
        <v>#N/A</v>
      </c>
      <c r="D168" s="19" t="e">
        <f>VLOOKUP($A168,Config!$B$6:$E$1862,4,FALSE)</f>
        <v>#N/A</v>
      </c>
    </row>
    <row r="169" spans="1:4" x14ac:dyDescent="0.25">
      <c r="A169" s="19">
        <v>40169</v>
      </c>
      <c r="B169" s="19" t="e">
        <f>VLOOKUP($A169,Config!$B$6:$E$1862,2,FALSE)</f>
        <v>#N/A</v>
      </c>
      <c r="C169" s="19" t="e">
        <f>VLOOKUP($A169,Config!$B$6:$E$1862,3,FALSE)</f>
        <v>#N/A</v>
      </c>
      <c r="D169" s="19" t="e">
        <f>VLOOKUP($A169,Config!$B$6:$E$1862,4,FALSE)</f>
        <v>#N/A</v>
      </c>
    </row>
    <row r="170" spans="1:4" x14ac:dyDescent="0.25">
      <c r="A170" s="19">
        <v>40170</v>
      </c>
      <c r="B170" s="19" t="e">
        <f>VLOOKUP($A170,Config!$B$6:$E$1862,2,FALSE)</f>
        <v>#N/A</v>
      </c>
      <c r="C170" s="19" t="e">
        <f>VLOOKUP($A170,Config!$B$6:$E$1862,3,FALSE)</f>
        <v>#N/A</v>
      </c>
      <c r="D170" s="19" t="e">
        <f>VLOOKUP($A170,Config!$B$6:$E$1862,4,FALSE)</f>
        <v>#N/A</v>
      </c>
    </row>
    <row r="171" spans="1:4" x14ac:dyDescent="0.25">
      <c r="A171" s="19">
        <v>40171</v>
      </c>
      <c r="B171" s="19" t="e">
        <f>VLOOKUP($A171,Config!$B$6:$E$1862,2,FALSE)</f>
        <v>#N/A</v>
      </c>
      <c r="C171" s="19" t="e">
        <f>VLOOKUP($A171,Config!$B$6:$E$1862,3,FALSE)</f>
        <v>#N/A</v>
      </c>
      <c r="D171" s="19" t="e">
        <f>VLOOKUP($A171,Config!$B$6:$E$1862,4,FALSE)</f>
        <v>#N/A</v>
      </c>
    </row>
    <row r="172" spans="1:4" x14ac:dyDescent="0.25">
      <c r="A172" s="19">
        <v>40172</v>
      </c>
      <c r="B172" s="19" t="e">
        <f>VLOOKUP($A172,Config!$B$6:$E$1862,2,FALSE)</f>
        <v>#N/A</v>
      </c>
      <c r="C172" s="19" t="e">
        <f>VLOOKUP($A172,Config!$B$6:$E$1862,3,FALSE)</f>
        <v>#N/A</v>
      </c>
      <c r="D172" s="19" t="e">
        <f>VLOOKUP($A172,Config!$B$6:$E$1862,4,FALSE)</f>
        <v>#N/A</v>
      </c>
    </row>
    <row r="173" spans="1:4" x14ac:dyDescent="0.25">
      <c r="A173" s="19">
        <v>40173</v>
      </c>
      <c r="B173" s="19" t="e">
        <f>VLOOKUP($A173,Config!$B$6:$E$1862,2,FALSE)</f>
        <v>#N/A</v>
      </c>
      <c r="C173" s="19" t="e">
        <f>VLOOKUP($A173,Config!$B$6:$E$1862,3,FALSE)</f>
        <v>#N/A</v>
      </c>
      <c r="D173" s="19" t="e">
        <f>VLOOKUP($A173,Config!$B$6:$E$1862,4,FALSE)</f>
        <v>#N/A</v>
      </c>
    </row>
    <row r="174" spans="1:4" x14ac:dyDescent="0.25">
      <c r="A174" s="19">
        <v>40174</v>
      </c>
      <c r="B174" s="19" t="e">
        <f>VLOOKUP($A174,Config!$B$6:$E$1862,2,FALSE)</f>
        <v>#N/A</v>
      </c>
      <c r="C174" s="19" t="e">
        <f>VLOOKUP($A174,Config!$B$6:$E$1862,3,FALSE)</f>
        <v>#N/A</v>
      </c>
      <c r="D174" s="19" t="e">
        <f>VLOOKUP($A174,Config!$B$6:$E$1862,4,FALSE)</f>
        <v>#N/A</v>
      </c>
    </row>
    <row r="175" spans="1:4" x14ac:dyDescent="0.25">
      <c r="A175" s="19">
        <v>40175</v>
      </c>
      <c r="B175" s="19" t="e">
        <f>VLOOKUP($A175,Config!$B$6:$E$1862,2,FALSE)</f>
        <v>#N/A</v>
      </c>
      <c r="C175" s="19" t="e">
        <f>VLOOKUP($A175,Config!$B$6:$E$1862,3,FALSE)</f>
        <v>#N/A</v>
      </c>
      <c r="D175" s="19" t="e">
        <f>VLOOKUP($A175,Config!$B$6:$E$1862,4,FALSE)</f>
        <v>#N/A</v>
      </c>
    </row>
    <row r="176" spans="1:4" x14ac:dyDescent="0.25">
      <c r="A176" s="19">
        <v>40176</v>
      </c>
      <c r="B176" s="19" t="e">
        <f>VLOOKUP($A176,Config!$B$6:$E$1862,2,FALSE)</f>
        <v>#N/A</v>
      </c>
      <c r="C176" s="19" t="e">
        <f>VLOOKUP($A176,Config!$B$6:$E$1862,3,FALSE)</f>
        <v>#N/A</v>
      </c>
      <c r="D176" s="19" t="e">
        <f>VLOOKUP($A176,Config!$B$6:$E$1862,4,FALSE)</f>
        <v>#N/A</v>
      </c>
    </row>
    <row r="177" spans="1:4" x14ac:dyDescent="0.25">
      <c r="A177" s="19">
        <v>40177</v>
      </c>
      <c r="B177" s="19" t="e">
        <f>VLOOKUP($A177,Config!$B$6:$E$1862,2,FALSE)</f>
        <v>#N/A</v>
      </c>
      <c r="C177" s="19" t="e">
        <f>VLOOKUP($A177,Config!$B$6:$E$1862,3,FALSE)</f>
        <v>#N/A</v>
      </c>
      <c r="D177" s="19" t="e">
        <f>VLOOKUP($A177,Config!$B$6:$E$1862,4,FALSE)</f>
        <v>#N/A</v>
      </c>
    </row>
    <row r="178" spans="1:4" x14ac:dyDescent="0.25">
      <c r="A178" s="19">
        <v>40178</v>
      </c>
      <c r="B178" s="19" t="e">
        <f>VLOOKUP($A178,Config!$B$6:$E$1862,2,FALSE)</f>
        <v>#N/A</v>
      </c>
      <c r="C178" s="19" t="e">
        <f>VLOOKUP($A178,Config!$B$6:$E$1862,3,FALSE)</f>
        <v>#N/A</v>
      </c>
      <c r="D178" s="19" t="e">
        <f>VLOOKUP($A178,Config!$B$6:$E$1862,4,FALSE)</f>
        <v>#N/A</v>
      </c>
    </row>
    <row r="179" spans="1:4" x14ac:dyDescent="0.25">
      <c r="A179" s="19">
        <v>40179</v>
      </c>
      <c r="B179" s="19" t="e">
        <f>VLOOKUP($A179,Config!$B$6:$E$1862,2,FALSE)</f>
        <v>#N/A</v>
      </c>
      <c r="C179" s="19" t="e">
        <f>VLOOKUP($A179,Config!$B$6:$E$1862,3,FALSE)</f>
        <v>#N/A</v>
      </c>
      <c r="D179" s="19" t="e">
        <f>VLOOKUP($A179,Config!$B$6:$E$1862,4,FALSE)</f>
        <v>#N/A</v>
      </c>
    </row>
    <row r="180" spans="1:4" x14ac:dyDescent="0.25">
      <c r="A180" s="19">
        <v>40180</v>
      </c>
      <c r="B180" s="19" t="e">
        <f>VLOOKUP($A180,Config!$B$6:$E$1862,2,FALSE)</f>
        <v>#N/A</v>
      </c>
      <c r="C180" s="19" t="e">
        <f>VLOOKUP($A180,Config!$B$6:$E$1862,3,FALSE)</f>
        <v>#N/A</v>
      </c>
      <c r="D180" s="19" t="e">
        <f>VLOOKUP($A180,Config!$B$6:$E$1862,4,FALSE)</f>
        <v>#N/A</v>
      </c>
    </row>
    <row r="181" spans="1:4" x14ac:dyDescent="0.25">
      <c r="A181" s="19">
        <v>40181</v>
      </c>
      <c r="B181" s="19" t="e">
        <f>VLOOKUP($A181,Config!$B$6:$E$1862,2,FALSE)</f>
        <v>#N/A</v>
      </c>
      <c r="C181" s="19" t="e">
        <f>VLOOKUP($A181,Config!$B$6:$E$1862,3,FALSE)</f>
        <v>#N/A</v>
      </c>
      <c r="D181" s="19" t="e">
        <f>VLOOKUP($A181,Config!$B$6:$E$1862,4,FALSE)</f>
        <v>#N/A</v>
      </c>
    </row>
    <row r="182" spans="1:4" x14ac:dyDescent="0.25">
      <c r="A182" s="19">
        <v>40182</v>
      </c>
      <c r="B182" s="19" t="e">
        <f>VLOOKUP($A182,Config!$B$6:$E$1862,2,FALSE)</f>
        <v>#N/A</v>
      </c>
      <c r="C182" s="19" t="e">
        <f>VLOOKUP($A182,Config!$B$6:$E$1862,3,FALSE)</f>
        <v>#N/A</v>
      </c>
      <c r="D182" s="19" t="e">
        <f>VLOOKUP($A182,Config!$B$6:$E$1862,4,FALSE)</f>
        <v>#N/A</v>
      </c>
    </row>
    <row r="183" spans="1:4" x14ac:dyDescent="0.25">
      <c r="A183" s="19">
        <v>40183</v>
      </c>
      <c r="B183" s="19" t="e">
        <f>VLOOKUP($A183,Config!$B$6:$E$1862,2,FALSE)</f>
        <v>#N/A</v>
      </c>
      <c r="C183" s="19" t="e">
        <f>VLOOKUP($A183,Config!$B$6:$E$1862,3,FALSE)</f>
        <v>#N/A</v>
      </c>
      <c r="D183" s="19" t="e">
        <f>VLOOKUP($A183,Config!$B$6:$E$1862,4,FALSE)</f>
        <v>#N/A</v>
      </c>
    </row>
    <row r="184" spans="1:4" x14ac:dyDescent="0.25">
      <c r="A184" s="19">
        <v>40184</v>
      </c>
      <c r="B184" s="19" t="e">
        <f>VLOOKUP($A184,Config!$B$6:$E$1862,2,FALSE)</f>
        <v>#N/A</v>
      </c>
      <c r="C184" s="19" t="e">
        <f>VLOOKUP($A184,Config!$B$6:$E$1862,3,FALSE)</f>
        <v>#N/A</v>
      </c>
      <c r="D184" s="19" t="e">
        <f>VLOOKUP($A184,Config!$B$6:$E$1862,4,FALSE)</f>
        <v>#N/A</v>
      </c>
    </row>
    <row r="185" spans="1:4" x14ac:dyDescent="0.25">
      <c r="A185" s="19">
        <v>40185</v>
      </c>
      <c r="B185" s="19" t="e">
        <f>VLOOKUP($A185,Config!$B$6:$E$1862,2,FALSE)</f>
        <v>#N/A</v>
      </c>
      <c r="C185" s="19" t="e">
        <f>VLOOKUP($A185,Config!$B$6:$E$1862,3,FALSE)</f>
        <v>#N/A</v>
      </c>
      <c r="D185" s="19" t="e">
        <f>VLOOKUP($A185,Config!$B$6:$E$1862,4,FALSE)</f>
        <v>#N/A</v>
      </c>
    </row>
    <row r="186" spans="1:4" x14ac:dyDescent="0.25">
      <c r="A186" s="19">
        <v>40186</v>
      </c>
      <c r="B186" s="19" t="e">
        <f>VLOOKUP($A186,Config!$B$6:$E$1862,2,FALSE)</f>
        <v>#N/A</v>
      </c>
      <c r="C186" s="19" t="e">
        <f>VLOOKUP($A186,Config!$B$6:$E$1862,3,FALSE)</f>
        <v>#N/A</v>
      </c>
      <c r="D186" s="19" t="e">
        <f>VLOOKUP($A186,Config!$B$6:$E$1862,4,FALSE)</f>
        <v>#N/A</v>
      </c>
    </row>
    <row r="187" spans="1:4" x14ac:dyDescent="0.25">
      <c r="A187" s="19">
        <v>40187</v>
      </c>
      <c r="B187" s="19" t="e">
        <f>VLOOKUP($A187,Config!$B$6:$E$1862,2,FALSE)</f>
        <v>#N/A</v>
      </c>
      <c r="C187" s="19" t="e">
        <f>VLOOKUP($A187,Config!$B$6:$E$1862,3,FALSE)</f>
        <v>#N/A</v>
      </c>
      <c r="D187" s="19" t="e">
        <f>VLOOKUP($A187,Config!$B$6:$E$1862,4,FALSE)</f>
        <v>#N/A</v>
      </c>
    </row>
    <row r="188" spans="1:4" x14ac:dyDescent="0.25">
      <c r="A188" s="19">
        <v>40188</v>
      </c>
      <c r="B188" s="19" t="e">
        <f>VLOOKUP($A188,Config!$B$6:$E$1862,2,FALSE)</f>
        <v>#N/A</v>
      </c>
      <c r="C188" s="19" t="e">
        <f>VLOOKUP($A188,Config!$B$6:$E$1862,3,FALSE)</f>
        <v>#N/A</v>
      </c>
      <c r="D188" s="19" t="e">
        <f>VLOOKUP($A188,Config!$B$6:$E$1862,4,FALSE)</f>
        <v>#N/A</v>
      </c>
    </row>
    <row r="189" spans="1:4" x14ac:dyDescent="0.25">
      <c r="A189" s="19">
        <v>40189</v>
      </c>
      <c r="B189" s="19" t="e">
        <f>VLOOKUP($A189,Config!$B$6:$E$1862,2,FALSE)</f>
        <v>#N/A</v>
      </c>
      <c r="C189" s="19" t="e">
        <f>VLOOKUP($A189,Config!$B$6:$E$1862,3,FALSE)</f>
        <v>#N/A</v>
      </c>
      <c r="D189" s="19" t="e">
        <f>VLOOKUP($A189,Config!$B$6:$E$1862,4,FALSE)</f>
        <v>#N/A</v>
      </c>
    </row>
    <row r="190" spans="1:4" x14ac:dyDescent="0.25">
      <c r="A190" s="19">
        <v>40190</v>
      </c>
      <c r="B190" s="19" t="e">
        <f>VLOOKUP($A190,Config!$B$6:$E$1862,2,FALSE)</f>
        <v>#N/A</v>
      </c>
      <c r="C190" s="19" t="e">
        <f>VLOOKUP($A190,Config!$B$6:$E$1862,3,FALSE)</f>
        <v>#N/A</v>
      </c>
      <c r="D190" s="19" t="e">
        <f>VLOOKUP($A190,Config!$B$6:$E$1862,4,FALSE)</f>
        <v>#N/A</v>
      </c>
    </row>
    <row r="191" spans="1:4" x14ac:dyDescent="0.25">
      <c r="A191" s="19">
        <v>40191</v>
      </c>
      <c r="B191" s="19" t="e">
        <f>VLOOKUP($A191,Config!$B$6:$E$1862,2,FALSE)</f>
        <v>#N/A</v>
      </c>
      <c r="C191" s="19" t="e">
        <f>VLOOKUP($A191,Config!$B$6:$E$1862,3,FALSE)</f>
        <v>#N/A</v>
      </c>
      <c r="D191" s="19" t="e">
        <f>VLOOKUP($A191,Config!$B$6:$E$1862,4,FALSE)</f>
        <v>#N/A</v>
      </c>
    </row>
    <row r="192" spans="1:4" x14ac:dyDescent="0.25">
      <c r="A192" s="19">
        <v>40192</v>
      </c>
      <c r="B192" s="19" t="e">
        <f>VLOOKUP($A192,Config!$B$6:$E$1862,2,FALSE)</f>
        <v>#N/A</v>
      </c>
      <c r="C192" s="19" t="e">
        <f>VLOOKUP($A192,Config!$B$6:$E$1862,3,FALSE)</f>
        <v>#N/A</v>
      </c>
      <c r="D192" s="19" t="e">
        <f>VLOOKUP($A192,Config!$B$6:$E$1862,4,FALSE)</f>
        <v>#N/A</v>
      </c>
    </row>
    <row r="193" spans="1:4" x14ac:dyDescent="0.25">
      <c r="A193" s="19">
        <v>40193</v>
      </c>
      <c r="B193" s="19" t="e">
        <f>VLOOKUP($A193,Config!$B$6:$E$1862,2,FALSE)</f>
        <v>#N/A</v>
      </c>
      <c r="C193" s="19" t="e">
        <f>VLOOKUP($A193,Config!$B$6:$E$1862,3,FALSE)</f>
        <v>#N/A</v>
      </c>
      <c r="D193" s="19" t="e">
        <f>VLOOKUP($A193,Config!$B$6:$E$1862,4,FALSE)</f>
        <v>#N/A</v>
      </c>
    </row>
    <row r="194" spans="1:4" x14ac:dyDescent="0.25">
      <c r="A194" s="19">
        <v>40194</v>
      </c>
      <c r="B194" s="19" t="e">
        <f>VLOOKUP($A194,Config!$B$6:$E$1862,2,FALSE)</f>
        <v>#N/A</v>
      </c>
      <c r="C194" s="19" t="e">
        <f>VLOOKUP($A194,Config!$B$6:$E$1862,3,FALSE)</f>
        <v>#N/A</v>
      </c>
      <c r="D194" s="19" t="e">
        <f>VLOOKUP($A194,Config!$B$6:$E$1862,4,FALSE)</f>
        <v>#N/A</v>
      </c>
    </row>
    <row r="195" spans="1:4" x14ac:dyDescent="0.25">
      <c r="A195" s="19">
        <v>40195</v>
      </c>
      <c r="B195" s="19" t="e">
        <f>VLOOKUP($A195,Config!$B$6:$E$1862,2,FALSE)</f>
        <v>#N/A</v>
      </c>
      <c r="C195" s="19" t="e">
        <f>VLOOKUP($A195,Config!$B$6:$E$1862,3,FALSE)</f>
        <v>#N/A</v>
      </c>
      <c r="D195" s="19" t="e">
        <f>VLOOKUP($A195,Config!$B$6:$E$1862,4,FALSE)</f>
        <v>#N/A</v>
      </c>
    </row>
    <row r="196" spans="1:4" x14ac:dyDescent="0.25">
      <c r="A196" s="19">
        <v>40196</v>
      </c>
      <c r="B196" s="19" t="e">
        <f>VLOOKUP($A196,Config!$B$6:$E$1862,2,FALSE)</f>
        <v>#N/A</v>
      </c>
      <c r="C196" s="19" t="e">
        <f>VLOOKUP($A196,Config!$B$6:$E$1862,3,FALSE)</f>
        <v>#N/A</v>
      </c>
      <c r="D196" s="19" t="e">
        <f>VLOOKUP($A196,Config!$B$6:$E$1862,4,FALSE)</f>
        <v>#N/A</v>
      </c>
    </row>
    <row r="197" spans="1:4" x14ac:dyDescent="0.25">
      <c r="A197" s="19">
        <v>40197</v>
      </c>
      <c r="B197" s="19" t="e">
        <f>VLOOKUP($A197,Config!$B$6:$E$1862,2,FALSE)</f>
        <v>#N/A</v>
      </c>
      <c r="C197" s="19" t="e">
        <f>VLOOKUP($A197,Config!$B$6:$E$1862,3,FALSE)</f>
        <v>#N/A</v>
      </c>
      <c r="D197" s="19" t="e">
        <f>VLOOKUP($A197,Config!$B$6:$E$1862,4,FALSE)</f>
        <v>#N/A</v>
      </c>
    </row>
    <row r="198" spans="1:4" x14ac:dyDescent="0.25">
      <c r="A198" s="19">
        <v>40198</v>
      </c>
      <c r="B198" s="19" t="e">
        <f>VLOOKUP($A198,Config!$B$6:$E$1862,2,FALSE)</f>
        <v>#N/A</v>
      </c>
      <c r="C198" s="19" t="e">
        <f>VLOOKUP($A198,Config!$B$6:$E$1862,3,FALSE)</f>
        <v>#N/A</v>
      </c>
      <c r="D198" s="19" t="e">
        <f>VLOOKUP($A198,Config!$B$6:$E$1862,4,FALSE)</f>
        <v>#N/A</v>
      </c>
    </row>
    <row r="199" spans="1:4" x14ac:dyDescent="0.25">
      <c r="A199" s="19">
        <v>40199</v>
      </c>
      <c r="B199" s="19" t="e">
        <f>VLOOKUP($A199,Config!$B$6:$E$1862,2,FALSE)</f>
        <v>#N/A</v>
      </c>
      <c r="C199" s="19" t="e">
        <f>VLOOKUP($A199,Config!$B$6:$E$1862,3,FALSE)</f>
        <v>#N/A</v>
      </c>
      <c r="D199" s="19" t="e">
        <f>VLOOKUP($A199,Config!$B$6:$E$1862,4,FALSE)</f>
        <v>#N/A</v>
      </c>
    </row>
    <row r="200" spans="1:4" x14ac:dyDescent="0.25">
      <c r="A200" s="19">
        <v>40200</v>
      </c>
      <c r="B200" s="19" t="e">
        <f>VLOOKUP($A200,Config!$B$6:$E$1862,2,FALSE)</f>
        <v>#N/A</v>
      </c>
      <c r="C200" s="19" t="e">
        <f>VLOOKUP($A200,Config!$B$6:$E$1862,3,FALSE)</f>
        <v>#N/A</v>
      </c>
      <c r="D200" s="19" t="e">
        <f>VLOOKUP($A200,Config!$B$6:$E$1862,4,FALSE)</f>
        <v>#N/A</v>
      </c>
    </row>
    <row r="201" spans="1:4" x14ac:dyDescent="0.25">
      <c r="A201" s="19">
        <v>40201</v>
      </c>
      <c r="B201" s="19" t="e">
        <f>VLOOKUP($A201,Config!$B$6:$E$1862,2,FALSE)</f>
        <v>#N/A</v>
      </c>
      <c r="C201" s="19" t="e">
        <f>VLOOKUP($A201,Config!$B$6:$E$1862,3,FALSE)</f>
        <v>#N/A</v>
      </c>
      <c r="D201" s="19" t="e">
        <f>VLOOKUP($A201,Config!$B$6:$E$1862,4,FALSE)</f>
        <v>#N/A</v>
      </c>
    </row>
    <row r="202" spans="1:4" x14ac:dyDescent="0.25">
      <c r="A202" s="19">
        <v>40202</v>
      </c>
      <c r="B202" s="19" t="e">
        <f>VLOOKUP($A202,Config!$B$6:$E$1862,2,FALSE)</f>
        <v>#N/A</v>
      </c>
      <c r="C202" s="19" t="e">
        <f>VLOOKUP($A202,Config!$B$6:$E$1862,3,FALSE)</f>
        <v>#N/A</v>
      </c>
      <c r="D202" s="19" t="e">
        <f>VLOOKUP($A202,Config!$B$6:$E$1862,4,FALSE)</f>
        <v>#N/A</v>
      </c>
    </row>
    <row r="203" spans="1:4" x14ac:dyDescent="0.25">
      <c r="A203" s="19">
        <v>40203</v>
      </c>
      <c r="B203" s="19" t="e">
        <f>VLOOKUP($A203,Config!$B$6:$E$1862,2,FALSE)</f>
        <v>#N/A</v>
      </c>
      <c r="C203" s="19" t="e">
        <f>VLOOKUP($A203,Config!$B$6:$E$1862,3,FALSE)</f>
        <v>#N/A</v>
      </c>
      <c r="D203" s="19" t="e">
        <f>VLOOKUP($A203,Config!$B$6:$E$1862,4,FALSE)</f>
        <v>#N/A</v>
      </c>
    </row>
    <row r="204" spans="1:4" x14ac:dyDescent="0.25">
      <c r="A204" s="19">
        <v>40204</v>
      </c>
      <c r="B204" s="19" t="e">
        <f>VLOOKUP($A204,Config!$B$6:$E$1862,2,FALSE)</f>
        <v>#N/A</v>
      </c>
      <c r="C204" s="19" t="e">
        <f>VLOOKUP($A204,Config!$B$6:$E$1862,3,FALSE)</f>
        <v>#N/A</v>
      </c>
      <c r="D204" s="19" t="e">
        <f>VLOOKUP($A204,Config!$B$6:$E$1862,4,FALSE)</f>
        <v>#N/A</v>
      </c>
    </row>
    <row r="205" spans="1:4" x14ac:dyDescent="0.25">
      <c r="A205" s="19">
        <v>40205</v>
      </c>
      <c r="B205" s="19" t="e">
        <f>VLOOKUP($A205,Config!$B$6:$E$1862,2,FALSE)</f>
        <v>#N/A</v>
      </c>
      <c r="C205" s="19" t="e">
        <f>VLOOKUP($A205,Config!$B$6:$E$1862,3,FALSE)</f>
        <v>#N/A</v>
      </c>
      <c r="D205" s="19" t="e">
        <f>VLOOKUP($A205,Config!$B$6:$E$1862,4,FALSE)</f>
        <v>#N/A</v>
      </c>
    </row>
    <row r="206" spans="1:4" x14ac:dyDescent="0.25">
      <c r="A206" s="19">
        <v>40206</v>
      </c>
      <c r="B206" s="19" t="e">
        <f>VLOOKUP($A206,Config!$B$6:$E$1862,2,FALSE)</f>
        <v>#N/A</v>
      </c>
      <c r="C206" s="19" t="e">
        <f>VLOOKUP($A206,Config!$B$6:$E$1862,3,FALSE)</f>
        <v>#N/A</v>
      </c>
      <c r="D206" s="19" t="e">
        <f>VLOOKUP($A206,Config!$B$6:$E$1862,4,FALSE)</f>
        <v>#N/A</v>
      </c>
    </row>
    <row r="207" spans="1:4" x14ac:dyDescent="0.25">
      <c r="A207" s="19">
        <v>40207</v>
      </c>
      <c r="B207" s="19" t="e">
        <f>VLOOKUP($A207,Config!$B$6:$E$1862,2,FALSE)</f>
        <v>#N/A</v>
      </c>
      <c r="C207" s="19" t="e">
        <f>VLOOKUP($A207,Config!$B$6:$E$1862,3,FALSE)</f>
        <v>#N/A</v>
      </c>
      <c r="D207" s="19" t="e">
        <f>VLOOKUP($A207,Config!$B$6:$E$1862,4,FALSE)</f>
        <v>#N/A</v>
      </c>
    </row>
    <row r="208" spans="1:4" x14ac:dyDescent="0.25">
      <c r="A208" s="19">
        <v>40208</v>
      </c>
      <c r="B208" s="19" t="e">
        <f>VLOOKUP($A208,Config!$B$6:$E$1862,2,FALSE)</f>
        <v>#N/A</v>
      </c>
      <c r="C208" s="19" t="e">
        <f>VLOOKUP($A208,Config!$B$6:$E$1862,3,FALSE)</f>
        <v>#N/A</v>
      </c>
      <c r="D208" s="19" t="e">
        <f>VLOOKUP($A208,Config!$B$6:$E$1862,4,FALSE)</f>
        <v>#N/A</v>
      </c>
    </row>
    <row r="209" spans="1:4" x14ac:dyDescent="0.25">
      <c r="A209" s="19">
        <v>40209</v>
      </c>
      <c r="B209" s="19" t="e">
        <f>VLOOKUP($A209,Config!$B$6:$E$1862,2,FALSE)</f>
        <v>#N/A</v>
      </c>
      <c r="C209" s="19" t="e">
        <f>VLOOKUP($A209,Config!$B$6:$E$1862,3,FALSE)</f>
        <v>#N/A</v>
      </c>
      <c r="D209" s="19" t="e">
        <f>VLOOKUP($A209,Config!$B$6:$E$1862,4,FALSE)</f>
        <v>#N/A</v>
      </c>
    </row>
    <row r="210" spans="1:4" x14ac:dyDescent="0.25">
      <c r="A210" s="19">
        <v>40210</v>
      </c>
      <c r="B210" s="19" t="e">
        <f>VLOOKUP($A210,Config!$B$6:$E$1862,2,FALSE)</f>
        <v>#N/A</v>
      </c>
      <c r="C210" s="19" t="e">
        <f>VLOOKUP($A210,Config!$B$6:$E$1862,3,FALSE)</f>
        <v>#N/A</v>
      </c>
      <c r="D210" s="19" t="e">
        <f>VLOOKUP($A210,Config!$B$6:$E$1862,4,FALSE)</f>
        <v>#N/A</v>
      </c>
    </row>
    <row r="211" spans="1:4" x14ac:dyDescent="0.25">
      <c r="A211" s="19">
        <v>40211</v>
      </c>
      <c r="B211" s="19" t="e">
        <f>VLOOKUP($A211,Config!$B$6:$E$1862,2,FALSE)</f>
        <v>#N/A</v>
      </c>
      <c r="C211" s="19" t="e">
        <f>VLOOKUP($A211,Config!$B$6:$E$1862,3,FALSE)</f>
        <v>#N/A</v>
      </c>
      <c r="D211" s="19" t="e">
        <f>VLOOKUP($A211,Config!$B$6:$E$1862,4,FALSE)</f>
        <v>#N/A</v>
      </c>
    </row>
    <row r="212" spans="1:4" x14ac:dyDescent="0.25">
      <c r="A212" s="19">
        <v>40212</v>
      </c>
      <c r="B212" s="19" t="e">
        <f>VLOOKUP($A212,Config!$B$6:$E$1862,2,FALSE)</f>
        <v>#N/A</v>
      </c>
      <c r="C212" s="19" t="e">
        <f>VLOOKUP($A212,Config!$B$6:$E$1862,3,FALSE)</f>
        <v>#N/A</v>
      </c>
      <c r="D212" s="19" t="e">
        <f>VLOOKUP($A212,Config!$B$6:$E$1862,4,FALSE)</f>
        <v>#N/A</v>
      </c>
    </row>
    <row r="213" spans="1:4" x14ac:dyDescent="0.25">
      <c r="A213" s="19">
        <v>40213</v>
      </c>
      <c r="B213" s="19" t="e">
        <f>VLOOKUP($A213,Config!$B$6:$E$1862,2,FALSE)</f>
        <v>#N/A</v>
      </c>
      <c r="C213" s="19" t="e">
        <f>VLOOKUP($A213,Config!$B$6:$E$1862,3,FALSE)</f>
        <v>#N/A</v>
      </c>
      <c r="D213" s="19" t="e">
        <f>VLOOKUP($A213,Config!$B$6:$E$1862,4,FALSE)</f>
        <v>#N/A</v>
      </c>
    </row>
    <row r="214" spans="1:4" x14ac:dyDescent="0.25">
      <c r="A214" s="19">
        <v>40214</v>
      </c>
      <c r="B214" s="19" t="e">
        <f>VLOOKUP($A214,Config!$B$6:$E$1862,2,FALSE)</f>
        <v>#N/A</v>
      </c>
      <c r="C214" s="19" t="e">
        <f>VLOOKUP($A214,Config!$B$6:$E$1862,3,FALSE)</f>
        <v>#N/A</v>
      </c>
      <c r="D214" s="19" t="e">
        <f>VLOOKUP($A214,Config!$B$6:$E$1862,4,FALSE)</f>
        <v>#N/A</v>
      </c>
    </row>
    <row r="215" spans="1:4" x14ac:dyDescent="0.25">
      <c r="A215" s="19">
        <v>40215</v>
      </c>
      <c r="B215" s="19" t="e">
        <f>VLOOKUP($A215,Config!$B$6:$E$1862,2,FALSE)</f>
        <v>#N/A</v>
      </c>
      <c r="C215" s="19" t="e">
        <f>VLOOKUP($A215,Config!$B$6:$E$1862,3,FALSE)</f>
        <v>#N/A</v>
      </c>
      <c r="D215" s="19" t="e">
        <f>VLOOKUP($A215,Config!$B$6:$E$1862,4,FALSE)</f>
        <v>#N/A</v>
      </c>
    </row>
    <row r="216" spans="1:4" x14ac:dyDescent="0.25">
      <c r="A216" s="19">
        <v>40216</v>
      </c>
      <c r="B216" s="19" t="e">
        <f>VLOOKUP($A216,Config!$B$6:$E$1862,2,FALSE)</f>
        <v>#N/A</v>
      </c>
      <c r="C216" s="19" t="e">
        <f>VLOOKUP($A216,Config!$B$6:$E$1862,3,FALSE)</f>
        <v>#N/A</v>
      </c>
      <c r="D216" s="19" t="e">
        <f>VLOOKUP($A216,Config!$B$6:$E$1862,4,FALSE)</f>
        <v>#N/A</v>
      </c>
    </row>
    <row r="217" spans="1:4" x14ac:dyDescent="0.25">
      <c r="A217" s="19">
        <v>40217</v>
      </c>
      <c r="B217" s="19" t="e">
        <f>VLOOKUP($A217,Config!$B$6:$E$1862,2,FALSE)</f>
        <v>#N/A</v>
      </c>
      <c r="C217" s="19" t="e">
        <f>VLOOKUP($A217,Config!$B$6:$E$1862,3,FALSE)</f>
        <v>#N/A</v>
      </c>
      <c r="D217" s="19" t="e">
        <f>VLOOKUP($A217,Config!$B$6:$E$1862,4,FALSE)</f>
        <v>#N/A</v>
      </c>
    </row>
    <row r="218" spans="1:4" x14ac:dyDescent="0.25">
      <c r="A218" s="19">
        <v>40218</v>
      </c>
      <c r="B218" s="19" t="e">
        <f>VLOOKUP($A218,Config!$B$6:$E$1862,2,FALSE)</f>
        <v>#N/A</v>
      </c>
      <c r="C218" s="19" t="e">
        <f>VLOOKUP($A218,Config!$B$6:$E$1862,3,FALSE)</f>
        <v>#N/A</v>
      </c>
      <c r="D218" s="19" t="e">
        <f>VLOOKUP($A218,Config!$B$6:$E$1862,4,FALSE)</f>
        <v>#N/A</v>
      </c>
    </row>
    <row r="219" spans="1:4" x14ac:dyDescent="0.25">
      <c r="A219" s="19">
        <v>40219</v>
      </c>
      <c r="B219" s="19" t="e">
        <f>VLOOKUP($A219,Config!$B$6:$E$1862,2,FALSE)</f>
        <v>#N/A</v>
      </c>
      <c r="C219" s="19" t="e">
        <f>VLOOKUP($A219,Config!$B$6:$E$1862,3,FALSE)</f>
        <v>#N/A</v>
      </c>
      <c r="D219" s="19" t="e">
        <f>VLOOKUP($A219,Config!$B$6:$E$1862,4,FALSE)</f>
        <v>#N/A</v>
      </c>
    </row>
    <row r="220" spans="1:4" x14ac:dyDescent="0.25">
      <c r="A220" s="19">
        <v>40220</v>
      </c>
      <c r="B220" s="19" t="e">
        <f>VLOOKUP($A220,Config!$B$6:$E$1862,2,FALSE)</f>
        <v>#N/A</v>
      </c>
      <c r="C220" s="19" t="e">
        <f>VLOOKUP($A220,Config!$B$6:$E$1862,3,FALSE)</f>
        <v>#N/A</v>
      </c>
      <c r="D220" s="19" t="e">
        <f>VLOOKUP($A220,Config!$B$6:$E$1862,4,FALSE)</f>
        <v>#N/A</v>
      </c>
    </row>
    <row r="221" spans="1:4" x14ac:dyDescent="0.25">
      <c r="A221" s="19">
        <v>40221</v>
      </c>
      <c r="B221" s="19" t="e">
        <f>VLOOKUP($A221,Config!$B$6:$E$1862,2,FALSE)</f>
        <v>#N/A</v>
      </c>
      <c r="C221" s="19" t="e">
        <f>VLOOKUP($A221,Config!$B$6:$E$1862,3,FALSE)</f>
        <v>#N/A</v>
      </c>
      <c r="D221" s="19" t="e">
        <f>VLOOKUP($A221,Config!$B$6:$E$1862,4,FALSE)</f>
        <v>#N/A</v>
      </c>
    </row>
    <row r="222" spans="1:4" x14ac:dyDescent="0.25">
      <c r="A222" s="19">
        <v>40222</v>
      </c>
      <c r="B222" s="19" t="e">
        <f>VLOOKUP($A222,Config!$B$6:$E$1862,2,FALSE)</f>
        <v>#N/A</v>
      </c>
      <c r="C222" s="19" t="e">
        <f>VLOOKUP($A222,Config!$B$6:$E$1862,3,FALSE)</f>
        <v>#N/A</v>
      </c>
      <c r="D222" s="19" t="e">
        <f>VLOOKUP($A222,Config!$B$6:$E$1862,4,FALSE)</f>
        <v>#N/A</v>
      </c>
    </row>
    <row r="223" spans="1:4" x14ac:dyDescent="0.25">
      <c r="A223" s="19">
        <v>40223</v>
      </c>
      <c r="B223" s="19" t="e">
        <f>VLOOKUP($A223,Config!$B$6:$E$1862,2,FALSE)</f>
        <v>#N/A</v>
      </c>
      <c r="C223" s="19" t="e">
        <f>VLOOKUP($A223,Config!$B$6:$E$1862,3,FALSE)</f>
        <v>#N/A</v>
      </c>
      <c r="D223" s="19" t="e">
        <f>VLOOKUP($A223,Config!$B$6:$E$1862,4,FALSE)</f>
        <v>#N/A</v>
      </c>
    </row>
    <row r="224" spans="1:4" x14ac:dyDescent="0.25">
      <c r="A224" s="19">
        <v>40224</v>
      </c>
      <c r="B224" s="19" t="e">
        <f>VLOOKUP($A224,Config!$B$6:$E$1862,2,FALSE)</f>
        <v>#N/A</v>
      </c>
      <c r="C224" s="19" t="e">
        <f>VLOOKUP($A224,Config!$B$6:$E$1862,3,FALSE)</f>
        <v>#N/A</v>
      </c>
      <c r="D224" s="19" t="e">
        <f>VLOOKUP($A224,Config!$B$6:$E$1862,4,FALSE)</f>
        <v>#N/A</v>
      </c>
    </row>
    <row r="225" spans="1:4" x14ac:dyDescent="0.25">
      <c r="A225" s="19">
        <v>40225</v>
      </c>
      <c r="B225" s="19" t="e">
        <f>VLOOKUP($A225,Config!$B$6:$E$1862,2,FALSE)</f>
        <v>#N/A</v>
      </c>
      <c r="C225" s="19" t="e">
        <f>VLOOKUP($A225,Config!$B$6:$E$1862,3,FALSE)</f>
        <v>#N/A</v>
      </c>
      <c r="D225" s="19" t="e">
        <f>VLOOKUP($A225,Config!$B$6:$E$1862,4,FALSE)</f>
        <v>#N/A</v>
      </c>
    </row>
    <row r="226" spans="1:4" x14ac:dyDescent="0.25">
      <c r="A226" s="19">
        <v>40226</v>
      </c>
      <c r="B226" s="19" t="e">
        <f>VLOOKUP($A226,Config!$B$6:$E$1862,2,FALSE)</f>
        <v>#N/A</v>
      </c>
      <c r="C226" s="19" t="e">
        <f>VLOOKUP($A226,Config!$B$6:$E$1862,3,FALSE)</f>
        <v>#N/A</v>
      </c>
      <c r="D226" s="19" t="e">
        <f>VLOOKUP($A226,Config!$B$6:$E$1862,4,FALSE)</f>
        <v>#N/A</v>
      </c>
    </row>
    <row r="227" spans="1:4" x14ac:dyDescent="0.25">
      <c r="A227" s="19">
        <v>40227</v>
      </c>
      <c r="B227" s="19" t="e">
        <f>VLOOKUP($A227,Config!$B$6:$E$1862,2,FALSE)</f>
        <v>#N/A</v>
      </c>
      <c r="C227" s="19" t="e">
        <f>VLOOKUP($A227,Config!$B$6:$E$1862,3,FALSE)</f>
        <v>#N/A</v>
      </c>
      <c r="D227" s="19" t="e">
        <f>VLOOKUP($A227,Config!$B$6:$E$1862,4,FALSE)</f>
        <v>#N/A</v>
      </c>
    </row>
    <row r="228" spans="1:4" x14ac:dyDescent="0.25">
      <c r="A228" s="19">
        <v>40228</v>
      </c>
      <c r="B228" s="19" t="e">
        <f>VLOOKUP($A228,Config!$B$6:$E$1862,2,FALSE)</f>
        <v>#N/A</v>
      </c>
      <c r="C228" s="19" t="e">
        <f>VLOOKUP($A228,Config!$B$6:$E$1862,3,FALSE)</f>
        <v>#N/A</v>
      </c>
      <c r="D228" s="19" t="e">
        <f>VLOOKUP($A228,Config!$B$6:$E$1862,4,FALSE)</f>
        <v>#N/A</v>
      </c>
    </row>
    <row r="229" spans="1:4" x14ac:dyDescent="0.25">
      <c r="A229" s="19">
        <v>40229</v>
      </c>
      <c r="B229" s="19" t="e">
        <f>VLOOKUP($A229,Config!$B$6:$E$1862,2,FALSE)</f>
        <v>#N/A</v>
      </c>
      <c r="C229" s="19" t="e">
        <f>VLOOKUP($A229,Config!$B$6:$E$1862,3,FALSE)</f>
        <v>#N/A</v>
      </c>
      <c r="D229" s="19" t="e">
        <f>VLOOKUP($A229,Config!$B$6:$E$1862,4,FALSE)</f>
        <v>#N/A</v>
      </c>
    </row>
    <row r="230" spans="1:4" x14ac:dyDescent="0.25">
      <c r="A230" s="19">
        <v>40230</v>
      </c>
      <c r="B230" s="19" t="e">
        <f>VLOOKUP($A230,Config!$B$6:$E$1862,2,FALSE)</f>
        <v>#N/A</v>
      </c>
      <c r="C230" s="19" t="e">
        <f>VLOOKUP($A230,Config!$B$6:$E$1862,3,FALSE)</f>
        <v>#N/A</v>
      </c>
      <c r="D230" s="19" t="e">
        <f>VLOOKUP($A230,Config!$B$6:$E$1862,4,FALSE)</f>
        <v>#N/A</v>
      </c>
    </row>
    <row r="231" spans="1:4" x14ac:dyDescent="0.25">
      <c r="A231" s="19">
        <v>40231</v>
      </c>
      <c r="B231" s="19" t="e">
        <f>VLOOKUP($A231,Config!$B$6:$E$1862,2,FALSE)</f>
        <v>#N/A</v>
      </c>
      <c r="C231" s="19" t="e">
        <f>VLOOKUP($A231,Config!$B$6:$E$1862,3,FALSE)</f>
        <v>#N/A</v>
      </c>
      <c r="D231" s="19" t="e">
        <f>VLOOKUP($A231,Config!$B$6:$E$1862,4,FALSE)</f>
        <v>#N/A</v>
      </c>
    </row>
    <row r="232" spans="1:4" x14ac:dyDescent="0.25">
      <c r="A232" s="19">
        <v>40232</v>
      </c>
      <c r="B232" s="19" t="e">
        <f>VLOOKUP($A232,Config!$B$6:$E$1862,2,FALSE)</f>
        <v>#N/A</v>
      </c>
      <c r="C232" s="19" t="e">
        <f>VLOOKUP($A232,Config!$B$6:$E$1862,3,FALSE)</f>
        <v>#N/A</v>
      </c>
      <c r="D232" s="19" t="e">
        <f>VLOOKUP($A232,Config!$B$6:$E$1862,4,FALSE)</f>
        <v>#N/A</v>
      </c>
    </row>
    <row r="233" spans="1:4" x14ac:dyDescent="0.25">
      <c r="A233" s="19">
        <v>40233</v>
      </c>
      <c r="B233" s="19" t="e">
        <f>VLOOKUP($A233,Config!$B$6:$E$1862,2,FALSE)</f>
        <v>#N/A</v>
      </c>
      <c r="C233" s="19" t="e">
        <f>VLOOKUP($A233,Config!$B$6:$E$1862,3,FALSE)</f>
        <v>#N/A</v>
      </c>
      <c r="D233" s="19" t="e">
        <f>VLOOKUP($A233,Config!$B$6:$E$1862,4,FALSE)</f>
        <v>#N/A</v>
      </c>
    </row>
    <row r="234" spans="1:4" x14ac:dyDescent="0.25">
      <c r="A234" s="19">
        <v>40234</v>
      </c>
      <c r="B234" s="19" t="e">
        <f>VLOOKUP($A234,Config!$B$6:$E$1862,2,FALSE)</f>
        <v>#N/A</v>
      </c>
      <c r="C234" s="19" t="e">
        <f>VLOOKUP($A234,Config!$B$6:$E$1862,3,FALSE)</f>
        <v>#N/A</v>
      </c>
      <c r="D234" s="19" t="e">
        <f>VLOOKUP($A234,Config!$B$6:$E$1862,4,FALSE)</f>
        <v>#N/A</v>
      </c>
    </row>
    <row r="235" spans="1:4" x14ac:dyDescent="0.25">
      <c r="A235" s="19">
        <v>40235</v>
      </c>
      <c r="B235" s="19" t="e">
        <f>VLOOKUP($A235,Config!$B$6:$E$1862,2,FALSE)</f>
        <v>#N/A</v>
      </c>
      <c r="C235" s="19" t="e">
        <f>VLOOKUP($A235,Config!$B$6:$E$1862,3,FALSE)</f>
        <v>#N/A</v>
      </c>
      <c r="D235" s="19" t="e">
        <f>VLOOKUP($A235,Config!$B$6:$E$1862,4,FALSE)</f>
        <v>#N/A</v>
      </c>
    </row>
    <row r="236" spans="1:4" x14ac:dyDescent="0.25">
      <c r="A236" s="19">
        <v>40236</v>
      </c>
      <c r="B236" s="19" t="e">
        <f>VLOOKUP($A236,Config!$B$6:$E$1862,2,FALSE)</f>
        <v>#N/A</v>
      </c>
      <c r="C236" s="19" t="e">
        <f>VLOOKUP($A236,Config!$B$6:$E$1862,3,FALSE)</f>
        <v>#N/A</v>
      </c>
      <c r="D236" s="19" t="e">
        <f>VLOOKUP($A236,Config!$B$6:$E$1862,4,FALSE)</f>
        <v>#N/A</v>
      </c>
    </row>
    <row r="237" spans="1:4" x14ac:dyDescent="0.25">
      <c r="A237" s="19">
        <v>40237</v>
      </c>
      <c r="B237" s="19" t="e">
        <f>VLOOKUP($A237,Config!$B$6:$E$1862,2,FALSE)</f>
        <v>#N/A</v>
      </c>
      <c r="C237" s="19" t="e">
        <f>VLOOKUP($A237,Config!$B$6:$E$1862,3,FALSE)</f>
        <v>#N/A</v>
      </c>
      <c r="D237" s="19" t="e">
        <f>VLOOKUP($A237,Config!$B$6:$E$1862,4,FALSE)</f>
        <v>#N/A</v>
      </c>
    </row>
    <row r="238" spans="1:4" x14ac:dyDescent="0.25">
      <c r="A238" s="19">
        <v>40238</v>
      </c>
      <c r="B238" s="19" t="e">
        <f>VLOOKUP($A238,Config!$B$6:$E$1862,2,FALSE)</f>
        <v>#N/A</v>
      </c>
      <c r="C238" s="19" t="e">
        <f>VLOOKUP($A238,Config!$B$6:$E$1862,3,FALSE)</f>
        <v>#N/A</v>
      </c>
      <c r="D238" s="19" t="e">
        <f>VLOOKUP($A238,Config!$B$6:$E$1862,4,FALSE)</f>
        <v>#N/A</v>
      </c>
    </row>
    <row r="239" spans="1:4" x14ac:dyDescent="0.25">
      <c r="A239" s="19">
        <v>40239</v>
      </c>
      <c r="B239" s="19" t="e">
        <f>VLOOKUP($A239,Config!$B$6:$E$1862,2,FALSE)</f>
        <v>#N/A</v>
      </c>
      <c r="C239" s="19" t="e">
        <f>VLOOKUP($A239,Config!$B$6:$E$1862,3,FALSE)</f>
        <v>#N/A</v>
      </c>
      <c r="D239" s="19" t="e">
        <f>VLOOKUP($A239,Config!$B$6:$E$1862,4,FALSE)</f>
        <v>#N/A</v>
      </c>
    </row>
    <row r="240" spans="1:4" x14ac:dyDescent="0.25">
      <c r="A240" s="19">
        <v>40240</v>
      </c>
      <c r="B240" s="19" t="e">
        <f>VLOOKUP($A240,Config!$B$6:$E$1862,2,FALSE)</f>
        <v>#N/A</v>
      </c>
      <c r="C240" s="19" t="e">
        <f>VLOOKUP($A240,Config!$B$6:$E$1862,3,FALSE)</f>
        <v>#N/A</v>
      </c>
      <c r="D240" s="19" t="e">
        <f>VLOOKUP($A240,Config!$B$6:$E$1862,4,FALSE)</f>
        <v>#N/A</v>
      </c>
    </row>
    <row r="241" spans="1:4" x14ac:dyDescent="0.25">
      <c r="A241" s="19">
        <v>40241</v>
      </c>
      <c r="B241" s="19" t="e">
        <f>VLOOKUP($A241,Config!$B$6:$E$1862,2,FALSE)</f>
        <v>#N/A</v>
      </c>
      <c r="C241" s="19" t="e">
        <f>VLOOKUP($A241,Config!$B$6:$E$1862,3,FALSE)</f>
        <v>#N/A</v>
      </c>
      <c r="D241" s="19" t="e">
        <f>VLOOKUP($A241,Config!$B$6:$E$1862,4,FALSE)</f>
        <v>#N/A</v>
      </c>
    </row>
    <row r="242" spans="1:4" x14ac:dyDescent="0.25">
      <c r="A242" s="19">
        <v>40242</v>
      </c>
      <c r="B242" s="19" t="e">
        <f>VLOOKUP($A242,Config!$B$6:$E$1862,2,FALSE)</f>
        <v>#N/A</v>
      </c>
      <c r="C242" s="19" t="e">
        <f>VLOOKUP($A242,Config!$B$6:$E$1862,3,FALSE)</f>
        <v>#N/A</v>
      </c>
      <c r="D242" s="19" t="e">
        <f>VLOOKUP($A242,Config!$B$6:$E$1862,4,FALSE)</f>
        <v>#N/A</v>
      </c>
    </row>
    <row r="243" spans="1:4" x14ac:dyDescent="0.25">
      <c r="A243" s="19">
        <v>40243</v>
      </c>
      <c r="B243" s="19" t="e">
        <f>VLOOKUP($A243,Config!$B$6:$E$1862,2,FALSE)</f>
        <v>#N/A</v>
      </c>
      <c r="C243" s="19" t="e">
        <f>VLOOKUP($A243,Config!$B$6:$E$1862,3,FALSE)</f>
        <v>#N/A</v>
      </c>
      <c r="D243" s="19" t="e">
        <f>VLOOKUP($A243,Config!$B$6:$E$1862,4,FALSE)</f>
        <v>#N/A</v>
      </c>
    </row>
    <row r="244" spans="1:4" x14ac:dyDescent="0.25">
      <c r="A244" s="19">
        <v>40244</v>
      </c>
      <c r="B244" s="19" t="e">
        <f>VLOOKUP($A244,Config!$B$6:$E$1862,2,FALSE)</f>
        <v>#N/A</v>
      </c>
      <c r="C244" s="19" t="e">
        <f>VLOOKUP($A244,Config!$B$6:$E$1862,3,FALSE)</f>
        <v>#N/A</v>
      </c>
      <c r="D244" s="19" t="e">
        <f>VLOOKUP($A244,Config!$B$6:$E$1862,4,FALSE)</f>
        <v>#N/A</v>
      </c>
    </row>
    <row r="245" spans="1:4" x14ac:dyDescent="0.25">
      <c r="A245" s="19">
        <v>40245</v>
      </c>
      <c r="B245" s="19" t="e">
        <f>VLOOKUP($A245,Config!$B$6:$E$1862,2,FALSE)</f>
        <v>#N/A</v>
      </c>
      <c r="C245" s="19" t="e">
        <f>VLOOKUP($A245,Config!$B$6:$E$1862,3,FALSE)</f>
        <v>#N/A</v>
      </c>
      <c r="D245" s="19" t="e">
        <f>VLOOKUP($A245,Config!$B$6:$E$1862,4,FALSE)</f>
        <v>#N/A</v>
      </c>
    </row>
    <row r="246" spans="1:4" x14ac:dyDescent="0.25">
      <c r="A246" s="19">
        <v>40246</v>
      </c>
      <c r="B246" s="19" t="e">
        <f>VLOOKUP($A246,Config!$B$6:$E$1862,2,FALSE)</f>
        <v>#N/A</v>
      </c>
      <c r="C246" s="19" t="e">
        <f>VLOOKUP($A246,Config!$B$6:$E$1862,3,FALSE)</f>
        <v>#N/A</v>
      </c>
      <c r="D246" s="19" t="e">
        <f>VLOOKUP($A246,Config!$B$6:$E$1862,4,FALSE)</f>
        <v>#N/A</v>
      </c>
    </row>
    <row r="247" spans="1:4" x14ac:dyDescent="0.25">
      <c r="A247" s="19">
        <v>40247</v>
      </c>
      <c r="B247" s="19" t="e">
        <f>VLOOKUP($A247,Config!$B$6:$E$1862,2,FALSE)</f>
        <v>#N/A</v>
      </c>
      <c r="C247" s="19" t="e">
        <f>VLOOKUP($A247,Config!$B$6:$E$1862,3,FALSE)</f>
        <v>#N/A</v>
      </c>
      <c r="D247" s="19" t="e">
        <f>VLOOKUP($A247,Config!$B$6:$E$1862,4,FALSE)</f>
        <v>#N/A</v>
      </c>
    </row>
    <row r="248" spans="1:4" x14ac:dyDescent="0.25">
      <c r="A248" s="19">
        <v>40248</v>
      </c>
      <c r="B248" s="19" t="e">
        <f>VLOOKUP($A248,Config!$B$6:$E$1862,2,FALSE)</f>
        <v>#N/A</v>
      </c>
      <c r="C248" s="19" t="e">
        <f>VLOOKUP($A248,Config!$B$6:$E$1862,3,FALSE)</f>
        <v>#N/A</v>
      </c>
      <c r="D248" s="19" t="e">
        <f>VLOOKUP($A248,Config!$B$6:$E$1862,4,FALSE)</f>
        <v>#N/A</v>
      </c>
    </row>
    <row r="249" spans="1:4" x14ac:dyDescent="0.25">
      <c r="A249" s="19">
        <v>40249</v>
      </c>
      <c r="B249" s="19" t="e">
        <f>VLOOKUP($A249,Config!$B$6:$E$1862,2,FALSE)</f>
        <v>#N/A</v>
      </c>
      <c r="C249" s="19" t="e">
        <f>VLOOKUP($A249,Config!$B$6:$E$1862,3,FALSE)</f>
        <v>#N/A</v>
      </c>
      <c r="D249" s="19" t="e">
        <f>VLOOKUP($A249,Config!$B$6:$E$1862,4,FALSE)</f>
        <v>#N/A</v>
      </c>
    </row>
    <row r="250" spans="1:4" x14ac:dyDescent="0.25">
      <c r="A250" s="19">
        <v>40250</v>
      </c>
      <c r="B250" s="19" t="e">
        <f>VLOOKUP($A250,Config!$B$6:$E$1862,2,FALSE)</f>
        <v>#N/A</v>
      </c>
      <c r="C250" s="19" t="e">
        <f>VLOOKUP($A250,Config!$B$6:$E$1862,3,FALSE)</f>
        <v>#N/A</v>
      </c>
      <c r="D250" s="19" t="e">
        <f>VLOOKUP($A250,Config!$B$6:$E$1862,4,FALSE)</f>
        <v>#N/A</v>
      </c>
    </row>
    <row r="251" spans="1:4" x14ac:dyDescent="0.25">
      <c r="A251" s="19">
        <v>40251</v>
      </c>
      <c r="B251" s="19" t="e">
        <f>VLOOKUP($A251,Config!$B$6:$E$1862,2,FALSE)</f>
        <v>#N/A</v>
      </c>
      <c r="C251" s="19" t="e">
        <f>VLOOKUP($A251,Config!$B$6:$E$1862,3,FALSE)</f>
        <v>#N/A</v>
      </c>
      <c r="D251" s="19" t="e">
        <f>VLOOKUP($A251,Config!$B$6:$E$1862,4,FALSE)</f>
        <v>#N/A</v>
      </c>
    </row>
    <row r="252" spans="1:4" x14ac:dyDescent="0.25">
      <c r="A252" s="19">
        <v>40253</v>
      </c>
      <c r="B252" s="19" t="e">
        <f>VLOOKUP($A252,Config!$B$6:$E$1862,2,FALSE)</f>
        <v>#N/A</v>
      </c>
      <c r="C252" s="19" t="e">
        <f>VLOOKUP($A252,Config!$B$6:$E$1862,3,FALSE)</f>
        <v>#N/A</v>
      </c>
      <c r="D252" s="19" t="e">
        <f>VLOOKUP($A252,Config!$B$6:$E$1862,4,FALSE)</f>
        <v>#N/A</v>
      </c>
    </row>
    <row r="253" spans="1:4" x14ac:dyDescent="0.25">
      <c r="A253" s="19">
        <v>40254</v>
      </c>
      <c r="B253" s="19" t="e">
        <f>VLOOKUP($A253,Config!$B$6:$E$1862,2,FALSE)</f>
        <v>#N/A</v>
      </c>
      <c r="C253" s="19" t="e">
        <f>VLOOKUP($A253,Config!$B$6:$E$1862,3,FALSE)</f>
        <v>#N/A</v>
      </c>
      <c r="D253" s="19" t="e">
        <f>VLOOKUP($A253,Config!$B$6:$E$1862,4,FALSE)</f>
        <v>#N/A</v>
      </c>
    </row>
    <row r="254" spans="1:4" x14ac:dyDescent="0.25">
      <c r="A254" s="19">
        <v>40255</v>
      </c>
      <c r="B254" s="19" t="e">
        <f>VLOOKUP($A254,Config!$B$6:$E$1862,2,FALSE)</f>
        <v>#N/A</v>
      </c>
      <c r="C254" s="19" t="e">
        <f>VLOOKUP($A254,Config!$B$6:$E$1862,3,FALSE)</f>
        <v>#N/A</v>
      </c>
      <c r="D254" s="19" t="e">
        <f>VLOOKUP($A254,Config!$B$6:$E$1862,4,FALSE)</f>
        <v>#N/A</v>
      </c>
    </row>
    <row r="255" spans="1:4" x14ac:dyDescent="0.25">
      <c r="A255" s="19">
        <v>40256</v>
      </c>
      <c r="B255" s="19" t="e">
        <f>VLOOKUP($A255,Config!$B$6:$E$1862,2,FALSE)</f>
        <v>#N/A</v>
      </c>
      <c r="C255" s="19" t="e">
        <f>VLOOKUP($A255,Config!$B$6:$E$1862,3,FALSE)</f>
        <v>#N/A</v>
      </c>
      <c r="D255" s="19" t="e">
        <f>VLOOKUP($A255,Config!$B$6:$E$1862,4,FALSE)</f>
        <v>#N/A</v>
      </c>
    </row>
    <row r="256" spans="1:4" x14ac:dyDescent="0.25">
      <c r="A256" s="19">
        <v>40257</v>
      </c>
      <c r="B256" s="19" t="e">
        <f>VLOOKUP($A256,Config!$B$6:$E$1862,2,FALSE)</f>
        <v>#N/A</v>
      </c>
      <c r="C256" s="19" t="e">
        <f>VLOOKUP($A256,Config!$B$6:$E$1862,3,FALSE)</f>
        <v>#N/A</v>
      </c>
      <c r="D256" s="19" t="e">
        <f>VLOOKUP($A256,Config!$B$6:$E$1862,4,FALSE)</f>
        <v>#N/A</v>
      </c>
    </row>
    <row r="257" spans="1:4" x14ac:dyDescent="0.25">
      <c r="A257" s="19">
        <v>40258</v>
      </c>
      <c r="B257" s="19" t="e">
        <f>VLOOKUP($A257,Config!$B$6:$E$1862,2,FALSE)</f>
        <v>#N/A</v>
      </c>
      <c r="C257" s="19" t="e">
        <f>VLOOKUP($A257,Config!$B$6:$E$1862,3,FALSE)</f>
        <v>#N/A</v>
      </c>
      <c r="D257" s="19" t="e">
        <f>VLOOKUP($A257,Config!$B$6:$E$1862,4,FALSE)</f>
        <v>#N/A</v>
      </c>
    </row>
    <row r="258" spans="1:4" x14ac:dyDescent="0.25">
      <c r="A258" s="19">
        <v>40259</v>
      </c>
      <c r="B258" s="19" t="e">
        <f>VLOOKUP($A258,Config!$B$6:$E$1862,2,FALSE)</f>
        <v>#N/A</v>
      </c>
      <c r="C258" s="19" t="e">
        <f>VLOOKUP($A258,Config!$B$6:$E$1862,3,FALSE)</f>
        <v>#N/A</v>
      </c>
      <c r="D258" s="19" t="e">
        <f>VLOOKUP($A258,Config!$B$6:$E$1862,4,FALSE)</f>
        <v>#N/A</v>
      </c>
    </row>
    <row r="259" spans="1:4" x14ac:dyDescent="0.25">
      <c r="A259" s="19">
        <v>40260</v>
      </c>
      <c r="B259" s="19" t="e">
        <f>VLOOKUP($A259,Config!$B$6:$E$1862,2,FALSE)</f>
        <v>#N/A</v>
      </c>
      <c r="C259" s="19" t="e">
        <f>VLOOKUP($A259,Config!$B$6:$E$1862,3,FALSE)</f>
        <v>#N/A</v>
      </c>
      <c r="D259" s="19" t="e">
        <f>VLOOKUP($A259,Config!$B$6:$E$1862,4,FALSE)</f>
        <v>#N/A</v>
      </c>
    </row>
    <row r="260" spans="1:4" x14ac:dyDescent="0.25">
      <c r="A260" s="19">
        <v>40261</v>
      </c>
      <c r="B260" s="19" t="e">
        <f>VLOOKUP($A260,Config!$B$6:$E$1862,2,FALSE)</f>
        <v>#N/A</v>
      </c>
      <c r="C260" s="19" t="e">
        <f>VLOOKUP($A260,Config!$B$6:$E$1862,3,FALSE)</f>
        <v>#N/A</v>
      </c>
      <c r="D260" s="19" t="e">
        <f>VLOOKUP($A260,Config!$B$6:$E$1862,4,FALSE)</f>
        <v>#N/A</v>
      </c>
    </row>
    <row r="261" spans="1:4" x14ac:dyDescent="0.25">
      <c r="A261" s="19">
        <v>40262</v>
      </c>
      <c r="B261" s="19" t="e">
        <f>VLOOKUP($A261,Config!$B$6:$E$1862,2,FALSE)</f>
        <v>#N/A</v>
      </c>
      <c r="C261" s="19" t="e">
        <f>VLOOKUP($A261,Config!$B$6:$E$1862,3,FALSE)</f>
        <v>#N/A</v>
      </c>
      <c r="D261" s="19" t="e">
        <f>VLOOKUP($A261,Config!$B$6:$E$1862,4,FALSE)</f>
        <v>#N/A</v>
      </c>
    </row>
    <row r="262" spans="1:4" x14ac:dyDescent="0.25">
      <c r="A262" s="19">
        <v>40263</v>
      </c>
      <c r="B262" s="19" t="e">
        <f>VLOOKUP($A262,Config!$B$6:$E$1862,2,FALSE)</f>
        <v>#N/A</v>
      </c>
      <c r="C262" s="19" t="e">
        <f>VLOOKUP($A262,Config!$B$6:$E$1862,3,FALSE)</f>
        <v>#N/A</v>
      </c>
      <c r="D262" s="19" t="e">
        <f>VLOOKUP($A262,Config!$B$6:$E$1862,4,FALSE)</f>
        <v>#N/A</v>
      </c>
    </row>
    <row r="263" spans="1:4" x14ac:dyDescent="0.25">
      <c r="A263" s="19">
        <v>40264</v>
      </c>
      <c r="B263" s="19" t="e">
        <f>VLOOKUP($A263,Config!$B$6:$E$1862,2,FALSE)</f>
        <v>#N/A</v>
      </c>
      <c r="C263" s="19" t="e">
        <f>VLOOKUP($A263,Config!$B$6:$E$1862,3,FALSE)</f>
        <v>#N/A</v>
      </c>
      <c r="D263" s="19" t="e">
        <f>VLOOKUP($A263,Config!$B$6:$E$1862,4,FALSE)</f>
        <v>#N/A</v>
      </c>
    </row>
    <row r="264" spans="1:4" x14ac:dyDescent="0.25">
      <c r="A264" s="19">
        <v>40265</v>
      </c>
      <c r="B264" s="19" t="e">
        <f>VLOOKUP($A264,Config!$B$6:$E$1862,2,FALSE)</f>
        <v>#N/A</v>
      </c>
      <c r="C264" s="19" t="e">
        <f>VLOOKUP($A264,Config!$B$6:$E$1862,3,FALSE)</f>
        <v>#N/A</v>
      </c>
      <c r="D264" s="19" t="e">
        <f>VLOOKUP($A264,Config!$B$6:$E$1862,4,FALSE)</f>
        <v>#N/A</v>
      </c>
    </row>
    <row r="265" spans="1:4" x14ac:dyDescent="0.25">
      <c r="A265" s="19">
        <v>40266</v>
      </c>
      <c r="B265" s="19" t="e">
        <f>VLOOKUP($A265,Config!$B$6:$E$1862,2,FALSE)</f>
        <v>#N/A</v>
      </c>
      <c r="C265" s="19" t="e">
        <f>VLOOKUP($A265,Config!$B$6:$E$1862,3,FALSE)</f>
        <v>#N/A</v>
      </c>
      <c r="D265" s="19" t="e">
        <f>VLOOKUP($A265,Config!$B$6:$E$1862,4,FALSE)</f>
        <v>#N/A</v>
      </c>
    </row>
    <row r="266" spans="1:4" x14ac:dyDescent="0.25">
      <c r="A266" s="19">
        <v>40267</v>
      </c>
      <c r="B266" s="19" t="e">
        <f>VLOOKUP($A266,Config!$B$6:$E$1862,2,FALSE)</f>
        <v>#N/A</v>
      </c>
      <c r="C266" s="19" t="e">
        <f>VLOOKUP($A266,Config!$B$6:$E$1862,3,FALSE)</f>
        <v>#N/A</v>
      </c>
      <c r="D266" s="19" t="e">
        <f>VLOOKUP($A266,Config!$B$6:$E$1862,4,FALSE)</f>
        <v>#N/A</v>
      </c>
    </row>
    <row r="267" spans="1:4" x14ac:dyDescent="0.25">
      <c r="A267" s="19">
        <v>40268</v>
      </c>
      <c r="B267" s="19" t="e">
        <f>VLOOKUP($A267,Config!$B$6:$E$1862,2,FALSE)</f>
        <v>#N/A</v>
      </c>
      <c r="C267" s="19" t="e">
        <f>VLOOKUP($A267,Config!$B$6:$E$1862,3,FALSE)</f>
        <v>#N/A</v>
      </c>
      <c r="D267" s="19" t="e">
        <f>VLOOKUP($A267,Config!$B$6:$E$1862,4,FALSE)</f>
        <v>#N/A</v>
      </c>
    </row>
    <row r="268" spans="1:4" x14ac:dyDescent="0.25">
      <c r="A268" s="19">
        <v>40269</v>
      </c>
      <c r="B268" s="19" t="e">
        <f>VLOOKUP($A268,Config!$B$6:$E$1862,2,FALSE)</f>
        <v>#N/A</v>
      </c>
      <c r="C268" s="19" t="e">
        <f>VLOOKUP($A268,Config!$B$6:$E$1862,3,FALSE)</f>
        <v>#N/A</v>
      </c>
      <c r="D268" s="19" t="e">
        <f>VLOOKUP($A268,Config!$B$6:$E$1862,4,FALSE)</f>
        <v>#N/A</v>
      </c>
    </row>
    <row r="269" spans="1:4" x14ac:dyDescent="0.25">
      <c r="A269" s="19">
        <v>40270</v>
      </c>
      <c r="B269" s="19" t="e">
        <f>VLOOKUP($A269,Config!$B$6:$E$1862,2,FALSE)</f>
        <v>#N/A</v>
      </c>
      <c r="C269" s="19" t="e">
        <f>VLOOKUP($A269,Config!$B$6:$E$1862,3,FALSE)</f>
        <v>#N/A</v>
      </c>
      <c r="D269" s="19" t="e">
        <f>VLOOKUP($A269,Config!$B$6:$E$1862,4,FALSE)</f>
        <v>#N/A</v>
      </c>
    </row>
    <row r="270" spans="1:4" x14ac:dyDescent="0.25">
      <c r="A270" s="19">
        <v>40271</v>
      </c>
      <c r="B270" s="19" t="e">
        <f>VLOOKUP($A270,Config!$B$6:$E$1862,2,FALSE)</f>
        <v>#N/A</v>
      </c>
      <c r="C270" s="19" t="e">
        <f>VLOOKUP($A270,Config!$B$6:$E$1862,3,FALSE)</f>
        <v>#N/A</v>
      </c>
      <c r="D270" s="19" t="e">
        <f>VLOOKUP($A270,Config!$B$6:$E$1862,4,FALSE)</f>
        <v>#N/A</v>
      </c>
    </row>
    <row r="271" spans="1:4" x14ac:dyDescent="0.25">
      <c r="A271" s="19">
        <v>40272</v>
      </c>
      <c r="B271" s="19" t="e">
        <f>VLOOKUP($A271,Config!$B$6:$E$1862,2,FALSE)</f>
        <v>#N/A</v>
      </c>
      <c r="C271" s="19" t="e">
        <f>VLOOKUP($A271,Config!$B$6:$E$1862,3,FALSE)</f>
        <v>#N/A</v>
      </c>
      <c r="D271" s="19" t="e">
        <f>VLOOKUP($A271,Config!$B$6:$E$1862,4,FALSE)</f>
        <v>#N/A</v>
      </c>
    </row>
    <row r="272" spans="1:4" x14ac:dyDescent="0.25">
      <c r="A272" s="19">
        <v>40273</v>
      </c>
      <c r="B272" s="19" t="e">
        <f>VLOOKUP($A272,Config!$B$6:$E$1862,2,FALSE)</f>
        <v>#N/A</v>
      </c>
      <c r="C272" s="19" t="e">
        <f>VLOOKUP($A272,Config!$B$6:$E$1862,3,FALSE)</f>
        <v>#N/A</v>
      </c>
      <c r="D272" s="19" t="e">
        <f>VLOOKUP($A272,Config!$B$6:$E$1862,4,FALSE)</f>
        <v>#N/A</v>
      </c>
    </row>
    <row r="273" spans="1:4" x14ac:dyDescent="0.25">
      <c r="A273" s="19">
        <v>40274</v>
      </c>
      <c r="B273" s="19" t="e">
        <f>VLOOKUP($A273,Config!$B$6:$E$1862,2,FALSE)</f>
        <v>#N/A</v>
      </c>
      <c r="C273" s="19" t="e">
        <f>VLOOKUP($A273,Config!$B$6:$E$1862,3,FALSE)</f>
        <v>#N/A</v>
      </c>
      <c r="D273" s="19" t="e">
        <f>VLOOKUP($A273,Config!$B$6:$E$1862,4,FALSE)</f>
        <v>#N/A</v>
      </c>
    </row>
    <row r="274" spans="1:4" x14ac:dyDescent="0.25">
      <c r="A274" s="19">
        <v>40275</v>
      </c>
      <c r="B274" s="19" t="e">
        <f>VLOOKUP($A274,Config!$B$6:$E$1862,2,FALSE)</f>
        <v>#N/A</v>
      </c>
      <c r="C274" s="19" t="e">
        <f>VLOOKUP($A274,Config!$B$6:$E$1862,3,FALSE)</f>
        <v>#N/A</v>
      </c>
      <c r="D274" s="19" t="e">
        <f>VLOOKUP($A274,Config!$B$6:$E$1862,4,FALSE)</f>
        <v>#N/A</v>
      </c>
    </row>
    <row r="275" spans="1:4" x14ac:dyDescent="0.25">
      <c r="A275" s="19">
        <v>40276</v>
      </c>
      <c r="B275" s="19" t="e">
        <f>VLOOKUP($A275,Config!$B$6:$E$1862,2,FALSE)</f>
        <v>#N/A</v>
      </c>
      <c r="C275" s="19" t="e">
        <f>VLOOKUP($A275,Config!$B$6:$E$1862,3,FALSE)</f>
        <v>#N/A</v>
      </c>
      <c r="D275" s="19" t="e">
        <f>VLOOKUP($A275,Config!$B$6:$E$1862,4,FALSE)</f>
        <v>#N/A</v>
      </c>
    </row>
    <row r="276" spans="1:4" x14ac:dyDescent="0.25">
      <c r="A276" s="19">
        <v>40277</v>
      </c>
      <c r="B276" s="19" t="e">
        <f>VLOOKUP($A276,Config!$B$6:$E$1862,2,FALSE)</f>
        <v>#N/A</v>
      </c>
      <c r="C276" s="19" t="e">
        <f>VLOOKUP($A276,Config!$B$6:$E$1862,3,FALSE)</f>
        <v>#N/A</v>
      </c>
      <c r="D276" s="19" t="e">
        <f>VLOOKUP($A276,Config!$B$6:$E$1862,4,FALSE)</f>
        <v>#N/A</v>
      </c>
    </row>
    <row r="277" spans="1:4" x14ac:dyDescent="0.25">
      <c r="A277" s="19">
        <v>40278</v>
      </c>
      <c r="B277" s="19" t="e">
        <f>VLOOKUP($A277,Config!$B$6:$E$1862,2,FALSE)</f>
        <v>#N/A</v>
      </c>
      <c r="C277" s="19" t="e">
        <f>VLOOKUP($A277,Config!$B$6:$E$1862,3,FALSE)</f>
        <v>#N/A</v>
      </c>
      <c r="D277" s="19" t="e">
        <f>VLOOKUP($A277,Config!$B$6:$E$1862,4,FALSE)</f>
        <v>#N/A</v>
      </c>
    </row>
    <row r="278" spans="1:4" x14ac:dyDescent="0.25">
      <c r="A278" s="19">
        <v>40279</v>
      </c>
      <c r="B278" s="19" t="e">
        <f>VLOOKUP($A278,Config!$B$6:$E$1862,2,FALSE)</f>
        <v>#N/A</v>
      </c>
      <c r="C278" s="19" t="e">
        <f>VLOOKUP($A278,Config!$B$6:$E$1862,3,FALSE)</f>
        <v>#N/A</v>
      </c>
      <c r="D278" s="19" t="e">
        <f>VLOOKUP($A278,Config!$B$6:$E$1862,4,FALSE)</f>
        <v>#N/A</v>
      </c>
    </row>
    <row r="279" spans="1:4" x14ac:dyDescent="0.25">
      <c r="A279" s="19">
        <v>40280</v>
      </c>
      <c r="B279" s="19" t="e">
        <f>VLOOKUP($A279,Config!$B$6:$E$1862,2,FALSE)</f>
        <v>#N/A</v>
      </c>
      <c r="C279" s="19" t="e">
        <f>VLOOKUP($A279,Config!$B$6:$E$1862,3,FALSE)</f>
        <v>#N/A</v>
      </c>
      <c r="D279" s="19" t="e">
        <f>VLOOKUP($A279,Config!$B$6:$E$1862,4,FALSE)</f>
        <v>#N/A</v>
      </c>
    </row>
    <row r="280" spans="1:4" x14ac:dyDescent="0.25">
      <c r="A280" s="19">
        <v>40281</v>
      </c>
      <c r="B280" s="19" t="e">
        <f>VLOOKUP($A280,Config!$B$6:$E$1862,2,FALSE)</f>
        <v>#N/A</v>
      </c>
      <c r="C280" s="19" t="e">
        <f>VLOOKUP($A280,Config!$B$6:$E$1862,3,FALSE)</f>
        <v>#N/A</v>
      </c>
      <c r="D280" s="19" t="e">
        <f>VLOOKUP($A280,Config!$B$6:$E$1862,4,FALSE)</f>
        <v>#N/A</v>
      </c>
    </row>
    <row r="281" spans="1:4" x14ac:dyDescent="0.25">
      <c r="A281" s="19">
        <v>40282</v>
      </c>
      <c r="B281" s="19" t="e">
        <f>VLOOKUP($A281,Config!$B$6:$E$1862,2,FALSE)</f>
        <v>#N/A</v>
      </c>
      <c r="C281" s="19" t="e">
        <f>VLOOKUP($A281,Config!$B$6:$E$1862,3,FALSE)</f>
        <v>#N/A</v>
      </c>
      <c r="D281" s="19" t="e">
        <f>VLOOKUP($A281,Config!$B$6:$E$1862,4,FALSE)</f>
        <v>#N/A</v>
      </c>
    </row>
    <row r="282" spans="1:4" x14ac:dyDescent="0.25">
      <c r="A282" s="19">
        <v>40283</v>
      </c>
      <c r="B282" s="19" t="e">
        <f>VLOOKUP($A282,Config!$B$6:$E$1862,2,FALSE)</f>
        <v>#N/A</v>
      </c>
      <c r="C282" s="19" t="e">
        <f>VLOOKUP($A282,Config!$B$6:$E$1862,3,FALSE)</f>
        <v>#N/A</v>
      </c>
      <c r="D282" s="19" t="e">
        <f>VLOOKUP($A282,Config!$B$6:$E$1862,4,FALSE)</f>
        <v>#N/A</v>
      </c>
    </row>
    <row r="283" spans="1:4" x14ac:dyDescent="0.25">
      <c r="A283" s="19">
        <v>40284</v>
      </c>
      <c r="B283" s="19" t="e">
        <f>VLOOKUP($A283,Config!$B$6:$E$1862,2,FALSE)</f>
        <v>#N/A</v>
      </c>
      <c r="C283" s="19" t="e">
        <f>VLOOKUP($A283,Config!$B$6:$E$1862,3,FALSE)</f>
        <v>#N/A</v>
      </c>
      <c r="D283" s="19" t="e">
        <f>VLOOKUP($A283,Config!$B$6:$E$1862,4,FALSE)</f>
        <v>#N/A</v>
      </c>
    </row>
    <row r="284" spans="1:4" x14ac:dyDescent="0.25">
      <c r="A284" s="19">
        <v>40285</v>
      </c>
      <c r="B284" s="19" t="e">
        <f>VLOOKUP($A284,Config!$B$6:$E$1862,2,FALSE)</f>
        <v>#N/A</v>
      </c>
      <c r="C284" s="19" t="e">
        <f>VLOOKUP($A284,Config!$B$6:$E$1862,3,FALSE)</f>
        <v>#N/A</v>
      </c>
      <c r="D284" s="19" t="e">
        <f>VLOOKUP($A284,Config!$B$6:$E$1862,4,FALSE)</f>
        <v>#N/A</v>
      </c>
    </row>
    <row r="285" spans="1:4" x14ac:dyDescent="0.25">
      <c r="A285" s="19">
        <v>40286</v>
      </c>
      <c r="B285" s="19" t="e">
        <f>VLOOKUP($A285,Config!$B$6:$E$1862,2,FALSE)</f>
        <v>#N/A</v>
      </c>
      <c r="C285" s="19" t="e">
        <f>VLOOKUP($A285,Config!$B$6:$E$1862,3,FALSE)</f>
        <v>#N/A</v>
      </c>
      <c r="D285" s="19" t="e">
        <f>VLOOKUP($A285,Config!$B$6:$E$1862,4,FALSE)</f>
        <v>#N/A</v>
      </c>
    </row>
    <row r="286" spans="1:4" x14ac:dyDescent="0.25">
      <c r="A286" s="19">
        <v>40287</v>
      </c>
      <c r="B286" s="19" t="e">
        <f>VLOOKUP($A286,Config!$B$6:$E$1862,2,FALSE)</f>
        <v>#N/A</v>
      </c>
      <c r="C286" s="19" t="e">
        <f>VLOOKUP($A286,Config!$B$6:$E$1862,3,FALSE)</f>
        <v>#N/A</v>
      </c>
      <c r="D286" s="19" t="e">
        <f>VLOOKUP($A286,Config!$B$6:$E$1862,4,FALSE)</f>
        <v>#N/A</v>
      </c>
    </row>
    <row r="287" spans="1:4" x14ac:dyDescent="0.25">
      <c r="A287" s="19">
        <v>40288</v>
      </c>
      <c r="B287" s="19" t="e">
        <f>VLOOKUP($A287,Config!$B$6:$E$1862,2,FALSE)</f>
        <v>#N/A</v>
      </c>
      <c r="C287" s="19" t="e">
        <f>VLOOKUP($A287,Config!$B$6:$E$1862,3,FALSE)</f>
        <v>#N/A</v>
      </c>
      <c r="D287" s="19" t="e">
        <f>VLOOKUP($A287,Config!$B$6:$E$1862,4,FALSE)</f>
        <v>#N/A</v>
      </c>
    </row>
    <row r="288" spans="1:4" x14ac:dyDescent="0.25">
      <c r="A288" s="19">
        <v>40289</v>
      </c>
      <c r="B288" s="19" t="e">
        <f>VLOOKUP($A288,Config!$B$6:$E$1862,2,FALSE)</f>
        <v>#N/A</v>
      </c>
      <c r="C288" s="19" t="e">
        <f>VLOOKUP($A288,Config!$B$6:$E$1862,3,FALSE)</f>
        <v>#N/A</v>
      </c>
      <c r="D288" s="19" t="e">
        <f>VLOOKUP($A288,Config!$B$6:$E$1862,4,FALSE)</f>
        <v>#N/A</v>
      </c>
    </row>
    <row r="289" spans="1:4" x14ac:dyDescent="0.25">
      <c r="A289" s="19">
        <v>40290</v>
      </c>
      <c r="B289" s="19" t="e">
        <f>VLOOKUP($A289,Config!$B$6:$E$1862,2,FALSE)</f>
        <v>#N/A</v>
      </c>
      <c r="C289" s="19" t="e">
        <f>VLOOKUP($A289,Config!$B$6:$E$1862,3,FALSE)</f>
        <v>#N/A</v>
      </c>
      <c r="D289" s="19" t="e">
        <f>VLOOKUP($A289,Config!$B$6:$E$1862,4,FALSE)</f>
        <v>#N/A</v>
      </c>
    </row>
    <row r="290" spans="1:4" x14ac:dyDescent="0.25">
      <c r="A290" s="19">
        <v>40291</v>
      </c>
      <c r="B290" s="19" t="e">
        <f>VLOOKUP($A290,Config!$B$6:$E$1862,2,FALSE)</f>
        <v>#N/A</v>
      </c>
      <c r="C290" s="19" t="e">
        <f>VLOOKUP($A290,Config!$B$6:$E$1862,3,FALSE)</f>
        <v>#N/A</v>
      </c>
      <c r="D290" s="19" t="e">
        <f>VLOOKUP($A290,Config!$B$6:$E$1862,4,FALSE)</f>
        <v>#N/A</v>
      </c>
    </row>
    <row r="291" spans="1:4" x14ac:dyDescent="0.25">
      <c r="A291" s="19">
        <v>40292</v>
      </c>
      <c r="B291" s="19" t="e">
        <f>VLOOKUP($A291,Config!$B$6:$E$1862,2,FALSE)</f>
        <v>#N/A</v>
      </c>
      <c r="C291" s="19" t="e">
        <f>VLOOKUP($A291,Config!$B$6:$E$1862,3,FALSE)</f>
        <v>#N/A</v>
      </c>
      <c r="D291" s="19" t="e">
        <f>VLOOKUP($A291,Config!$B$6:$E$1862,4,FALSE)</f>
        <v>#N/A</v>
      </c>
    </row>
    <row r="292" spans="1:4" x14ac:dyDescent="0.25">
      <c r="A292" s="19">
        <v>40293</v>
      </c>
      <c r="B292" s="19" t="e">
        <f>VLOOKUP($A292,Config!$B$6:$E$1862,2,FALSE)</f>
        <v>#N/A</v>
      </c>
      <c r="C292" s="19" t="e">
        <f>VLOOKUP($A292,Config!$B$6:$E$1862,3,FALSE)</f>
        <v>#N/A</v>
      </c>
      <c r="D292" s="19" t="e">
        <f>VLOOKUP($A292,Config!$B$6:$E$1862,4,FALSE)</f>
        <v>#N/A</v>
      </c>
    </row>
    <row r="293" spans="1:4" x14ac:dyDescent="0.25">
      <c r="A293" s="19">
        <v>40294</v>
      </c>
      <c r="B293" s="19" t="e">
        <f>VLOOKUP($A293,Config!$B$6:$E$1862,2,FALSE)</f>
        <v>#N/A</v>
      </c>
      <c r="C293" s="19" t="e">
        <f>VLOOKUP($A293,Config!$B$6:$E$1862,3,FALSE)</f>
        <v>#N/A</v>
      </c>
      <c r="D293" s="19" t="e">
        <f>VLOOKUP($A293,Config!$B$6:$E$1862,4,FALSE)</f>
        <v>#N/A</v>
      </c>
    </row>
    <row r="294" spans="1:4" x14ac:dyDescent="0.25">
      <c r="A294" s="19">
        <v>40295</v>
      </c>
      <c r="B294" s="19" t="e">
        <f>VLOOKUP($A294,Config!$B$6:$E$1862,2,FALSE)</f>
        <v>#N/A</v>
      </c>
      <c r="C294" s="19" t="e">
        <f>VLOOKUP($A294,Config!$B$6:$E$1862,3,FALSE)</f>
        <v>#N/A</v>
      </c>
      <c r="D294" s="19" t="e">
        <f>VLOOKUP($A294,Config!$B$6:$E$1862,4,FALSE)</f>
        <v>#N/A</v>
      </c>
    </row>
    <row r="295" spans="1:4" x14ac:dyDescent="0.25">
      <c r="A295" s="19">
        <v>40296</v>
      </c>
      <c r="B295" s="19" t="e">
        <f>VLOOKUP($A295,Config!$B$6:$E$1862,2,FALSE)</f>
        <v>#N/A</v>
      </c>
      <c r="C295" s="19" t="e">
        <f>VLOOKUP($A295,Config!$B$6:$E$1862,3,FALSE)</f>
        <v>#N/A</v>
      </c>
      <c r="D295" s="19" t="e">
        <f>VLOOKUP($A295,Config!$B$6:$E$1862,4,FALSE)</f>
        <v>#N/A</v>
      </c>
    </row>
    <row r="296" spans="1:4" x14ac:dyDescent="0.25">
      <c r="A296" s="19">
        <v>40297</v>
      </c>
      <c r="B296" s="19" t="e">
        <f>VLOOKUP($A296,Config!$B$6:$E$1862,2,FALSE)</f>
        <v>#N/A</v>
      </c>
      <c r="C296" s="19" t="e">
        <f>VLOOKUP($A296,Config!$B$6:$E$1862,3,FALSE)</f>
        <v>#N/A</v>
      </c>
      <c r="D296" s="19" t="e">
        <f>VLOOKUP($A296,Config!$B$6:$E$1862,4,FALSE)</f>
        <v>#N/A</v>
      </c>
    </row>
    <row r="297" spans="1:4" x14ac:dyDescent="0.25">
      <c r="A297" s="19">
        <v>40298</v>
      </c>
      <c r="B297" s="19" t="e">
        <f>VLOOKUP($A297,Config!$B$6:$E$1862,2,FALSE)</f>
        <v>#N/A</v>
      </c>
      <c r="C297" s="19" t="e">
        <f>VLOOKUP($A297,Config!$B$6:$E$1862,3,FALSE)</f>
        <v>#N/A</v>
      </c>
      <c r="D297" s="19" t="e">
        <f>VLOOKUP($A297,Config!$B$6:$E$1862,4,FALSE)</f>
        <v>#N/A</v>
      </c>
    </row>
    <row r="298" spans="1:4" x14ac:dyDescent="0.25">
      <c r="A298" s="19">
        <v>40299</v>
      </c>
      <c r="B298" s="19" t="e">
        <f>VLOOKUP($A298,Config!$B$6:$E$1862,2,FALSE)</f>
        <v>#N/A</v>
      </c>
      <c r="C298" s="19" t="e">
        <f>VLOOKUP($A298,Config!$B$6:$E$1862,3,FALSE)</f>
        <v>#N/A</v>
      </c>
      <c r="D298" s="19" t="e">
        <f>VLOOKUP($A298,Config!$B$6:$E$1862,4,FALSE)</f>
        <v>#N/A</v>
      </c>
    </row>
    <row r="299" spans="1:4" x14ac:dyDescent="0.25">
      <c r="A299" s="19">
        <v>40300</v>
      </c>
      <c r="B299" s="19" t="e">
        <f>VLOOKUP($A299,Config!$B$6:$E$1862,2,FALSE)</f>
        <v>#N/A</v>
      </c>
      <c r="C299" s="19" t="e">
        <f>VLOOKUP($A299,Config!$B$6:$E$1862,3,FALSE)</f>
        <v>#N/A</v>
      </c>
      <c r="D299" s="19" t="e">
        <f>VLOOKUP($A299,Config!$B$6:$E$1862,4,FALSE)</f>
        <v>#N/A</v>
      </c>
    </row>
    <row r="300" spans="1:4" x14ac:dyDescent="0.25">
      <c r="A300" s="19">
        <v>40301</v>
      </c>
      <c r="B300" s="19" t="e">
        <f>VLOOKUP($A300,Config!$B$6:$E$1862,2,FALSE)</f>
        <v>#N/A</v>
      </c>
      <c r="C300" s="19" t="e">
        <f>VLOOKUP($A300,Config!$B$6:$E$1862,3,FALSE)</f>
        <v>#N/A</v>
      </c>
      <c r="D300" s="19" t="e">
        <f>VLOOKUP($A300,Config!$B$6:$E$1862,4,FALSE)</f>
        <v>#N/A</v>
      </c>
    </row>
    <row r="301" spans="1:4" x14ac:dyDescent="0.25">
      <c r="A301" s="19">
        <v>40302</v>
      </c>
      <c r="B301" s="19" t="e">
        <f>VLOOKUP($A301,Config!$B$6:$E$1862,2,FALSE)</f>
        <v>#N/A</v>
      </c>
      <c r="C301" s="19" t="e">
        <f>VLOOKUP($A301,Config!$B$6:$E$1862,3,FALSE)</f>
        <v>#N/A</v>
      </c>
      <c r="D301" s="19" t="e">
        <f>VLOOKUP($A301,Config!$B$6:$E$1862,4,FALSE)</f>
        <v>#N/A</v>
      </c>
    </row>
    <row r="302" spans="1:4" x14ac:dyDescent="0.25">
      <c r="A302" s="19">
        <v>40303</v>
      </c>
      <c r="B302" s="19" t="e">
        <f>VLOOKUP($A302,Config!$B$6:$E$1862,2,FALSE)</f>
        <v>#N/A</v>
      </c>
      <c r="C302" s="19" t="e">
        <f>VLOOKUP($A302,Config!$B$6:$E$1862,3,FALSE)</f>
        <v>#N/A</v>
      </c>
      <c r="D302" s="19" t="e">
        <f>VLOOKUP($A302,Config!$B$6:$E$1862,4,FALSE)</f>
        <v>#N/A</v>
      </c>
    </row>
    <row r="303" spans="1:4" x14ac:dyDescent="0.25">
      <c r="A303" s="19">
        <v>40304</v>
      </c>
      <c r="B303" s="19" t="e">
        <f>VLOOKUP($A303,Config!$B$6:$E$1862,2,FALSE)</f>
        <v>#N/A</v>
      </c>
      <c r="C303" s="19" t="e">
        <f>VLOOKUP($A303,Config!$B$6:$E$1862,3,FALSE)</f>
        <v>#N/A</v>
      </c>
      <c r="D303" s="19" t="e">
        <f>VLOOKUP($A303,Config!$B$6:$E$1862,4,FALSE)</f>
        <v>#N/A</v>
      </c>
    </row>
    <row r="304" spans="1:4" x14ac:dyDescent="0.25">
      <c r="A304" s="19">
        <v>40305</v>
      </c>
      <c r="B304" s="19" t="e">
        <f>VLOOKUP($A304,Config!$B$6:$E$1862,2,FALSE)</f>
        <v>#N/A</v>
      </c>
      <c r="C304" s="19" t="e">
        <f>VLOOKUP($A304,Config!$B$6:$E$1862,3,FALSE)</f>
        <v>#N/A</v>
      </c>
      <c r="D304" s="19" t="e">
        <f>VLOOKUP($A304,Config!$B$6:$E$1862,4,FALSE)</f>
        <v>#N/A</v>
      </c>
    </row>
    <row r="305" spans="1:4" x14ac:dyDescent="0.25">
      <c r="A305" s="19">
        <v>40306</v>
      </c>
      <c r="B305" s="19" t="e">
        <f>VLOOKUP($A305,Config!$B$6:$E$1862,2,FALSE)</f>
        <v>#N/A</v>
      </c>
      <c r="C305" s="19" t="e">
        <f>VLOOKUP($A305,Config!$B$6:$E$1862,3,FALSE)</f>
        <v>#N/A</v>
      </c>
      <c r="D305" s="19" t="e">
        <f>VLOOKUP($A305,Config!$B$6:$E$1862,4,FALSE)</f>
        <v>#N/A</v>
      </c>
    </row>
    <row r="306" spans="1:4" x14ac:dyDescent="0.25">
      <c r="A306" s="19">
        <v>40307</v>
      </c>
      <c r="B306" s="19" t="e">
        <f>VLOOKUP($A306,Config!$B$6:$E$1862,2,FALSE)</f>
        <v>#N/A</v>
      </c>
      <c r="C306" s="19" t="e">
        <f>VLOOKUP($A306,Config!$B$6:$E$1862,3,FALSE)</f>
        <v>#N/A</v>
      </c>
      <c r="D306" s="19" t="e">
        <f>VLOOKUP($A306,Config!$B$6:$E$1862,4,FALSE)</f>
        <v>#N/A</v>
      </c>
    </row>
    <row r="307" spans="1:4" x14ac:dyDescent="0.25">
      <c r="A307" s="19">
        <v>40308</v>
      </c>
      <c r="B307" s="19" t="e">
        <f>VLOOKUP($A307,Config!$B$6:$E$1862,2,FALSE)</f>
        <v>#N/A</v>
      </c>
      <c r="C307" s="19" t="e">
        <f>VLOOKUP($A307,Config!$B$6:$E$1862,3,FALSE)</f>
        <v>#N/A</v>
      </c>
      <c r="D307" s="19" t="e">
        <f>VLOOKUP($A307,Config!$B$6:$E$1862,4,FALSE)</f>
        <v>#N/A</v>
      </c>
    </row>
    <row r="308" spans="1:4" x14ac:dyDescent="0.25">
      <c r="A308" s="19">
        <v>40309</v>
      </c>
      <c r="B308" s="19" t="e">
        <f>VLOOKUP($A308,Config!$B$6:$E$1862,2,FALSE)</f>
        <v>#N/A</v>
      </c>
      <c r="C308" s="19" t="e">
        <f>VLOOKUP($A308,Config!$B$6:$E$1862,3,FALSE)</f>
        <v>#N/A</v>
      </c>
      <c r="D308" s="19" t="e">
        <f>VLOOKUP($A308,Config!$B$6:$E$1862,4,FALSE)</f>
        <v>#N/A</v>
      </c>
    </row>
    <row r="309" spans="1:4" x14ac:dyDescent="0.25">
      <c r="A309" s="19">
        <v>40310</v>
      </c>
      <c r="B309" s="19" t="e">
        <f>VLOOKUP($A309,Config!$B$6:$E$1862,2,FALSE)</f>
        <v>#N/A</v>
      </c>
      <c r="C309" s="19" t="e">
        <f>VLOOKUP($A309,Config!$B$6:$E$1862,3,FALSE)</f>
        <v>#N/A</v>
      </c>
      <c r="D309" s="19" t="e">
        <f>VLOOKUP($A309,Config!$B$6:$E$1862,4,FALSE)</f>
        <v>#N/A</v>
      </c>
    </row>
    <row r="310" spans="1:4" x14ac:dyDescent="0.25">
      <c r="A310" s="19">
        <v>40311</v>
      </c>
      <c r="B310" s="19" t="e">
        <f>VLOOKUP($A310,Config!$B$6:$E$1862,2,FALSE)</f>
        <v>#N/A</v>
      </c>
      <c r="C310" s="19" t="e">
        <f>VLOOKUP($A310,Config!$B$6:$E$1862,3,FALSE)</f>
        <v>#N/A</v>
      </c>
      <c r="D310" s="19" t="e">
        <f>VLOOKUP($A310,Config!$B$6:$E$1862,4,FALSE)</f>
        <v>#N/A</v>
      </c>
    </row>
    <row r="311" spans="1:4" x14ac:dyDescent="0.25">
      <c r="A311" s="19">
        <v>40312</v>
      </c>
      <c r="B311" s="19" t="e">
        <f>VLOOKUP($A311,Config!$B$6:$E$1862,2,FALSE)</f>
        <v>#N/A</v>
      </c>
      <c r="C311" s="19" t="e">
        <f>VLOOKUP($A311,Config!$B$6:$E$1862,3,FALSE)</f>
        <v>#N/A</v>
      </c>
      <c r="D311" s="19" t="e">
        <f>VLOOKUP($A311,Config!$B$6:$E$1862,4,FALSE)</f>
        <v>#N/A</v>
      </c>
    </row>
    <row r="312" spans="1:4" x14ac:dyDescent="0.25">
      <c r="A312" s="19">
        <v>40313</v>
      </c>
      <c r="B312" s="19" t="e">
        <f>VLOOKUP($A312,Config!$B$6:$E$1862,2,FALSE)</f>
        <v>#N/A</v>
      </c>
      <c r="C312" s="19" t="e">
        <f>VLOOKUP($A312,Config!$B$6:$E$1862,3,FALSE)</f>
        <v>#N/A</v>
      </c>
      <c r="D312" s="19" t="e">
        <f>VLOOKUP($A312,Config!$B$6:$E$1862,4,FALSE)</f>
        <v>#N/A</v>
      </c>
    </row>
    <row r="313" spans="1:4" x14ac:dyDescent="0.25">
      <c r="A313" s="19">
        <v>40314</v>
      </c>
      <c r="B313" s="19" t="e">
        <f>VLOOKUP($A313,Config!$B$6:$E$1862,2,FALSE)</f>
        <v>#N/A</v>
      </c>
      <c r="C313" s="19" t="e">
        <f>VLOOKUP($A313,Config!$B$6:$E$1862,3,FALSE)</f>
        <v>#N/A</v>
      </c>
      <c r="D313" s="19" t="e">
        <f>VLOOKUP($A313,Config!$B$6:$E$1862,4,FALSE)</f>
        <v>#N/A</v>
      </c>
    </row>
    <row r="314" spans="1:4" x14ac:dyDescent="0.25">
      <c r="A314" s="19">
        <v>40315</v>
      </c>
      <c r="B314" s="19" t="e">
        <f>VLOOKUP($A314,Config!$B$6:$E$1862,2,FALSE)</f>
        <v>#N/A</v>
      </c>
      <c r="C314" s="19" t="e">
        <f>VLOOKUP($A314,Config!$B$6:$E$1862,3,FALSE)</f>
        <v>#N/A</v>
      </c>
      <c r="D314" s="19" t="e">
        <f>VLOOKUP($A314,Config!$B$6:$E$1862,4,FALSE)</f>
        <v>#N/A</v>
      </c>
    </row>
    <row r="315" spans="1:4" x14ac:dyDescent="0.25">
      <c r="A315" s="19">
        <v>40316</v>
      </c>
      <c r="B315" s="19" t="e">
        <f>VLOOKUP($A315,Config!$B$6:$E$1862,2,FALSE)</f>
        <v>#N/A</v>
      </c>
      <c r="C315" s="19" t="e">
        <f>VLOOKUP($A315,Config!$B$6:$E$1862,3,FALSE)</f>
        <v>#N/A</v>
      </c>
      <c r="D315" s="19" t="e">
        <f>VLOOKUP($A315,Config!$B$6:$E$1862,4,FALSE)</f>
        <v>#N/A</v>
      </c>
    </row>
    <row r="316" spans="1:4" x14ac:dyDescent="0.25">
      <c r="A316" s="19">
        <v>40317</v>
      </c>
      <c r="B316" s="19" t="e">
        <f>VLOOKUP($A316,Config!$B$6:$E$1862,2,FALSE)</f>
        <v>#N/A</v>
      </c>
      <c r="C316" s="19" t="e">
        <f>VLOOKUP($A316,Config!$B$6:$E$1862,3,FALSE)</f>
        <v>#N/A</v>
      </c>
      <c r="D316" s="19" t="e">
        <f>VLOOKUP($A316,Config!$B$6:$E$1862,4,FALSE)</f>
        <v>#N/A</v>
      </c>
    </row>
    <row r="317" spans="1:4" x14ac:dyDescent="0.25">
      <c r="A317" s="19">
        <v>40318</v>
      </c>
      <c r="B317" s="19" t="e">
        <f>VLOOKUP($A317,Config!$B$6:$E$1862,2,FALSE)</f>
        <v>#N/A</v>
      </c>
      <c r="C317" s="19" t="e">
        <f>VLOOKUP($A317,Config!$B$6:$E$1862,3,FALSE)</f>
        <v>#N/A</v>
      </c>
      <c r="D317" s="19" t="e">
        <f>VLOOKUP($A317,Config!$B$6:$E$1862,4,FALSE)</f>
        <v>#N/A</v>
      </c>
    </row>
    <row r="318" spans="1:4" x14ac:dyDescent="0.25">
      <c r="A318" s="19">
        <v>40319</v>
      </c>
      <c r="B318" s="19" t="e">
        <f>VLOOKUP($A318,Config!$B$6:$E$1862,2,FALSE)</f>
        <v>#N/A</v>
      </c>
      <c r="C318" s="19" t="e">
        <f>VLOOKUP($A318,Config!$B$6:$E$1862,3,FALSE)</f>
        <v>#N/A</v>
      </c>
      <c r="D318" s="19" t="e">
        <f>VLOOKUP($A318,Config!$B$6:$E$1862,4,FALSE)</f>
        <v>#N/A</v>
      </c>
    </row>
    <row r="319" spans="1:4" x14ac:dyDescent="0.25">
      <c r="A319" s="19">
        <v>40320</v>
      </c>
      <c r="B319" s="19" t="e">
        <f>VLOOKUP($A319,Config!$B$6:$E$1862,2,FALSE)</f>
        <v>#N/A</v>
      </c>
      <c r="C319" s="19" t="e">
        <f>VLOOKUP($A319,Config!$B$6:$E$1862,3,FALSE)</f>
        <v>#N/A</v>
      </c>
      <c r="D319" s="19" t="e">
        <f>VLOOKUP($A319,Config!$B$6:$E$1862,4,FALSE)</f>
        <v>#N/A</v>
      </c>
    </row>
    <row r="320" spans="1:4" x14ac:dyDescent="0.25">
      <c r="A320" s="19">
        <v>40321</v>
      </c>
      <c r="B320" s="19" t="e">
        <f>VLOOKUP($A320,Config!$B$6:$E$1862,2,FALSE)</f>
        <v>#N/A</v>
      </c>
      <c r="C320" s="19" t="e">
        <f>VLOOKUP($A320,Config!$B$6:$E$1862,3,FALSE)</f>
        <v>#N/A</v>
      </c>
      <c r="D320" s="19" t="e">
        <f>VLOOKUP($A320,Config!$B$6:$E$1862,4,FALSE)</f>
        <v>#N/A</v>
      </c>
    </row>
    <row r="321" spans="1:4" x14ac:dyDescent="0.25">
      <c r="A321" s="19">
        <v>40322</v>
      </c>
      <c r="B321" s="19" t="e">
        <f>VLOOKUP($A321,Config!$B$6:$E$1862,2,FALSE)</f>
        <v>#N/A</v>
      </c>
      <c r="C321" s="19" t="e">
        <f>VLOOKUP($A321,Config!$B$6:$E$1862,3,FALSE)</f>
        <v>#N/A</v>
      </c>
      <c r="D321" s="19" t="e">
        <f>VLOOKUP($A321,Config!$B$6:$E$1862,4,FALSE)</f>
        <v>#N/A</v>
      </c>
    </row>
    <row r="322" spans="1:4" x14ac:dyDescent="0.25">
      <c r="A322" s="19">
        <v>40323</v>
      </c>
      <c r="B322" s="19" t="e">
        <f>VLOOKUP($A322,Config!$B$6:$E$1862,2,FALSE)</f>
        <v>#N/A</v>
      </c>
      <c r="C322" s="19" t="e">
        <f>VLOOKUP($A322,Config!$B$6:$E$1862,3,FALSE)</f>
        <v>#N/A</v>
      </c>
      <c r="D322" s="19" t="e">
        <f>VLOOKUP($A322,Config!$B$6:$E$1862,4,FALSE)</f>
        <v>#N/A</v>
      </c>
    </row>
    <row r="323" spans="1:4" x14ac:dyDescent="0.25">
      <c r="A323" s="19">
        <v>40324</v>
      </c>
      <c r="B323" s="19" t="e">
        <f>VLOOKUP($A323,Config!$B$6:$E$1862,2,FALSE)</f>
        <v>#N/A</v>
      </c>
      <c r="C323" s="19" t="e">
        <f>VLOOKUP($A323,Config!$B$6:$E$1862,3,FALSE)</f>
        <v>#N/A</v>
      </c>
      <c r="D323" s="19" t="e">
        <f>VLOOKUP($A323,Config!$B$6:$E$1862,4,FALSE)</f>
        <v>#N/A</v>
      </c>
    </row>
    <row r="324" spans="1:4" x14ac:dyDescent="0.25">
      <c r="A324" s="19">
        <v>40325</v>
      </c>
      <c r="B324" s="19" t="e">
        <f>VLOOKUP($A324,Config!$B$6:$E$1862,2,FALSE)</f>
        <v>#N/A</v>
      </c>
      <c r="C324" s="19" t="e">
        <f>VLOOKUP($A324,Config!$B$6:$E$1862,3,FALSE)</f>
        <v>#N/A</v>
      </c>
      <c r="D324" s="19" t="e">
        <f>VLOOKUP($A324,Config!$B$6:$E$1862,4,FALSE)</f>
        <v>#N/A</v>
      </c>
    </row>
    <row r="325" spans="1:4" x14ac:dyDescent="0.25">
      <c r="A325" s="19">
        <v>40326</v>
      </c>
      <c r="B325" s="19" t="e">
        <f>VLOOKUP($A325,Config!$B$6:$E$1862,2,FALSE)</f>
        <v>#N/A</v>
      </c>
      <c r="C325" s="19" t="e">
        <f>VLOOKUP($A325,Config!$B$6:$E$1862,3,FALSE)</f>
        <v>#N/A</v>
      </c>
      <c r="D325" s="19" t="e">
        <f>VLOOKUP($A325,Config!$B$6:$E$1862,4,FALSE)</f>
        <v>#N/A</v>
      </c>
    </row>
    <row r="326" spans="1:4" x14ac:dyDescent="0.25">
      <c r="A326" s="19">
        <v>40327</v>
      </c>
      <c r="B326" s="19" t="e">
        <f>VLOOKUP($A326,Config!$B$6:$E$1862,2,FALSE)</f>
        <v>#N/A</v>
      </c>
      <c r="C326" s="19" t="e">
        <f>VLOOKUP($A326,Config!$B$6:$E$1862,3,FALSE)</f>
        <v>#N/A</v>
      </c>
      <c r="D326" s="19" t="e">
        <f>VLOOKUP($A326,Config!$B$6:$E$1862,4,FALSE)</f>
        <v>#N/A</v>
      </c>
    </row>
    <row r="327" spans="1:4" x14ac:dyDescent="0.25">
      <c r="A327" s="19">
        <v>40328</v>
      </c>
      <c r="B327" s="19" t="e">
        <f>VLOOKUP($A327,Config!$B$6:$E$1862,2,FALSE)</f>
        <v>#N/A</v>
      </c>
      <c r="C327" s="19" t="e">
        <f>VLOOKUP($A327,Config!$B$6:$E$1862,3,FALSE)</f>
        <v>#N/A</v>
      </c>
      <c r="D327" s="19" t="e">
        <f>VLOOKUP($A327,Config!$B$6:$E$1862,4,FALSE)</f>
        <v>#N/A</v>
      </c>
    </row>
    <row r="328" spans="1:4" x14ac:dyDescent="0.25">
      <c r="A328" s="19">
        <v>40329</v>
      </c>
      <c r="B328" s="19" t="e">
        <f>VLOOKUP($A328,Config!$B$6:$E$1862,2,FALSE)</f>
        <v>#N/A</v>
      </c>
      <c r="C328" s="19" t="e">
        <f>VLOOKUP($A328,Config!$B$6:$E$1862,3,FALSE)</f>
        <v>#N/A</v>
      </c>
      <c r="D328" s="19" t="e">
        <f>VLOOKUP($A328,Config!$B$6:$E$1862,4,FALSE)</f>
        <v>#N/A</v>
      </c>
    </row>
    <row r="329" spans="1:4" x14ac:dyDescent="0.25">
      <c r="A329" s="19">
        <v>40330</v>
      </c>
      <c r="B329" s="19" t="e">
        <f>VLOOKUP($A329,Config!$B$6:$E$1862,2,FALSE)</f>
        <v>#N/A</v>
      </c>
      <c r="C329" s="19" t="e">
        <f>VLOOKUP($A329,Config!$B$6:$E$1862,3,FALSE)</f>
        <v>#N/A</v>
      </c>
      <c r="D329" s="19" t="e">
        <f>VLOOKUP($A329,Config!$B$6:$E$1862,4,FALSE)</f>
        <v>#N/A</v>
      </c>
    </row>
    <row r="330" spans="1:4" x14ac:dyDescent="0.25">
      <c r="A330" s="19">
        <v>40331</v>
      </c>
      <c r="B330" s="19" t="e">
        <f>VLOOKUP($A330,Config!$B$6:$E$1862,2,FALSE)</f>
        <v>#N/A</v>
      </c>
      <c r="C330" s="19" t="e">
        <f>VLOOKUP($A330,Config!$B$6:$E$1862,3,FALSE)</f>
        <v>#N/A</v>
      </c>
      <c r="D330" s="19" t="e">
        <f>VLOOKUP($A330,Config!$B$6:$E$1862,4,FALSE)</f>
        <v>#N/A</v>
      </c>
    </row>
    <row r="331" spans="1:4" x14ac:dyDescent="0.25">
      <c r="A331" s="19">
        <v>40332</v>
      </c>
      <c r="B331" s="19" t="e">
        <f>VLOOKUP($A331,Config!$B$6:$E$1862,2,FALSE)</f>
        <v>#N/A</v>
      </c>
      <c r="C331" s="19" t="e">
        <f>VLOOKUP($A331,Config!$B$6:$E$1862,3,FALSE)</f>
        <v>#N/A</v>
      </c>
      <c r="D331" s="19" t="e">
        <f>VLOOKUP($A331,Config!$B$6:$E$1862,4,FALSE)</f>
        <v>#N/A</v>
      </c>
    </row>
    <row r="332" spans="1:4" x14ac:dyDescent="0.25">
      <c r="A332" s="19">
        <v>40333</v>
      </c>
      <c r="B332" s="19" t="e">
        <f>VLOOKUP($A332,Config!$B$6:$E$1862,2,FALSE)</f>
        <v>#N/A</v>
      </c>
      <c r="C332" s="19" t="e">
        <f>VLOOKUP($A332,Config!$B$6:$E$1862,3,FALSE)</f>
        <v>#N/A</v>
      </c>
      <c r="D332" s="19" t="e">
        <f>VLOOKUP($A332,Config!$B$6:$E$1862,4,FALSE)</f>
        <v>#N/A</v>
      </c>
    </row>
    <row r="333" spans="1:4" x14ac:dyDescent="0.25">
      <c r="A333" s="19">
        <v>40334</v>
      </c>
      <c r="B333" s="19" t="e">
        <f>VLOOKUP($A333,Config!$B$6:$E$1862,2,FALSE)</f>
        <v>#N/A</v>
      </c>
      <c r="C333" s="19" t="e">
        <f>VLOOKUP($A333,Config!$B$6:$E$1862,3,FALSE)</f>
        <v>#N/A</v>
      </c>
      <c r="D333" s="19" t="e">
        <f>VLOOKUP($A333,Config!$B$6:$E$1862,4,FALSE)</f>
        <v>#N/A</v>
      </c>
    </row>
    <row r="334" spans="1:4" x14ac:dyDescent="0.25">
      <c r="A334" s="19">
        <v>40335</v>
      </c>
      <c r="B334" s="19" t="e">
        <f>VLOOKUP($A334,Config!$B$6:$E$1862,2,FALSE)</f>
        <v>#N/A</v>
      </c>
      <c r="C334" s="19" t="e">
        <f>VLOOKUP($A334,Config!$B$6:$E$1862,3,FALSE)</f>
        <v>#N/A</v>
      </c>
      <c r="D334" s="19" t="e">
        <f>VLOOKUP($A334,Config!$B$6:$E$1862,4,FALSE)</f>
        <v>#N/A</v>
      </c>
    </row>
    <row r="335" spans="1:4" x14ac:dyDescent="0.25">
      <c r="A335" s="19">
        <v>40336</v>
      </c>
      <c r="B335" s="19" t="e">
        <f>VLOOKUP($A335,Config!$B$6:$E$1862,2,FALSE)</f>
        <v>#N/A</v>
      </c>
      <c r="C335" s="19" t="e">
        <f>VLOOKUP($A335,Config!$B$6:$E$1862,3,FALSE)</f>
        <v>#N/A</v>
      </c>
      <c r="D335" s="19" t="e">
        <f>VLOOKUP($A335,Config!$B$6:$E$1862,4,FALSE)</f>
        <v>#N/A</v>
      </c>
    </row>
    <row r="336" spans="1:4" x14ac:dyDescent="0.25">
      <c r="A336" s="19">
        <v>40337</v>
      </c>
      <c r="B336" s="19" t="e">
        <f>VLOOKUP($A336,Config!$B$6:$E$1862,2,FALSE)</f>
        <v>#N/A</v>
      </c>
      <c r="C336" s="19" t="e">
        <f>VLOOKUP($A336,Config!$B$6:$E$1862,3,FALSE)</f>
        <v>#N/A</v>
      </c>
      <c r="D336" s="19" t="e">
        <f>VLOOKUP($A336,Config!$B$6:$E$1862,4,FALSE)</f>
        <v>#N/A</v>
      </c>
    </row>
    <row r="337" spans="1:4" x14ac:dyDescent="0.25">
      <c r="A337" s="19">
        <v>40338</v>
      </c>
      <c r="B337" s="19" t="e">
        <f>VLOOKUP($A337,Config!$B$6:$E$1862,2,FALSE)</f>
        <v>#N/A</v>
      </c>
      <c r="C337" s="19" t="e">
        <f>VLOOKUP($A337,Config!$B$6:$E$1862,3,FALSE)</f>
        <v>#N/A</v>
      </c>
      <c r="D337" s="19" t="e">
        <f>VLOOKUP($A337,Config!$B$6:$E$1862,4,FALSE)</f>
        <v>#N/A</v>
      </c>
    </row>
    <row r="338" spans="1:4" x14ac:dyDescent="0.25">
      <c r="A338" s="19">
        <v>40339</v>
      </c>
      <c r="B338" s="19" t="e">
        <f>VLOOKUP($A338,Config!$B$6:$E$1862,2,FALSE)</f>
        <v>#N/A</v>
      </c>
      <c r="C338" s="19" t="e">
        <f>VLOOKUP($A338,Config!$B$6:$E$1862,3,FALSE)</f>
        <v>#N/A</v>
      </c>
      <c r="D338" s="19" t="e">
        <f>VLOOKUP($A338,Config!$B$6:$E$1862,4,FALSE)</f>
        <v>#N/A</v>
      </c>
    </row>
    <row r="339" spans="1:4" x14ac:dyDescent="0.25">
      <c r="A339" s="19">
        <v>40340</v>
      </c>
      <c r="B339" s="19" t="e">
        <f>VLOOKUP($A339,Config!$B$6:$E$1862,2,FALSE)</f>
        <v>#N/A</v>
      </c>
      <c r="C339" s="19" t="e">
        <f>VLOOKUP($A339,Config!$B$6:$E$1862,3,FALSE)</f>
        <v>#N/A</v>
      </c>
      <c r="D339" s="19" t="e">
        <f>VLOOKUP($A339,Config!$B$6:$E$1862,4,FALSE)</f>
        <v>#N/A</v>
      </c>
    </row>
    <row r="340" spans="1:4" x14ac:dyDescent="0.25">
      <c r="A340" s="19">
        <v>40341</v>
      </c>
      <c r="B340" s="19" t="e">
        <f>VLOOKUP($A340,Config!$B$6:$E$1862,2,FALSE)</f>
        <v>#N/A</v>
      </c>
      <c r="C340" s="19" t="e">
        <f>VLOOKUP($A340,Config!$B$6:$E$1862,3,FALSE)</f>
        <v>#N/A</v>
      </c>
      <c r="D340" s="19" t="e">
        <f>VLOOKUP($A340,Config!$B$6:$E$1862,4,FALSE)</f>
        <v>#N/A</v>
      </c>
    </row>
    <row r="341" spans="1:4" x14ac:dyDescent="0.25">
      <c r="A341" s="19">
        <v>40342</v>
      </c>
      <c r="B341" s="19" t="e">
        <f>VLOOKUP($A341,Config!$B$6:$E$1862,2,FALSE)</f>
        <v>#N/A</v>
      </c>
      <c r="C341" s="19" t="e">
        <f>VLOOKUP($A341,Config!$B$6:$E$1862,3,FALSE)</f>
        <v>#N/A</v>
      </c>
      <c r="D341" s="19" t="e">
        <f>VLOOKUP($A341,Config!$B$6:$E$1862,4,FALSE)</f>
        <v>#N/A</v>
      </c>
    </row>
    <row r="342" spans="1:4" x14ac:dyDescent="0.25">
      <c r="A342" s="19">
        <v>40343</v>
      </c>
      <c r="B342" s="19" t="e">
        <f>VLOOKUP($A342,Config!$B$6:$E$1862,2,FALSE)</f>
        <v>#N/A</v>
      </c>
      <c r="C342" s="19" t="e">
        <f>VLOOKUP($A342,Config!$B$6:$E$1862,3,FALSE)</f>
        <v>#N/A</v>
      </c>
      <c r="D342" s="19" t="e">
        <f>VLOOKUP($A342,Config!$B$6:$E$1862,4,FALSE)</f>
        <v>#N/A</v>
      </c>
    </row>
    <row r="343" spans="1:4" x14ac:dyDescent="0.25">
      <c r="A343" s="19">
        <v>40344</v>
      </c>
      <c r="B343" s="19" t="e">
        <f>VLOOKUP($A343,Config!$B$6:$E$1862,2,FALSE)</f>
        <v>#N/A</v>
      </c>
      <c r="C343" s="19" t="e">
        <f>VLOOKUP($A343,Config!$B$6:$E$1862,3,FALSE)</f>
        <v>#N/A</v>
      </c>
      <c r="D343" s="19" t="e">
        <f>VLOOKUP($A343,Config!$B$6:$E$1862,4,FALSE)</f>
        <v>#N/A</v>
      </c>
    </row>
    <row r="344" spans="1:4" x14ac:dyDescent="0.25">
      <c r="A344" s="19">
        <v>40345</v>
      </c>
      <c r="B344" s="19" t="e">
        <f>VLOOKUP($A344,Config!$B$6:$E$1862,2,FALSE)</f>
        <v>#N/A</v>
      </c>
      <c r="C344" s="19" t="e">
        <f>VLOOKUP($A344,Config!$B$6:$E$1862,3,FALSE)</f>
        <v>#N/A</v>
      </c>
      <c r="D344" s="19" t="e">
        <f>VLOOKUP($A344,Config!$B$6:$E$1862,4,FALSE)</f>
        <v>#N/A</v>
      </c>
    </row>
    <row r="345" spans="1:4" x14ac:dyDescent="0.25">
      <c r="A345" s="19">
        <v>40346</v>
      </c>
      <c r="B345" s="19" t="e">
        <f>VLOOKUP($A345,Config!$B$6:$E$1862,2,FALSE)</f>
        <v>#N/A</v>
      </c>
      <c r="C345" s="19" t="e">
        <f>VLOOKUP($A345,Config!$B$6:$E$1862,3,FALSE)</f>
        <v>#N/A</v>
      </c>
      <c r="D345" s="19" t="e">
        <f>VLOOKUP($A345,Config!$B$6:$E$1862,4,FALSE)</f>
        <v>#N/A</v>
      </c>
    </row>
    <row r="346" spans="1:4" x14ac:dyDescent="0.25">
      <c r="A346" s="19">
        <v>40347</v>
      </c>
      <c r="B346" s="19" t="e">
        <f>VLOOKUP($A346,Config!$B$6:$E$1862,2,FALSE)</f>
        <v>#N/A</v>
      </c>
      <c r="C346" s="19" t="e">
        <f>VLOOKUP($A346,Config!$B$6:$E$1862,3,FALSE)</f>
        <v>#N/A</v>
      </c>
      <c r="D346" s="19" t="e">
        <f>VLOOKUP($A346,Config!$B$6:$E$1862,4,FALSE)</f>
        <v>#N/A</v>
      </c>
    </row>
    <row r="347" spans="1:4" x14ac:dyDescent="0.25">
      <c r="A347" s="19">
        <v>40348</v>
      </c>
      <c r="B347" s="19" t="e">
        <f>VLOOKUP($A347,Config!$B$6:$E$1862,2,FALSE)</f>
        <v>#N/A</v>
      </c>
      <c r="C347" s="19" t="e">
        <f>VLOOKUP($A347,Config!$B$6:$E$1862,3,FALSE)</f>
        <v>#N/A</v>
      </c>
      <c r="D347" s="19" t="e">
        <f>VLOOKUP($A347,Config!$B$6:$E$1862,4,FALSE)</f>
        <v>#N/A</v>
      </c>
    </row>
    <row r="348" spans="1:4" x14ac:dyDescent="0.25">
      <c r="A348" s="19">
        <v>40349</v>
      </c>
      <c r="B348" s="19" t="e">
        <f>VLOOKUP($A348,Config!$B$6:$E$1862,2,FALSE)</f>
        <v>#N/A</v>
      </c>
      <c r="C348" s="19" t="e">
        <f>VLOOKUP($A348,Config!$B$6:$E$1862,3,FALSE)</f>
        <v>#N/A</v>
      </c>
      <c r="D348" s="19" t="e">
        <f>VLOOKUP($A348,Config!$B$6:$E$1862,4,FALSE)</f>
        <v>#N/A</v>
      </c>
    </row>
    <row r="349" spans="1:4" x14ac:dyDescent="0.25">
      <c r="A349" s="19">
        <v>40350</v>
      </c>
      <c r="B349" s="19" t="e">
        <f>VLOOKUP($A349,Config!$B$6:$E$1862,2,FALSE)</f>
        <v>#N/A</v>
      </c>
      <c r="C349" s="19" t="e">
        <f>VLOOKUP($A349,Config!$B$6:$E$1862,3,FALSE)</f>
        <v>#N/A</v>
      </c>
      <c r="D349" s="19" t="e">
        <f>VLOOKUP($A349,Config!$B$6:$E$1862,4,FALSE)</f>
        <v>#N/A</v>
      </c>
    </row>
    <row r="350" spans="1:4" x14ac:dyDescent="0.25">
      <c r="A350" s="19">
        <v>40351</v>
      </c>
      <c r="B350" s="19" t="e">
        <f>VLOOKUP($A350,Config!$B$6:$E$1862,2,FALSE)</f>
        <v>#N/A</v>
      </c>
      <c r="C350" s="19" t="e">
        <f>VLOOKUP($A350,Config!$B$6:$E$1862,3,FALSE)</f>
        <v>#N/A</v>
      </c>
      <c r="D350" s="19" t="e">
        <f>VLOOKUP($A350,Config!$B$6:$E$1862,4,FALSE)</f>
        <v>#N/A</v>
      </c>
    </row>
    <row r="351" spans="1:4" x14ac:dyDescent="0.25">
      <c r="A351" s="19">
        <v>40352</v>
      </c>
      <c r="B351" s="19" t="e">
        <f>VLOOKUP($A351,Config!$B$6:$E$1862,2,FALSE)</f>
        <v>#N/A</v>
      </c>
      <c r="C351" s="19" t="e">
        <f>VLOOKUP($A351,Config!$B$6:$E$1862,3,FALSE)</f>
        <v>#N/A</v>
      </c>
      <c r="D351" s="19" t="e">
        <f>VLOOKUP($A351,Config!$B$6:$E$1862,4,FALSE)</f>
        <v>#N/A</v>
      </c>
    </row>
    <row r="352" spans="1:4" x14ac:dyDescent="0.25">
      <c r="A352" s="19">
        <v>40353</v>
      </c>
      <c r="B352" s="19" t="e">
        <f>VLOOKUP($A352,Config!$B$6:$E$1862,2,FALSE)</f>
        <v>#N/A</v>
      </c>
      <c r="C352" s="19" t="e">
        <f>VLOOKUP($A352,Config!$B$6:$E$1862,3,FALSE)</f>
        <v>#N/A</v>
      </c>
      <c r="D352" s="19" t="e">
        <f>VLOOKUP($A352,Config!$B$6:$E$1862,4,FALSE)</f>
        <v>#N/A</v>
      </c>
    </row>
    <row r="353" spans="1:4" x14ac:dyDescent="0.25">
      <c r="A353" s="19">
        <v>40354</v>
      </c>
      <c r="B353" s="19" t="e">
        <f>VLOOKUP($A353,Config!$B$6:$E$1862,2,FALSE)</f>
        <v>#N/A</v>
      </c>
      <c r="C353" s="19" t="e">
        <f>VLOOKUP($A353,Config!$B$6:$E$1862,3,FALSE)</f>
        <v>#N/A</v>
      </c>
      <c r="D353" s="19" t="e">
        <f>VLOOKUP($A353,Config!$B$6:$E$1862,4,FALSE)</f>
        <v>#N/A</v>
      </c>
    </row>
    <row r="354" spans="1:4" x14ac:dyDescent="0.25">
      <c r="A354" s="19">
        <v>40355</v>
      </c>
      <c r="B354" s="19" t="e">
        <f>VLOOKUP($A354,Config!$B$6:$E$1862,2,FALSE)</f>
        <v>#N/A</v>
      </c>
      <c r="C354" s="19" t="e">
        <f>VLOOKUP($A354,Config!$B$6:$E$1862,3,FALSE)</f>
        <v>#N/A</v>
      </c>
      <c r="D354" s="19" t="e">
        <f>VLOOKUP($A354,Config!$B$6:$E$1862,4,FALSE)</f>
        <v>#N/A</v>
      </c>
    </row>
    <row r="355" spans="1:4" x14ac:dyDescent="0.25">
      <c r="A355" s="19">
        <v>40356</v>
      </c>
      <c r="B355" s="19" t="e">
        <f>VLOOKUP($A355,Config!$B$6:$E$1862,2,FALSE)</f>
        <v>#N/A</v>
      </c>
      <c r="C355" s="19" t="e">
        <f>VLOOKUP($A355,Config!$B$6:$E$1862,3,FALSE)</f>
        <v>#N/A</v>
      </c>
      <c r="D355" s="19" t="e">
        <f>VLOOKUP($A355,Config!$B$6:$E$1862,4,FALSE)</f>
        <v>#N/A</v>
      </c>
    </row>
    <row r="356" spans="1:4" x14ac:dyDescent="0.25">
      <c r="A356" s="19">
        <v>40357</v>
      </c>
      <c r="B356" s="19" t="e">
        <f>VLOOKUP($A356,Config!$B$6:$E$1862,2,FALSE)</f>
        <v>#N/A</v>
      </c>
      <c r="C356" s="19" t="e">
        <f>VLOOKUP($A356,Config!$B$6:$E$1862,3,FALSE)</f>
        <v>#N/A</v>
      </c>
      <c r="D356" s="19" t="e">
        <f>VLOOKUP($A356,Config!$B$6:$E$1862,4,FALSE)</f>
        <v>#N/A</v>
      </c>
    </row>
    <row r="357" spans="1:4" x14ac:dyDescent="0.25">
      <c r="A357" s="19">
        <v>40358</v>
      </c>
      <c r="B357" s="19" t="e">
        <f>VLOOKUP($A357,Config!$B$6:$E$1862,2,FALSE)</f>
        <v>#N/A</v>
      </c>
      <c r="C357" s="19" t="e">
        <f>VLOOKUP($A357,Config!$B$6:$E$1862,3,FALSE)</f>
        <v>#N/A</v>
      </c>
      <c r="D357" s="19" t="e">
        <f>VLOOKUP($A357,Config!$B$6:$E$1862,4,FALSE)</f>
        <v>#N/A</v>
      </c>
    </row>
    <row r="358" spans="1:4" x14ac:dyDescent="0.25">
      <c r="A358" s="19">
        <v>40359</v>
      </c>
      <c r="B358" s="19" t="e">
        <f>VLOOKUP($A358,Config!$B$6:$E$1862,2,FALSE)</f>
        <v>#N/A</v>
      </c>
      <c r="C358" s="19" t="e">
        <f>VLOOKUP($A358,Config!$B$6:$E$1862,3,FALSE)</f>
        <v>#N/A</v>
      </c>
      <c r="D358" s="19" t="e">
        <f>VLOOKUP($A358,Config!$B$6:$E$1862,4,FALSE)</f>
        <v>#N/A</v>
      </c>
    </row>
    <row r="359" spans="1:4" x14ac:dyDescent="0.25">
      <c r="A359" s="19">
        <v>40360</v>
      </c>
      <c r="B359" s="19" t="e">
        <f>VLOOKUP($A359,Config!$B$6:$E$1862,2,FALSE)</f>
        <v>#N/A</v>
      </c>
      <c r="C359" s="19" t="e">
        <f>VLOOKUP($A359,Config!$B$6:$E$1862,3,FALSE)</f>
        <v>#N/A</v>
      </c>
      <c r="D359" s="19" t="e">
        <f>VLOOKUP($A359,Config!$B$6:$E$1862,4,FALSE)</f>
        <v>#N/A</v>
      </c>
    </row>
    <row r="360" spans="1:4" x14ac:dyDescent="0.25">
      <c r="A360" s="19">
        <v>40361</v>
      </c>
      <c r="B360" s="19" t="e">
        <f>VLOOKUP($A360,Config!$B$6:$E$1862,2,FALSE)</f>
        <v>#N/A</v>
      </c>
      <c r="C360" s="19" t="e">
        <f>VLOOKUP($A360,Config!$B$6:$E$1862,3,FALSE)</f>
        <v>#N/A</v>
      </c>
      <c r="D360" s="19" t="e">
        <f>VLOOKUP($A360,Config!$B$6:$E$1862,4,FALSE)</f>
        <v>#N/A</v>
      </c>
    </row>
    <row r="361" spans="1:4" x14ac:dyDescent="0.25">
      <c r="A361" s="19">
        <v>40362</v>
      </c>
      <c r="B361" s="19" t="e">
        <f>VLOOKUP($A361,Config!$B$6:$E$1862,2,FALSE)</f>
        <v>#N/A</v>
      </c>
      <c r="C361" s="19" t="e">
        <f>VLOOKUP($A361,Config!$B$6:$E$1862,3,FALSE)</f>
        <v>#N/A</v>
      </c>
      <c r="D361" s="19" t="e">
        <f>VLOOKUP($A361,Config!$B$6:$E$1862,4,FALSE)</f>
        <v>#N/A</v>
      </c>
    </row>
    <row r="362" spans="1:4" x14ac:dyDescent="0.25">
      <c r="A362" s="19">
        <v>40363</v>
      </c>
      <c r="B362" s="19" t="e">
        <f>VLOOKUP($A362,Config!$B$6:$E$1862,2,FALSE)</f>
        <v>#N/A</v>
      </c>
      <c r="C362" s="19" t="e">
        <f>VLOOKUP($A362,Config!$B$6:$E$1862,3,FALSE)</f>
        <v>#N/A</v>
      </c>
      <c r="D362" s="19" t="e">
        <f>VLOOKUP($A362,Config!$B$6:$E$1862,4,FALSE)</f>
        <v>#N/A</v>
      </c>
    </row>
    <row r="363" spans="1:4" x14ac:dyDescent="0.25">
      <c r="A363" s="19">
        <v>40364</v>
      </c>
      <c r="B363" s="19" t="e">
        <f>VLOOKUP($A363,Config!$B$6:$E$1862,2,FALSE)</f>
        <v>#N/A</v>
      </c>
      <c r="C363" s="19" t="e">
        <f>VLOOKUP($A363,Config!$B$6:$E$1862,3,FALSE)</f>
        <v>#N/A</v>
      </c>
      <c r="D363" s="19" t="e">
        <f>VLOOKUP($A363,Config!$B$6:$E$1862,4,FALSE)</f>
        <v>#N/A</v>
      </c>
    </row>
    <row r="364" spans="1:4" x14ac:dyDescent="0.25">
      <c r="A364" s="19">
        <v>40365</v>
      </c>
      <c r="B364" s="19" t="e">
        <f>VLOOKUP($A364,Config!$B$6:$E$1862,2,FALSE)</f>
        <v>#N/A</v>
      </c>
      <c r="C364" s="19" t="e">
        <f>VLOOKUP($A364,Config!$B$6:$E$1862,3,FALSE)</f>
        <v>#N/A</v>
      </c>
      <c r="D364" s="19" t="e">
        <f>VLOOKUP($A364,Config!$B$6:$E$1862,4,FALSE)</f>
        <v>#N/A</v>
      </c>
    </row>
    <row r="365" spans="1:4" x14ac:dyDescent="0.25">
      <c r="A365" s="19">
        <v>40366</v>
      </c>
      <c r="B365" s="19" t="e">
        <f>VLOOKUP($A365,Config!$B$6:$E$1862,2,FALSE)</f>
        <v>#N/A</v>
      </c>
      <c r="C365" s="19" t="e">
        <f>VLOOKUP($A365,Config!$B$6:$E$1862,3,FALSE)</f>
        <v>#N/A</v>
      </c>
      <c r="D365" s="19" t="e">
        <f>VLOOKUP($A365,Config!$B$6:$E$1862,4,FALSE)</f>
        <v>#N/A</v>
      </c>
    </row>
    <row r="366" spans="1:4" x14ac:dyDescent="0.25">
      <c r="A366" s="19">
        <v>40367</v>
      </c>
      <c r="B366" s="19" t="e">
        <f>VLOOKUP($A366,Config!$B$6:$E$1862,2,FALSE)</f>
        <v>#N/A</v>
      </c>
      <c r="C366" s="19" t="e">
        <f>VLOOKUP($A366,Config!$B$6:$E$1862,3,FALSE)</f>
        <v>#N/A</v>
      </c>
      <c r="D366" s="19" t="e">
        <f>VLOOKUP($A366,Config!$B$6:$E$1862,4,FALSE)</f>
        <v>#N/A</v>
      </c>
    </row>
    <row r="367" spans="1:4" x14ac:dyDescent="0.25">
      <c r="A367" s="19">
        <v>40368</v>
      </c>
      <c r="B367" s="19" t="e">
        <f>VLOOKUP($A367,Config!$B$6:$E$1862,2,FALSE)</f>
        <v>#N/A</v>
      </c>
      <c r="C367" s="19" t="e">
        <f>VLOOKUP($A367,Config!$B$6:$E$1862,3,FALSE)</f>
        <v>#N/A</v>
      </c>
      <c r="D367" s="19" t="e">
        <f>VLOOKUP($A367,Config!$B$6:$E$1862,4,FALSE)</f>
        <v>#N/A</v>
      </c>
    </row>
    <row r="368" spans="1:4" x14ac:dyDescent="0.25">
      <c r="A368" s="19">
        <v>40369</v>
      </c>
      <c r="B368" s="19" t="e">
        <f>VLOOKUP($A368,Config!$B$6:$E$1862,2,FALSE)</f>
        <v>#N/A</v>
      </c>
      <c r="C368" s="19" t="e">
        <f>VLOOKUP($A368,Config!$B$6:$E$1862,3,FALSE)</f>
        <v>#N/A</v>
      </c>
      <c r="D368" s="19" t="e">
        <f>VLOOKUP($A368,Config!$B$6:$E$1862,4,FALSE)</f>
        <v>#N/A</v>
      </c>
    </row>
    <row r="369" spans="1:4" x14ac:dyDescent="0.25">
      <c r="A369" s="19">
        <v>40370</v>
      </c>
      <c r="B369" s="19" t="e">
        <f>VLOOKUP($A369,Config!$B$6:$E$1862,2,FALSE)</f>
        <v>#N/A</v>
      </c>
      <c r="C369" s="19" t="e">
        <f>VLOOKUP($A369,Config!$B$6:$E$1862,3,FALSE)</f>
        <v>#N/A</v>
      </c>
      <c r="D369" s="19" t="e">
        <f>VLOOKUP($A369,Config!$B$6:$E$1862,4,FALSE)</f>
        <v>#N/A</v>
      </c>
    </row>
    <row r="370" spans="1:4" x14ac:dyDescent="0.25">
      <c r="A370" s="19">
        <v>40371</v>
      </c>
      <c r="B370" s="19" t="e">
        <f>VLOOKUP($A370,Config!$B$6:$E$1862,2,FALSE)</f>
        <v>#N/A</v>
      </c>
      <c r="C370" s="19" t="e">
        <f>VLOOKUP($A370,Config!$B$6:$E$1862,3,FALSE)</f>
        <v>#N/A</v>
      </c>
      <c r="D370" s="19" t="e">
        <f>VLOOKUP($A370,Config!$B$6:$E$1862,4,FALSE)</f>
        <v>#N/A</v>
      </c>
    </row>
    <row r="371" spans="1:4" x14ac:dyDescent="0.25">
      <c r="A371" s="19">
        <v>40372</v>
      </c>
      <c r="B371" s="19" t="e">
        <f>VLOOKUP($A371,Config!$B$6:$E$1862,2,FALSE)</f>
        <v>#N/A</v>
      </c>
      <c r="C371" s="19" t="e">
        <f>VLOOKUP($A371,Config!$B$6:$E$1862,3,FALSE)</f>
        <v>#N/A</v>
      </c>
      <c r="D371" s="19" t="e">
        <f>VLOOKUP($A371,Config!$B$6:$E$1862,4,FALSE)</f>
        <v>#N/A</v>
      </c>
    </row>
    <row r="372" spans="1:4" x14ac:dyDescent="0.25">
      <c r="A372" s="19">
        <v>40373</v>
      </c>
      <c r="B372" s="19" t="e">
        <f>VLOOKUP($A372,Config!$B$6:$E$1862,2,FALSE)</f>
        <v>#N/A</v>
      </c>
      <c r="C372" s="19" t="e">
        <f>VLOOKUP($A372,Config!$B$6:$E$1862,3,FALSE)</f>
        <v>#N/A</v>
      </c>
      <c r="D372" s="19" t="e">
        <f>VLOOKUP($A372,Config!$B$6:$E$1862,4,FALSE)</f>
        <v>#N/A</v>
      </c>
    </row>
    <row r="373" spans="1:4" x14ac:dyDescent="0.25">
      <c r="A373" s="19">
        <v>40374</v>
      </c>
      <c r="B373" s="19" t="e">
        <f>VLOOKUP($A373,Config!$B$6:$E$1862,2,FALSE)</f>
        <v>#N/A</v>
      </c>
      <c r="C373" s="19" t="e">
        <f>VLOOKUP($A373,Config!$B$6:$E$1862,3,FALSE)</f>
        <v>#N/A</v>
      </c>
      <c r="D373" s="19" t="e">
        <f>VLOOKUP($A373,Config!$B$6:$E$1862,4,FALSE)</f>
        <v>#N/A</v>
      </c>
    </row>
    <row r="374" spans="1:4" x14ac:dyDescent="0.25">
      <c r="A374" s="19">
        <v>40375</v>
      </c>
      <c r="B374" s="19" t="e">
        <f>VLOOKUP($A374,Config!$B$6:$E$1862,2,FALSE)</f>
        <v>#N/A</v>
      </c>
      <c r="C374" s="19" t="e">
        <f>VLOOKUP($A374,Config!$B$6:$E$1862,3,FALSE)</f>
        <v>#N/A</v>
      </c>
      <c r="D374" s="19" t="e">
        <f>VLOOKUP($A374,Config!$B$6:$E$1862,4,FALSE)</f>
        <v>#N/A</v>
      </c>
    </row>
    <row r="375" spans="1:4" x14ac:dyDescent="0.25">
      <c r="A375" s="19">
        <v>40376</v>
      </c>
      <c r="B375" s="19" t="e">
        <f>VLOOKUP($A375,Config!$B$6:$E$1862,2,FALSE)</f>
        <v>#N/A</v>
      </c>
      <c r="C375" s="19" t="e">
        <f>VLOOKUP($A375,Config!$B$6:$E$1862,3,FALSE)</f>
        <v>#N/A</v>
      </c>
      <c r="D375" s="19" t="e">
        <f>VLOOKUP($A375,Config!$B$6:$E$1862,4,FALSE)</f>
        <v>#N/A</v>
      </c>
    </row>
    <row r="376" spans="1:4" x14ac:dyDescent="0.25">
      <c r="A376" s="19">
        <v>40377</v>
      </c>
      <c r="B376" s="19" t="e">
        <f>VLOOKUP($A376,Config!$B$6:$E$1862,2,FALSE)</f>
        <v>#N/A</v>
      </c>
      <c r="C376" s="19" t="e">
        <f>VLOOKUP($A376,Config!$B$6:$E$1862,3,FALSE)</f>
        <v>#N/A</v>
      </c>
      <c r="D376" s="19" t="e">
        <f>VLOOKUP($A376,Config!$B$6:$E$1862,4,FALSE)</f>
        <v>#N/A</v>
      </c>
    </row>
    <row r="377" spans="1:4" x14ac:dyDescent="0.25">
      <c r="A377" s="19">
        <v>40378</v>
      </c>
      <c r="B377" s="19" t="e">
        <f>VLOOKUP($A377,Config!$B$6:$E$1862,2,FALSE)</f>
        <v>#N/A</v>
      </c>
      <c r="C377" s="19" t="e">
        <f>VLOOKUP($A377,Config!$B$6:$E$1862,3,FALSE)</f>
        <v>#N/A</v>
      </c>
      <c r="D377" s="19" t="e">
        <f>VLOOKUP($A377,Config!$B$6:$E$1862,4,FALSE)</f>
        <v>#N/A</v>
      </c>
    </row>
    <row r="378" spans="1:4" x14ac:dyDescent="0.25">
      <c r="A378" s="19">
        <v>40379</v>
      </c>
      <c r="B378" s="19" t="e">
        <f>VLOOKUP($A378,Config!$B$6:$E$1862,2,FALSE)</f>
        <v>#N/A</v>
      </c>
      <c r="C378" s="19" t="e">
        <f>VLOOKUP($A378,Config!$B$6:$E$1862,3,FALSE)</f>
        <v>#N/A</v>
      </c>
      <c r="D378" s="19" t="e">
        <f>VLOOKUP($A378,Config!$B$6:$E$1862,4,FALSE)</f>
        <v>#N/A</v>
      </c>
    </row>
    <row r="379" spans="1:4" x14ac:dyDescent="0.25">
      <c r="A379" s="19">
        <v>40380</v>
      </c>
      <c r="B379" s="19" t="e">
        <f>VLOOKUP($A379,Config!$B$6:$E$1862,2,FALSE)</f>
        <v>#N/A</v>
      </c>
      <c r="C379" s="19" t="e">
        <f>VLOOKUP($A379,Config!$B$6:$E$1862,3,FALSE)</f>
        <v>#N/A</v>
      </c>
      <c r="D379" s="19" t="e">
        <f>VLOOKUP($A379,Config!$B$6:$E$1862,4,FALSE)</f>
        <v>#N/A</v>
      </c>
    </row>
    <row r="380" spans="1:4" x14ac:dyDescent="0.25">
      <c r="A380" s="19">
        <v>40381</v>
      </c>
      <c r="B380" s="19" t="e">
        <f>VLOOKUP($A380,Config!$B$6:$E$1862,2,FALSE)</f>
        <v>#N/A</v>
      </c>
      <c r="C380" s="19" t="e">
        <f>VLOOKUP($A380,Config!$B$6:$E$1862,3,FALSE)</f>
        <v>#N/A</v>
      </c>
      <c r="D380" s="19" t="e">
        <f>VLOOKUP($A380,Config!$B$6:$E$1862,4,FALSE)</f>
        <v>#N/A</v>
      </c>
    </row>
    <row r="381" spans="1:4" x14ac:dyDescent="0.25">
      <c r="A381" s="19">
        <v>40382</v>
      </c>
      <c r="B381" s="19" t="e">
        <f>VLOOKUP($A381,Config!$B$6:$E$1862,2,FALSE)</f>
        <v>#N/A</v>
      </c>
      <c r="C381" s="19" t="e">
        <f>VLOOKUP($A381,Config!$B$6:$E$1862,3,FALSE)</f>
        <v>#N/A</v>
      </c>
      <c r="D381" s="19" t="e">
        <f>VLOOKUP($A381,Config!$B$6:$E$1862,4,FALSE)</f>
        <v>#N/A</v>
      </c>
    </row>
    <row r="382" spans="1:4" x14ac:dyDescent="0.25">
      <c r="A382" s="19">
        <v>40383</v>
      </c>
      <c r="B382" s="19" t="e">
        <f>VLOOKUP($A382,Config!$B$6:$E$1862,2,FALSE)</f>
        <v>#N/A</v>
      </c>
      <c r="C382" s="19" t="e">
        <f>VLOOKUP($A382,Config!$B$6:$E$1862,3,FALSE)</f>
        <v>#N/A</v>
      </c>
      <c r="D382" s="19" t="e">
        <f>VLOOKUP($A382,Config!$B$6:$E$1862,4,FALSE)</f>
        <v>#N/A</v>
      </c>
    </row>
    <row r="383" spans="1:4" x14ac:dyDescent="0.25">
      <c r="A383" s="19">
        <v>40384</v>
      </c>
      <c r="B383" s="19" t="e">
        <f>VLOOKUP($A383,Config!$B$6:$E$1862,2,FALSE)</f>
        <v>#N/A</v>
      </c>
      <c r="C383" s="19" t="e">
        <f>VLOOKUP($A383,Config!$B$6:$E$1862,3,FALSE)</f>
        <v>#N/A</v>
      </c>
      <c r="D383" s="19" t="e">
        <f>VLOOKUP($A383,Config!$B$6:$E$1862,4,FALSE)</f>
        <v>#N/A</v>
      </c>
    </row>
    <row r="384" spans="1:4" x14ac:dyDescent="0.25">
      <c r="A384" s="19">
        <v>40385</v>
      </c>
      <c r="B384" s="19" t="e">
        <f>VLOOKUP($A384,Config!$B$6:$E$1862,2,FALSE)</f>
        <v>#N/A</v>
      </c>
      <c r="C384" s="19" t="e">
        <f>VLOOKUP($A384,Config!$B$6:$E$1862,3,FALSE)</f>
        <v>#N/A</v>
      </c>
      <c r="D384" s="19" t="e">
        <f>VLOOKUP($A384,Config!$B$6:$E$1862,4,FALSE)</f>
        <v>#N/A</v>
      </c>
    </row>
    <row r="385" spans="1:4" x14ac:dyDescent="0.25">
      <c r="A385" s="19">
        <v>40386</v>
      </c>
      <c r="B385" s="19" t="e">
        <f>VLOOKUP($A385,Config!$B$6:$E$1862,2,FALSE)</f>
        <v>#N/A</v>
      </c>
      <c r="C385" s="19" t="e">
        <f>VLOOKUP($A385,Config!$B$6:$E$1862,3,FALSE)</f>
        <v>#N/A</v>
      </c>
      <c r="D385" s="19" t="e">
        <f>VLOOKUP($A385,Config!$B$6:$E$1862,4,FALSE)</f>
        <v>#N/A</v>
      </c>
    </row>
    <row r="386" spans="1:4" x14ac:dyDescent="0.25">
      <c r="A386" s="19">
        <v>40387</v>
      </c>
      <c r="B386" s="19" t="e">
        <f>VLOOKUP($A386,Config!$B$6:$E$1862,2,FALSE)</f>
        <v>#N/A</v>
      </c>
      <c r="C386" s="19" t="e">
        <f>VLOOKUP($A386,Config!$B$6:$E$1862,3,FALSE)</f>
        <v>#N/A</v>
      </c>
      <c r="D386" s="19" t="e">
        <f>VLOOKUP($A386,Config!$B$6:$E$1862,4,FALSE)</f>
        <v>#N/A</v>
      </c>
    </row>
    <row r="387" spans="1:4" x14ac:dyDescent="0.25">
      <c r="A387" s="19">
        <v>40388</v>
      </c>
      <c r="B387" s="19" t="e">
        <f>VLOOKUP($A387,Config!$B$6:$E$1862,2,FALSE)</f>
        <v>#N/A</v>
      </c>
      <c r="C387" s="19" t="e">
        <f>VLOOKUP($A387,Config!$B$6:$E$1862,3,FALSE)</f>
        <v>#N/A</v>
      </c>
      <c r="D387" s="19" t="e">
        <f>VLOOKUP($A387,Config!$B$6:$E$1862,4,FALSE)</f>
        <v>#N/A</v>
      </c>
    </row>
    <row r="388" spans="1:4" x14ac:dyDescent="0.25">
      <c r="A388" s="19">
        <v>40389</v>
      </c>
      <c r="B388" s="19" t="e">
        <f>VLOOKUP($A388,Config!$B$6:$E$1862,2,FALSE)</f>
        <v>#N/A</v>
      </c>
      <c r="C388" s="19" t="e">
        <f>VLOOKUP($A388,Config!$B$6:$E$1862,3,FALSE)</f>
        <v>#N/A</v>
      </c>
      <c r="D388" s="19" t="e">
        <f>VLOOKUP($A388,Config!$B$6:$E$1862,4,FALSE)</f>
        <v>#N/A</v>
      </c>
    </row>
    <row r="389" spans="1:4" x14ac:dyDescent="0.25">
      <c r="A389" s="19">
        <v>40390</v>
      </c>
      <c r="B389" s="19" t="e">
        <f>VLOOKUP($A389,Config!$B$6:$E$1862,2,FALSE)</f>
        <v>#N/A</v>
      </c>
      <c r="C389" s="19" t="e">
        <f>VLOOKUP($A389,Config!$B$6:$E$1862,3,FALSE)</f>
        <v>#N/A</v>
      </c>
      <c r="D389" s="19" t="e">
        <f>VLOOKUP($A389,Config!$B$6:$E$1862,4,FALSE)</f>
        <v>#N/A</v>
      </c>
    </row>
    <row r="390" spans="1:4" x14ac:dyDescent="0.25">
      <c r="A390" s="19">
        <v>40391</v>
      </c>
      <c r="B390" s="19" t="e">
        <f>VLOOKUP($A390,Config!$B$6:$E$1862,2,FALSE)</f>
        <v>#N/A</v>
      </c>
      <c r="C390" s="19" t="e">
        <f>VLOOKUP($A390,Config!$B$6:$E$1862,3,FALSE)</f>
        <v>#N/A</v>
      </c>
      <c r="D390" s="19" t="e">
        <f>VLOOKUP($A390,Config!$B$6:$E$1862,4,FALSE)</f>
        <v>#N/A</v>
      </c>
    </row>
    <row r="391" spans="1:4" x14ac:dyDescent="0.25">
      <c r="A391" s="19">
        <v>40392</v>
      </c>
      <c r="B391" s="19" t="e">
        <f>VLOOKUP($A391,Config!$B$6:$E$1862,2,FALSE)</f>
        <v>#N/A</v>
      </c>
      <c r="C391" s="19" t="e">
        <f>VLOOKUP($A391,Config!$B$6:$E$1862,3,FALSE)</f>
        <v>#N/A</v>
      </c>
      <c r="D391" s="19" t="e">
        <f>VLOOKUP($A391,Config!$B$6:$E$1862,4,FALSE)</f>
        <v>#N/A</v>
      </c>
    </row>
    <row r="392" spans="1:4" x14ac:dyDescent="0.25">
      <c r="A392" s="19">
        <v>40393</v>
      </c>
      <c r="B392" s="19" t="e">
        <f>VLOOKUP($A392,Config!$B$6:$E$1862,2,FALSE)</f>
        <v>#N/A</v>
      </c>
      <c r="C392" s="19" t="e">
        <f>VLOOKUP($A392,Config!$B$6:$E$1862,3,FALSE)</f>
        <v>#N/A</v>
      </c>
      <c r="D392" s="19" t="e">
        <f>VLOOKUP($A392,Config!$B$6:$E$1862,4,FALSE)</f>
        <v>#N/A</v>
      </c>
    </row>
    <row r="393" spans="1:4" x14ac:dyDescent="0.25">
      <c r="A393" s="19">
        <v>40394</v>
      </c>
      <c r="B393" s="19" t="e">
        <f>VLOOKUP($A393,Config!$B$6:$E$1862,2,FALSE)</f>
        <v>#N/A</v>
      </c>
      <c r="C393" s="19" t="e">
        <f>VLOOKUP($A393,Config!$B$6:$E$1862,3,FALSE)</f>
        <v>#N/A</v>
      </c>
      <c r="D393" s="19" t="e">
        <f>VLOOKUP($A393,Config!$B$6:$E$1862,4,FALSE)</f>
        <v>#N/A</v>
      </c>
    </row>
    <row r="394" spans="1:4" x14ac:dyDescent="0.25">
      <c r="A394" s="19">
        <v>40395</v>
      </c>
      <c r="B394" s="19" t="e">
        <f>VLOOKUP($A394,Config!$B$6:$E$1862,2,FALSE)</f>
        <v>#N/A</v>
      </c>
      <c r="C394" s="19" t="e">
        <f>VLOOKUP($A394,Config!$B$6:$E$1862,3,FALSE)</f>
        <v>#N/A</v>
      </c>
      <c r="D394" s="19" t="e">
        <f>VLOOKUP($A394,Config!$B$6:$E$1862,4,FALSE)</f>
        <v>#N/A</v>
      </c>
    </row>
    <row r="395" spans="1:4" x14ac:dyDescent="0.25">
      <c r="A395" s="19">
        <v>40396</v>
      </c>
      <c r="B395" s="19" t="e">
        <f>VLOOKUP($A395,Config!$B$6:$E$1862,2,FALSE)</f>
        <v>#N/A</v>
      </c>
      <c r="C395" s="19" t="e">
        <f>VLOOKUP($A395,Config!$B$6:$E$1862,3,FALSE)</f>
        <v>#N/A</v>
      </c>
      <c r="D395" s="19" t="e">
        <f>VLOOKUP($A395,Config!$B$6:$E$1862,4,FALSE)</f>
        <v>#N/A</v>
      </c>
    </row>
    <row r="396" spans="1:4" x14ac:dyDescent="0.25">
      <c r="A396" s="19">
        <v>40397</v>
      </c>
      <c r="B396" s="19" t="e">
        <f>VLOOKUP($A396,Config!$B$6:$E$1862,2,FALSE)</f>
        <v>#N/A</v>
      </c>
      <c r="C396" s="19" t="e">
        <f>VLOOKUP($A396,Config!$B$6:$E$1862,3,FALSE)</f>
        <v>#N/A</v>
      </c>
      <c r="D396" s="19" t="e">
        <f>VLOOKUP($A396,Config!$B$6:$E$1862,4,FALSE)</f>
        <v>#N/A</v>
      </c>
    </row>
    <row r="397" spans="1:4" x14ac:dyDescent="0.25">
      <c r="A397" s="19">
        <v>40398</v>
      </c>
      <c r="B397" s="19" t="e">
        <f>VLOOKUP($A397,Config!$B$6:$E$1862,2,FALSE)</f>
        <v>#N/A</v>
      </c>
      <c r="C397" s="19" t="e">
        <f>VLOOKUP($A397,Config!$B$6:$E$1862,3,FALSE)</f>
        <v>#N/A</v>
      </c>
      <c r="D397" s="19" t="e">
        <f>VLOOKUP($A397,Config!$B$6:$E$1862,4,FALSE)</f>
        <v>#N/A</v>
      </c>
    </row>
    <row r="398" spans="1:4" x14ac:dyDescent="0.25">
      <c r="A398" s="19">
        <v>40399</v>
      </c>
      <c r="B398" s="19" t="e">
        <f>VLOOKUP($A398,Config!$B$6:$E$1862,2,FALSE)</f>
        <v>#N/A</v>
      </c>
      <c r="C398" s="19" t="e">
        <f>VLOOKUP($A398,Config!$B$6:$E$1862,3,FALSE)</f>
        <v>#N/A</v>
      </c>
      <c r="D398" s="19" t="e">
        <f>VLOOKUP($A398,Config!$B$6:$E$1862,4,FALSE)</f>
        <v>#N/A</v>
      </c>
    </row>
    <row r="399" spans="1:4" x14ac:dyDescent="0.25">
      <c r="A399" s="19">
        <v>40400</v>
      </c>
      <c r="B399" s="19" t="e">
        <f>VLOOKUP($A399,Config!$B$6:$E$1862,2,FALSE)</f>
        <v>#N/A</v>
      </c>
      <c r="C399" s="19" t="e">
        <f>VLOOKUP($A399,Config!$B$6:$E$1862,3,FALSE)</f>
        <v>#N/A</v>
      </c>
      <c r="D399" s="19" t="e">
        <f>VLOOKUP($A399,Config!$B$6:$E$1862,4,FALSE)</f>
        <v>#N/A</v>
      </c>
    </row>
    <row r="400" spans="1:4" x14ac:dyDescent="0.25">
      <c r="A400" s="19">
        <v>40401</v>
      </c>
      <c r="B400" s="19" t="e">
        <f>VLOOKUP($A400,Config!$B$6:$E$1862,2,FALSE)</f>
        <v>#N/A</v>
      </c>
      <c r="C400" s="19" t="e">
        <f>VLOOKUP($A400,Config!$B$6:$E$1862,3,FALSE)</f>
        <v>#N/A</v>
      </c>
      <c r="D400" s="19" t="e">
        <f>VLOOKUP($A400,Config!$B$6:$E$1862,4,FALSE)</f>
        <v>#N/A</v>
      </c>
    </row>
    <row r="401" spans="1:4" x14ac:dyDescent="0.25">
      <c r="A401" s="19">
        <v>40402</v>
      </c>
      <c r="B401" s="19" t="e">
        <f>VLOOKUP($A401,Config!$B$6:$E$1862,2,FALSE)</f>
        <v>#N/A</v>
      </c>
      <c r="C401" s="19" t="e">
        <f>VLOOKUP($A401,Config!$B$6:$E$1862,3,FALSE)</f>
        <v>#N/A</v>
      </c>
      <c r="D401" s="19" t="e">
        <f>VLOOKUP($A401,Config!$B$6:$E$1862,4,FALSE)</f>
        <v>#N/A</v>
      </c>
    </row>
    <row r="402" spans="1:4" x14ac:dyDescent="0.25">
      <c r="A402" s="19">
        <v>40403</v>
      </c>
      <c r="B402" s="19" t="e">
        <f>VLOOKUP($A402,Config!$B$6:$E$1862,2,FALSE)</f>
        <v>#N/A</v>
      </c>
      <c r="C402" s="19" t="e">
        <f>VLOOKUP($A402,Config!$B$6:$E$1862,3,FALSE)</f>
        <v>#N/A</v>
      </c>
      <c r="D402" s="19" t="e">
        <f>VLOOKUP($A402,Config!$B$6:$E$1862,4,FALSE)</f>
        <v>#N/A</v>
      </c>
    </row>
    <row r="403" spans="1:4" x14ac:dyDescent="0.25">
      <c r="A403" s="19">
        <v>40404</v>
      </c>
      <c r="B403" s="19" t="e">
        <f>VLOOKUP($A403,Config!$B$6:$E$1862,2,FALSE)</f>
        <v>#N/A</v>
      </c>
      <c r="C403" s="19" t="e">
        <f>VLOOKUP($A403,Config!$B$6:$E$1862,3,FALSE)</f>
        <v>#N/A</v>
      </c>
      <c r="D403" s="19" t="e">
        <f>VLOOKUP($A403,Config!$B$6:$E$1862,4,FALSE)</f>
        <v>#N/A</v>
      </c>
    </row>
    <row r="404" spans="1:4" x14ac:dyDescent="0.25">
      <c r="A404" s="19">
        <v>40405</v>
      </c>
      <c r="B404" s="19" t="e">
        <f>VLOOKUP($A404,Config!$B$6:$E$1862,2,FALSE)</f>
        <v>#N/A</v>
      </c>
      <c r="C404" s="19" t="e">
        <f>VLOOKUP($A404,Config!$B$6:$E$1862,3,FALSE)</f>
        <v>#N/A</v>
      </c>
      <c r="D404" s="19" t="e">
        <f>VLOOKUP($A404,Config!$B$6:$E$1862,4,FALSE)</f>
        <v>#N/A</v>
      </c>
    </row>
    <row r="405" spans="1:4" x14ac:dyDescent="0.25">
      <c r="A405" s="19">
        <v>40406</v>
      </c>
      <c r="B405" s="19" t="e">
        <f>VLOOKUP($A405,Config!$B$6:$E$1862,2,FALSE)</f>
        <v>#N/A</v>
      </c>
      <c r="C405" s="19" t="e">
        <f>VLOOKUP($A405,Config!$B$6:$E$1862,3,FALSE)</f>
        <v>#N/A</v>
      </c>
      <c r="D405" s="19" t="e">
        <f>VLOOKUP($A405,Config!$B$6:$E$1862,4,FALSE)</f>
        <v>#N/A</v>
      </c>
    </row>
    <row r="406" spans="1:4" x14ac:dyDescent="0.25">
      <c r="A406" s="19">
        <v>40407</v>
      </c>
      <c r="B406" s="19" t="e">
        <f>VLOOKUP($A406,Config!$B$6:$E$1862,2,FALSE)</f>
        <v>#N/A</v>
      </c>
      <c r="C406" s="19" t="e">
        <f>VLOOKUP($A406,Config!$B$6:$E$1862,3,FALSE)</f>
        <v>#N/A</v>
      </c>
      <c r="D406" s="19" t="e">
        <f>VLOOKUP($A406,Config!$B$6:$E$1862,4,FALSE)</f>
        <v>#N/A</v>
      </c>
    </row>
    <row r="407" spans="1:4" x14ac:dyDescent="0.25">
      <c r="A407" s="19">
        <v>40408</v>
      </c>
      <c r="B407" s="19" t="e">
        <f>VLOOKUP($A407,Config!$B$6:$E$1862,2,FALSE)</f>
        <v>#N/A</v>
      </c>
      <c r="C407" s="19" t="e">
        <f>VLOOKUP($A407,Config!$B$6:$E$1862,3,FALSE)</f>
        <v>#N/A</v>
      </c>
      <c r="D407" s="19" t="e">
        <f>VLOOKUP($A407,Config!$B$6:$E$1862,4,FALSE)</f>
        <v>#N/A</v>
      </c>
    </row>
    <row r="408" spans="1:4" x14ac:dyDescent="0.25">
      <c r="A408" s="19">
        <v>40409</v>
      </c>
      <c r="B408" s="19" t="e">
        <f>VLOOKUP($A408,Config!$B$6:$E$1862,2,FALSE)</f>
        <v>#N/A</v>
      </c>
      <c r="C408" s="19" t="e">
        <f>VLOOKUP($A408,Config!$B$6:$E$1862,3,FALSE)</f>
        <v>#N/A</v>
      </c>
      <c r="D408" s="19" t="e">
        <f>VLOOKUP($A408,Config!$B$6:$E$1862,4,FALSE)</f>
        <v>#N/A</v>
      </c>
    </row>
    <row r="409" spans="1:4" x14ac:dyDescent="0.25">
      <c r="A409" s="19">
        <v>40410</v>
      </c>
      <c r="B409" s="19" t="e">
        <f>VLOOKUP($A409,Config!$B$6:$E$1862,2,FALSE)</f>
        <v>#N/A</v>
      </c>
      <c r="C409" s="19" t="e">
        <f>VLOOKUP($A409,Config!$B$6:$E$1862,3,FALSE)</f>
        <v>#N/A</v>
      </c>
      <c r="D409" s="19" t="e">
        <f>VLOOKUP($A409,Config!$B$6:$E$1862,4,FALSE)</f>
        <v>#N/A</v>
      </c>
    </row>
    <row r="410" spans="1:4" x14ac:dyDescent="0.25">
      <c r="A410" s="19">
        <v>40411</v>
      </c>
      <c r="B410" s="19" t="e">
        <f>VLOOKUP($A410,Config!$B$6:$E$1862,2,FALSE)</f>
        <v>#N/A</v>
      </c>
      <c r="C410" s="19" t="e">
        <f>VLOOKUP($A410,Config!$B$6:$E$1862,3,FALSE)</f>
        <v>#N/A</v>
      </c>
      <c r="D410" s="19" t="e">
        <f>VLOOKUP($A410,Config!$B$6:$E$1862,4,FALSE)</f>
        <v>#N/A</v>
      </c>
    </row>
    <row r="411" spans="1:4" x14ac:dyDescent="0.25">
      <c r="A411" s="19">
        <v>40412</v>
      </c>
      <c r="B411" s="19" t="e">
        <f>VLOOKUP($A411,Config!$B$6:$E$1862,2,FALSE)</f>
        <v>#N/A</v>
      </c>
      <c r="C411" s="19" t="e">
        <f>VLOOKUP($A411,Config!$B$6:$E$1862,3,FALSE)</f>
        <v>#N/A</v>
      </c>
      <c r="D411" s="19" t="e">
        <f>VLOOKUP($A411,Config!$B$6:$E$1862,4,FALSE)</f>
        <v>#N/A</v>
      </c>
    </row>
    <row r="412" spans="1:4" x14ac:dyDescent="0.25">
      <c r="A412" s="19">
        <v>40413</v>
      </c>
      <c r="B412" s="19" t="e">
        <f>VLOOKUP($A412,Config!$B$6:$E$1862,2,FALSE)</f>
        <v>#N/A</v>
      </c>
      <c r="C412" s="19" t="e">
        <f>VLOOKUP($A412,Config!$B$6:$E$1862,3,FALSE)</f>
        <v>#N/A</v>
      </c>
      <c r="D412" s="19" t="e">
        <f>VLOOKUP($A412,Config!$B$6:$E$1862,4,FALSE)</f>
        <v>#N/A</v>
      </c>
    </row>
    <row r="413" spans="1:4" x14ac:dyDescent="0.25">
      <c r="A413" s="19">
        <v>40414</v>
      </c>
      <c r="B413" s="19" t="e">
        <f>VLOOKUP($A413,Config!$B$6:$E$1862,2,FALSE)</f>
        <v>#N/A</v>
      </c>
      <c r="C413" s="19" t="e">
        <f>VLOOKUP($A413,Config!$B$6:$E$1862,3,FALSE)</f>
        <v>#N/A</v>
      </c>
      <c r="D413" s="19" t="e">
        <f>VLOOKUP($A413,Config!$B$6:$E$1862,4,FALSE)</f>
        <v>#N/A</v>
      </c>
    </row>
    <row r="414" spans="1:4" x14ac:dyDescent="0.25">
      <c r="A414" s="19">
        <v>40416</v>
      </c>
      <c r="B414" s="19" t="e">
        <f>VLOOKUP($A414,Config!$B$6:$E$1862,2,FALSE)</f>
        <v>#N/A</v>
      </c>
      <c r="C414" s="19" t="e">
        <f>VLOOKUP($A414,Config!$B$6:$E$1862,3,FALSE)</f>
        <v>#N/A</v>
      </c>
      <c r="D414" s="19" t="e">
        <f>VLOOKUP($A414,Config!$B$6:$E$1862,4,FALSE)</f>
        <v>#N/A</v>
      </c>
    </row>
    <row r="415" spans="1:4" x14ac:dyDescent="0.25">
      <c r="A415" s="19">
        <v>40417</v>
      </c>
      <c r="B415" s="19" t="e">
        <f>VLOOKUP($A415,Config!$B$6:$E$1862,2,FALSE)</f>
        <v>#N/A</v>
      </c>
      <c r="C415" s="19" t="e">
        <f>VLOOKUP($A415,Config!$B$6:$E$1862,3,FALSE)</f>
        <v>#N/A</v>
      </c>
      <c r="D415" s="19" t="e">
        <f>VLOOKUP($A415,Config!$B$6:$E$1862,4,FALSE)</f>
        <v>#N/A</v>
      </c>
    </row>
    <row r="416" spans="1:4" x14ac:dyDescent="0.25">
      <c r="A416" s="19">
        <v>40418</v>
      </c>
      <c r="B416" s="19" t="e">
        <f>VLOOKUP($A416,Config!$B$6:$E$1862,2,FALSE)</f>
        <v>#N/A</v>
      </c>
      <c r="C416" s="19" t="e">
        <f>VLOOKUP($A416,Config!$B$6:$E$1862,3,FALSE)</f>
        <v>#N/A</v>
      </c>
      <c r="D416" s="19" t="e">
        <f>VLOOKUP($A416,Config!$B$6:$E$1862,4,FALSE)</f>
        <v>#N/A</v>
      </c>
    </row>
    <row r="417" spans="1:4" x14ac:dyDescent="0.25">
      <c r="A417" s="19">
        <v>40419</v>
      </c>
      <c r="B417" s="19" t="e">
        <f>VLOOKUP($A417,Config!$B$6:$E$1862,2,FALSE)</f>
        <v>#N/A</v>
      </c>
      <c r="C417" s="19" t="e">
        <f>VLOOKUP($A417,Config!$B$6:$E$1862,3,FALSE)</f>
        <v>#N/A</v>
      </c>
      <c r="D417" s="19" t="e">
        <f>VLOOKUP($A417,Config!$B$6:$E$1862,4,FALSE)</f>
        <v>#N/A</v>
      </c>
    </row>
    <row r="418" spans="1:4" x14ac:dyDescent="0.25">
      <c r="A418" s="19">
        <v>40420</v>
      </c>
      <c r="B418" s="19" t="e">
        <f>VLOOKUP($A418,Config!$B$6:$E$1862,2,FALSE)</f>
        <v>#N/A</v>
      </c>
      <c r="C418" s="19" t="e">
        <f>VLOOKUP($A418,Config!$B$6:$E$1862,3,FALSE)</f>
        <v>#N/A</v>
      </c>
      <c r="D418" s="19" t="e">
        <f>VLOOKUP($A418,Config!$B$6:$E$1862,4,FALSE)</f>
        <v>#N/A</v>
      </c>
    </row>
    <row r="419" spans="1:4" x14ac:dyDescent="0.25">
      <c r="A419" s="19">
        <v>40421</v>
      </c>
      <c r="B419" s="19" t="e">
        <f>VLOOKUP($A419,Config!$B$6:$E$1862,2,FALSE)</f>
        <v>#N/A</v>
      </c>
      <c r="C419" s="19" t="e">
        <f>VLOOKUP($A419,Config!$B$6:$E$1862,3,FALSE)</f>
        <v>#N/A</v>
      </c>
      <c r="D419" s="19" t="e">
        <f>VLOOKUP($A419,Config!$B$6:$E$1862,4,FALSE)</f>
        <v>#N/A</v>
      </c>
    </row>
    <row r="420" spans="1:4" x14ac:dyDescent="0.25">
      <c r="A420" s="19">
        <v>40422</v>
      </c>
      <c r="B420" s="19" t="e">
        <f>VLOOKUP($A420,Config!$B$6:$E$1862,2,FALSE)</f>
        <v>#N/A</v>
      </c>
      <c r="C420" s="19" t="e">
        <f>VLOOKUP($A420,Config!$B$6:$E$1862,3,FALSE)</f>
        <v>#N/A</v>
      </c>
      <c r="D420" s="19" t="e">
        <f>VLOOKUP($A420,Config!$B$6:$E$1862,4,FALSE)</f>
        <v>#N/A</v>
      </c>
    </row>
    <row r="421" spans="1:4" x14ac:dyDescent="0.25">
      <c r="A421" s="19">
        <v>40423</v>
      </c>
      <c r="B421" s="19" t="e">
        <f>VLOOKUP($A421,Config!$B$6:$E$1862,2,FALSE)</f>
        <v>#N/A</v>
      </c>
      <c r="C421" s="19" t="e">
        <f>VLOOKUP($A421,Config!$B$6:$E$1862,3,FALSE)</f>
        <v>#N/A</v>
      </c>
      <c r="D421" s="19" t="e">
        <f>VLOOKUP($A421,Config!$B$6:$E$1862,4,FALSE)</f>
        <v>#N/A</v>
      </c>
    </row>
    <row r="422" spans="1:4" x14ac:dyDescent="0.25">
      <c r="A422" s="19">
        <v>40424</v>
      </c>
      <c r="B422" s="19" t="e">
        <f>VLOOKUP($A422,Config!$B$6:$E$1862,2,FALSE)</f>
        <v>#N/A</v>
      </c>
      <c r="C422" s="19" t="e">
        <f>VLOOKUP($A422,Config!$B$6:$E$1862,3,FALSE)</f>
        <v>#N/A</v>
      </c>
      <c r="D422" s="19" t="e">
        <f>VLOOKUP($A422,Config!$B$6:$E$1862,4,FALSE)</f>
        <v>#N/A</v>
      </c>
    </row>
    <row r="423" spans="1:4" x14ac:dyDescent="0.25">
      <c r="A423" s="19">
        <v>40425</v>
      </c>
      <c r="B423" s="19" t="e">
        <f>VLOOKUP($A423,Config!$B$6:$E$1862,2,FALSE)</f>
        <v>#N/A</v>
      </c>
      <c r="C423" s="19" t="e">
        <f>VLOOKUP($A423,Config!$B$6:$E$1862,3,FALSE)</f>
        <v>#N/A</v>
      </c>
      <c r="D423" s="19" t="e">
        <f>VLOOKUP($A423,Config!$B$6:$E$1862,4,FALSE)</f>
        <v>#N/A</v>
      </c>
    </row>
    <row r="424" spans="1:4" x14ac:dyDescent="0.25">
      <c r="A424" s="19">
        <v>40428</v>
      </c>
      <c r="B424" s="19" t="e">
        <f>VLOOKUP($A424,Config!$B$6:$E$1862,2,FALSE)</f>
        <v>#N/A</v>
      </c>
      <c r="C424" s="19" t="e">
        <f>VLOOKUP($A424,Config!$B$6:$E$1862,3,FALSE)</f>
        <v>#N/A</v>
      </c>
      <c r="D424" s="19" t="e">
        <f>VLOOKUP($A424,Config!$B$6:$E$1862,4,FALSE)</f>
        <v>#N/A</v>
      </c>
    </row>
    <row r="425" spans="1:4" x14ac:dyDescent="0.25">
      <c r="A425" s="19">
        <v>40429</v>
      </c>
      <c r="B425" s="19" t="e">
        <f>VLOOKUP($A425,Config!$B$6:$E$1862,2,FALSE)</f>
        <v>#N/A</v>
      </c>
      <c r="C425" s="19" t="e">
        <f>VLOOKUP($A425,Config!$B$6:$E$1862,3,FALSE)</f>
        <v>#N/A</v>
      </c>
      <c r="D425" s="19" t="e">
        <f>VLOOKUP($A425,Config!$B$6:$E$1862,4,FALSE)</f>
        <v>#N/A</v>
      </c>
    </row>
    <row r="426" spans="1:4" x14ac:dyDescent="0.25">
      <c r="A426" s="19">
        <v>40430</v>
      </c>
      <c r="B426" s="19" t="e">
        <f>VLOOKUP($A426,Config!$B$6:$E$1862,2,FALSE)</f>
        <v>#N/A</v>
      </c>
      <c r="C426" s="19" t="e">
        <f>VLOOKUP($A426,Config!$B$6:$E$1862,3,FALSE)</f>
        <v>#N/A</v>
      </c>
      <c r="D426" s="19" t="e">
        <f>VLOOKUP($A426,Config!$B$6:$E$1862,4,FALSE)</f>
        <v>#N/A</v>
      </c>
    </row>
    <row r="427" spans="1:4" x14ac:dyDescent="0.25">
      <c r="A427" s="19">
        <v>40431</v>
      </c>
      <c r="B427" s="19" t="e">
        <f>VLOOKUP($A427,Config!$B$6:$E$1862,2,FALSE)</f>
        <v>#N/A</v>
      </c>
      <c r="C427" s="19" t="e">
        <f>VLOOKUP($A427,Config!$B$6:$E$1862,3,FALSE)</f>
        <v>#N/A</v>
      </c>
      <c r="D427" s="19" t="e">
        <f>VLOOKUP($A427,Config!$B$6:$E$1862,4,FALSE)</f>
        <v>#N/A</v>
      </c>
    </row>
    <row r="428" spans="1:4" x14ac:dyDescent="0.25">
      <c r="A428" s="19">
        <v>40432</v>
      </c>
      <c r="B428" s="19" t="e">
        <f>VLOOKUP($A428,Config!$B$6:$E$1862,2,FALSE)</f>
        <v>#N/A</v>
      </c>
      <c r="C428" s="19" t="e">
        <f>VLOOKUP($A428,Config!$B$6:$E$1862,3,FALSE)</f>
        <v>#N/A</v>
      </c>
      <c r="D428" s="19" t="e">
        <f>VLOOKUP($A428,Config!$B$6:$E$1862,4,FALSE)</f>
        <v>#N/A</v>
      </c>
    </row>
    <row r="429" spans="1:4" x14ac:dyDescent="0.25">
      <c r="A429" s="19">
        <v>40433</v>
      </c>
      <c r="B429" s="19" t="e">
        <f>VLOOKUP($A429,Config!$B$6:$E$1862,2,FALSE)</f>
        <v>#N/A</v>
      </c>
      <c r="C429" s="19" t="e">
        <f>VLOOKUP($A429,Config!$B$6:$E$1862,3,FALSE)</f>
        <v>#N/A</v>
      </c>
      <c r="D429" s="19" t="e">
        <f>VLOOKUP($A429,Config!$B$6:$E$1862,4,FALSE)</f>
        <v>#N/A</v>
      </c>
    </row>
    <row r="430" spans="1:4" x14ac:dyDescent="0.25">
      <c r="A430" s="19">
        <v>40434</v>
      </c>
      <c r="B430" s="19" t="e">
        <f>VLOOKUP($A430,Config!$B$6:$E$1862,2,FALSE)</f>
        <v>#N/A</v>
      </c>
      <c r="C430" s="19" t="e">
        <f>VLOOKUP($A430,Config!$B$6:$E$1862,3,FALSE)</f>
        <v>#N/A</v>
      </c>
      <c r="D430" s="19" t="e">
        <f>VLOOKUP($A430,Config!$B$6:$E$1862,4,FALSE)</f>
        <v>#N/A</v>
      </c>
    </row>
    <row r="431" spans="1:4" x14ac:dyDescent="0.25">
      <c r="A431" s="19">
        <v>40435</v>
      </c>
      <c r="B431" s="19" t="e">
        <f>VLOOKUP($A431,Config!$B$6:$E$1862,2,FALSE)</f>
        <v>#N/A</v>
      </c>
      <c r="C431" s="19" t="e">
        <f>VLOOKUP($A431,Config!$B$6:$E$1862,3,FALSE)</f>
        <v>#N/A</v>
      </c>
      <c r="D431" s="19" t="e">
        <f>VLOOKUP($A431,Config!$B$6:$E$1862,4,FALSE)</f>
        <v>#N/A</v>
      </c>
    </row>
    <row r="432" spans="1:4" x14ac:dyDescent="0.25">
      <c r="A432" s="19">
        <v>40436</v>
      </c>
      <c r="B432" s="19" t="e">
        <f>VLOOKUP($A432,Config!$B$6:$E$1862,2,FALSE)</f>
        <v>#N/A</v>
      </c>
      <c r="C432" s="19" t="e">
        <f>VLOOKUP($A432,Config!$B$6:$E$1862,3,FALSE)</f>
        <v>#N/A</v>
      </c>
      <c r="D432" s="19" t="e">
        <f>VLOOKUP($A432,Config!$B$6:$E$1862,4,FALSE)</f>
        <v>#N/A</v>
      </c>
    </row>
    <row r="433" spans="1:4" x14ac:dyDescent="0.25">
      <c r="A433" s="19">
        <v>40437</v>
      </c>
      <c r="B433" s="19" t="e">
        <f>VLOOKUP($A433,Config!$B$6:$E$1862,2,FALSE)</f>
        <v>#N/A</v>
      </c>
      <c r="C433" s="19" t="e">
        <f>VLOOKUP($A433,Config!$B$6:$E$1862,3,FALSE)</f>
        <v>#N/A</v>
      </c>
      <c r="D433" s="19" t="e">
        <f>VLOOKUP($A433,Config!$B$6:$E$1862,4,FALSE)</f>
        <v>#N/A</v>
      </c>
    </row>
    <row r="434" spans="1:4" x14ac:dyDescent="0.25">
      <c r="A434" s="19">
        <v>40438</v>
      </c>
      <c r="B434" s="19" t="e">
        <f>VLOOKUP($A434,Config!$B$6:$E$1862,2,FALSE)</f>
        <v>#N/A</v>
      </c>
      <c r="C434" s="19" t="e">
        <f>VLOOKUP($A434,Config!$B$6:$E$1862,3,FALSE)</f>
        <v>#N/A</v>
      </c>
      <c r="D434" s="19" t="e">
        <f>VLOOKUP($A434,Config!$B$6:$E$1862,4,FALSE)</f>
        <v>#N/A</v>
      </c>
    </row>
    <row r="435" spans="1:4" x14ac:dyDescent="0.25">
      <c r="A435" s="19">
        <v>40439</v>
      </c>
      <c r="B435" s="19" t="e">
        <f>VLOOKUP($A435,Config!$B$6:$E$1862,2,FALSE)</f>
        <v>#N/A</v>
      </c>
      <c r="C435" s="19" t="e">
        <f>VLOOKUP($A435,Config!$B$6:$E$1862,3,FALSE)</f>
        <v>#N/A</v>
      </c>
      <c r="D435" s="19" t="e">
        <f>VLOOKUP($A435,Config!$B$6:$E$1862,4,FALSE)</f>
        <v>#N/A</v>
      </c>
    </row>
    <row r="436" spans="1:4" x14ac:dyDescent="0.25">
      <c r="A436" s="19">
        <v>40442</v>
      </c>
      <c r="B436" s="19" t="e">
        <f>VLOOKUP($A436,Config!$B$6:$E$1862,2,FALSE)</f>
        <v>#N/A</v>
      </c>
      <c r="C436" s="19" t="e">
        <f>VLOOKUP($A436,Config!$B$6:$E$1862,3,FALSE)</f>
        <v>#N/A</v>
      </c>
      <c r="D436" s="19" t="e">
        <f>VLOOKUP($A436,Config!$B$6:$E$1862,4,FALSE)</f>
        <v>#N/A</v>
      </c>
    </row>
    <row r="437" spans="1:4" x14ac:dyDescent="0.25">
      <c r="A437" s="19">
        <v>40447</v>
      </c>
      <c r="B437" s="19" t="e">
        <f>VLOOKUP($A437,Config!$B$6:$E$1862,2,FALSE)</f>
        <v>#N/A</v>
      </c>
      <c r="C437" s="19" t="e">
        <f>VLOOKUP($A437,Config!$B$6:$E$1862,3,FALSE)</f>
        <v>#N/A</v>
      </c>
      <c r="D437" s="19" t="e">
        <f>VLOOKUP($A437,Config!$B$6:$E$1862,4,FALSE)</f>
        <v>#N/A</v>
      </c>
    </row>
    <row r="438" spans="1:4" x14ac:dyDescent="0.25">
      <c r="A438" s="19">
        <v>40448</v>
      </c>
      <c r="B438" s="19" t="e">
        <f>VLOOKUP($A438,Config!$B$6:$E$1862,2,FALSE)</f>
        <v>#N/A</v>
      </c>
      <c r="C438" s="19" t="e">
        <f>VLOOKUP($A438,Config!$B$6:$E$1862,3,FALSE)</f>
        <v>#N/A</v>
      </c>
      <c r="D438" s="19" t="e">
        <f>VLOOKUP($A438,Config!$B$6:$E$1862,4,FALSE)</f>
        <v>#N/A</v>
      </c>
    </row>
    <row r="439" spans="1:4" x14ac:dyDescent="0.25">
      <c r="A439" s="19">
        <v>40449</v>
      </c>
      <c r="B439" s="19" t="e">
        <f>VLOOKUP($A439,Config!$B$6:$E$1862,2,FALSE)</f>
        <v>#N/A</v>
      </c>
      <c r="C439" s="19" t="e">
        <f>VLOOKUP($A439,Config!$B$6:$E$1862,3,FALSE)</f>
        <v>#N/A</v>
      </c>
      <c r="D439" s="19" t="e">
        <f>VLOOKUP($A439,Config!$B$6:$E$1862,4,FALSE)</f>
        <v>#N/A</v>
      </c>
    </row>
    <row r="440" spans="1:4" x14ac:dyDescent="0.25">
      <c r="A440" s="19">
        <v>40450</v>
      </c>
      <c r="B440" s="19" t="e">
        <f>VLOOKUP($A440,Config!$B$6:$E$1862,2,FALSE)</f>
        <v>#N/A</v>
      </c>
      <c r="C440" s="19" t="e">
        <f>VLOOKUP($A440,Config!$B$6:$E$1862,3,FALSE)</f>
        <v>#N/A</v>
      </c>
      <c r="D440" s="19" t="e">
        <f>VLOOKUP($A440,Config!$B$6:$E$1862,4,FALSE)</f>
        <v>#N/A</v>
      </c>
    </row>
    <row r="441" spans="1:4" x14ac:dyDescent="0.25">
      <c r="A441" s="19">
        <v>40451</v>
      </c>
      <c r="B441" s="19" t="e">
        <f>VLOOKUP($A441,Config!$B$6:$E$1862,2,FALSE)</f>
        <v>#N/A</v>
      </c>
      <c r="C441" s="19" t="e">
        <f>VLOOKUP($A441,Config!$B$6:$E$1862,3,FALSE)</f>
        <v>#N/A</v>
      </c>
      <c r="D441" s="19" t="e">
        <f>VLOOKUP($A441,Config!$B$6:$E$1862,4,FALSE)</f>
        <v>#N/A</v>
      </c>
    </row>
    <row r="442" spans="1:4" x14ac:dyDescent="0.25">
      <c r="A442" s="19">
        <v>40452</v>
      </c>
      <c r="B442" s="19" t="e">
        <f>VLOOKUP($A442,Config!$B$6:$E$1862,2,FALSE)</f>
        <v>#N/A</v>
      </c>
      <c r="C442" s="19" t="e">
        <f>VLOOKUP($A442,Config!$B$6:$E$1862,3,FALSE)</f>
        <v>#N/A</v>
      </c>
      <c r="D442" s="19" t="e">
        <f>VLOOKUP($A442,Config!$B$6:$E$1862,4,FALSE)</f>
        <v>#N/A</v>
      </c>
    </row>
    <row r="443" spans="1:4" x14ac:dyDescent="0.25">
      <c r="A443" s="19">
        <v>40453</v>
      </c>
      <c r="B443" s="19" t="e">
        <f>VLOOKUP($A443,Config!$B$6:$E$1862,2,FALSE)</f>
        <v>#N/A</v>
      </c>
      <c r="C443" s="19" t="e">
        <f>VLOOKUP($A443,Config!$B$6:$E$1862,3,FALSE)</f>
        <v>#N/A</v>
      </c>
      <c r="D443" s="19" t="e">
        <f>VLOOKUP($A443,Config!$B$6:$E$1862,4,FALSE)</f>
        <v>#N/A</v>
      </c>
    </row>
    <row r="444" spans="1:4" x14ac:dyDescent="0.25">
      <c r="A444" s="19">
        <v>40454</v>
      </c>
      <c r="B444" s="19" t="e">
        <f>VLOOKUP($A444,Config!$B$6:$E$1862,2,FALSE)</f>
        <v>#N/A</v>
      </c>
      <c r="C444" s="19" t="e">
        <f>VLOOKUP($A444,Config!$B$6:$E$1862,3,FALSE)</f>
        <v>#N/A</v>
      </c>
      <c r="D444" s="19" t="e">
        <f>VLOOKUP($A444,Config!$B$6:$E$1862,4,FALSE)</f>
        <v>#N/A</v>
      </c>
    </row>
    <row r="445" spans="1:4" x14ac:dyDescent="0.25">
      <c r="A445" s="19">
        <v>40455</v>
      </c>
      <c r="B445" s="19" t="e">
        <f>VLOOKUP($A445,Config!$B$6:$E$1862,2,FALSE)</f>
        <v>#N/A</v>
      </c>
      <c r="C445" s="19" t="e">
        <f>VLOOKUP($A445,Config!$B$6:$E$1862,3,FALSE)</f>
        <v>#N/A</v>
      </c>
      <c r="D445" s="19" t="e">
        <f>VLOOKUP($A445,Config!$B$6:$E$1862,4,FALSE)</f>
        <v>#N/A</v>
      </c>
    </row>
    <row r="446" spans="1:4" x14ac:dyDescent="0.25">
      <c r="A446" s="19">
        <v>40456</v>
      </c>
      <c r="B446" s="19" t="e">
        <f>VLOOKUP($A446,Config!$B$6:$E$1862,2,FALSE)</f>
        <v>#N/A</v>
      </c>
      <c r="C446" s="19" t="e">
        <f>VLOOKUP($A446,Config!$B$6:$E$1862,3,FALSE)</f>
        <v>#N/A</v>
      </c>
      <c r="D446" s="19" t="e">
        <f>VLOOKUP($A446,Config!$B$6:$E$1862,4,FALSE)</f>
        <v>#N/A</v>
      </c>
    </row>
    <row r="447" spans="1:4" x14ac:dyDescent="0.25">
      <c r="A447" s="19">
        <v>40457</v>
      </c>
      <c r="B447" s="19" t="e">
        <f>VLOOKUP($A447,Config!$B$6:$E$1862,2,FALSE)</f>
        <v>#N/A</v>
      </c>
      <c r="C447" s="19" t="e">
        <f>VLOOKUP($A447,Config!$B$6:$E$1862,3,FALSE)</f>
        <v>#N/A</v>
      </c>
      <c r="D447" s="19" t="e">
        <f>VLOOKUP($A447,Config!$B$6:$E$1862,4,FALSE)</f>
        <v>#N/A</v>
      </c>
    </row>
    <row r="448" spans="1:4" x14ac:dyDescent="0.25">
      <c r="A448" s="19">
        <v>40458</v>
      </c>
      <c r="B448" s="19" t="e">
        <f>VLOOKUP($A448,Config!$B$6:$E$1862,2,FALSE)</f>
        <v>#N/A</v>
      </c>
      <c r="C448" s="19" t="e">
        <f>VLOOKUP($A448,Config!$B$6:$E$1862,3,FALSE)</f>
        <v>#N/A</v>
      </c>
      <c r="D448" s="19" t="e">
        <f>VLOOKUP($A448,Config!$B$6:$E$1862,4,FALSE)</f>
        <v>#N/A</v>
      </c>
    </row>
    <row r="449" spans="1:4" x14ac:dyDescent="0.25">
      <c r="A449" s="19">
        <v>40459</v>
      </c>
      <c r="B449" s="19" t="e">
        <f>VLOOKUP($A449,Config!$B$6:$E$1862,2,FALSE)</f>
        <v>#N/A</v>
      </c>
      <c r="C449" s="19" t="e">
        <f>VLOOKUP($A449,Config!$B$6:$E$1862,3,FALSE)</f>
        <v>#N/A</v>
      </c>
      <c r="D449" s="19" t="e">
        <f>VLOOKUP($A449,Config!$B$6:$E$1862,4,FALSE)</f>
        <v>#N/A</v>
      </c>
    </row>
    <row r="450" spans="1:4" x14ac:dyDescent="0.25">
      <c r="A450" s="19">
        <v>40460</v>
      </c>
      <c r="B450" s="19" t="e">
        <f>VLOOKUP($A450,Config!$B$6:$E$1862,2,FALSE)</f>
        <v>#N/A</v>
      </c>
      <c r="C450" s="19" t="e">
        <f>VLOOKUP($A450,Config!$B$6:$E$1862,3,FALSE)</f>
        <v>#N/A</v>
      </c>
      <c r="D450" s="19" t="e">
        <f>VLOOKUP($A450,Config!$B$6:$E$1862,4,FALSE)</f>
        <v>#N/A</v>
      </c>
    </row>
    <row r="451" spans="1:4" x14ac:dyDescent="0.25">
      <c r="A451" s="19">
        <v>40461</v>
      </c>
      <c r="B451" s="19" t="e">
        <f>VLOOKUP($A451,Config!$B$6:$E$1862,2,FALSE)</f>
        <v>#N/A</v>
      </c>
      <c r="C451" s="19" t="e">
        <f>VLOOKUP($A451,Config!$B$6:$E$1862,3,FALSE)</f>
        <v>#N/A</v>
      </c>
      <c r="D451" s="19" t="e">
        <f>VLOOKUP($A451,Config!$B$6:$E$1862,4,FALSE)</f>
        <v>#N/A</v>
      </c>
    </row>
    <row r="452" spans="1:4" x14ac:dyDescent="0.25">
      <c r="A452" s="19">
        <v>40462</v>
      </c>
      <c r="B452" s="19" t="e">
        <f>VLOOKUP($A452,Config!$B$6:$E$1862,2,FALSE)</f>
        <v>#N/A</v>
      </c>
      <c r="C452" s="19" t="e">
        <f>VLOOKUP($A452,Config!$B$6:$E$1862,3,FALSE)</f>
        <v>#N/A</v>
      </c>
      <c r="D452" s="19" t="e">
        <f>VLOOKUP($A452,Config!$B$6:$E$1862,4,FALSE)</f>
        <v>#N/A</v>
      </c>
    </row>
    <row r="453" spans="1:4" x14ac:dyDescent="0.25">
      <c r="A453" s="19">
        <v>40463</v>
      </c>
      <c r="B453" s="19" t="e">
        <f>VLOOKUP($A453,Config!$B$6:$E$1862,2,FALSE)</f>
        <v>#N/A</v>
      </c>
      <c r="C453" s="19" t="e">
        <f>VLOOKUP($A453,Config!$B$6:$E$1862,3,FALSE)</f>
        <v>#N/A</v>
      </c>
      <c r="D453" s="19" t="e">
        <f>VLOOKUP($A453,Config!$B$6:$E$1862,4,FALSE)</f>
        <v>#N/A</v>
      </c>
    </row>
    <row r="454" spans="1:4" x14ac:dyDescent="0.25">
      <c r="A454" s="19">
        <v>40464</v>
      </c>
      <c r="B454" s="19" t="e">
        <f>VLOOKUP($A454,Config!$B$6:$E$1862,2,FALSE)</f>
        <v>#N/A</v>
      </c>
      <c r="C454" s="19" t="e">
        <f>VLOOKUP($A454,Config!$B$6:$E$1862,3,FALSE)</f>
        <v>#N/A</v>
      </c>
      <c r="D454" s="19" t="e">
        <f>VLOOKUP($A454,Config!$B$6:$E$1862,4,FALSE)</f>
        <v>#N/A</v>
      </c>
    </row>
    <row r="455" spans="1:4" x14ac:dyDescent="0.25">
      <c r="A455" s="19">
        <v>40465</v>
      </c>
      <c r="B455" s="19" t="e">
        <f>VLOOKUP($A455,Config!$B$6:$E$1862,2,FALSE)</f>
        <v>#N/A</v>
      </c>
      <c r="C455" s="19" t="e">
        <f>VLOOKUP($A455,Config!$B$6:$E$1862,3,FALSE)</f>
        <v>#N/A</v>
      </c>
      <c r="D455" s="19" t="e">
        <f>VLOOKUP($A455,Config!$B$6:$E$1862,4,FALSE)</f>
        <v>#N/A</v>
      </c>
    </row>
    <row r="456" spans="1:4" x14ac:dyDescent="0.25">
      <c r="A456" s="19">
        <v>40466</v>
      </c>
      <c r="B456" s="19" t="e">
        <f>VLOOKUP($A456,Config!$B$6:$E$1862,2,FALSE)</f>
        <v>#N/A</v>
      </c>
      <c r="C456" s="19" t="e">
        <f>VLOOKUP($A456,Config!$B$6:$E$1862,3,FALSE)</f>
        <v>#N/A</v>
      </c>
      <c r="D456" s="19" t="e">
        <f>VLOOKUP($A456,Config!$B$6:$E$1862,4,FALSE)</f>
        <v>#N/A</v>
      </c>
    </row>
    <row r="457" spans="1:4" x14ac:dyDescent="0.25">
      <c r="A457" s="19">
        <v>40467</v>
      </c>
      <c r="B457" s="19" t="e">
        <f>VLOOKUP($A457,Config!$B$6:$E$1862,2,FALSE)</f>
        <v>#N/A</v>
      </c>
      <c r="C457" s="19" t="e">
        <f>VLOOKUP($A457,Config!$B$6:$E$1862,3,FALSE)</f>
        <v>#N/A</v>
      </c>
      <c r="D457" s="19" t="e">
        <f>VLOOKUP($A457,Config!$B$6:$E$1862,4,FALSE)</f>
        <v>#N/A</v>
      </c>
    </row>
    <row r="458" spans="1:4" x14ac:dyDescent="0.25">
      <c r="A458" s="19">
        <v>40468</v>
      </c>
      <c r="B458" s="19" t="e">
        <f>VLOOKUP($A458,Config!$B$6:$E$1862,2,FALSE)</f>
        <v>#N/A</v>
      </c>
      <c r="C458" s="19" t="e">
        <f>VLOOKUP($A458,Config!$B$6:$E$1862,3,FALSE)</f>
        <v>#N/A</v>
      </c>
      <c r="D458" s="19" t="e">
        <f>VLOOKUP($A458,Config!$B$6:$E$1862,4,FALSE)</f>
        <v>#N/A</v>
      </c>
    </row>
    <row r="459" spans="1:4" x14ac:dyDescent="0.25">
      <c r="A459" s="19">
        <v>40469</v>
      </c>
      <c r="B459" s="19" t="e">
        <f>VLOOKUP($A459,Config!$B$6:$E$1862,2,FALSE)</f>
        <v>#N/A</v>
      </c>
      <c r="C459" s="19" t="e">
        <f>VLOOKUP($A459,Config!$B$6:$E$1862,3,FALSE)</f>
        <v>#N/A</v>
      </c>
      <c r="D459" s="19" t="e">
        <f>VLOOKUP($A459,Config!$B$6:$E$1862,4,FALSE)</f>
        <v>#N/A</v>
      </c>
    </row>
    <row r="460" spans="1:4" x14ac:dyDescent="0.25">
      <c r="A460" s="19">
        <v>40470</v>
      </c>
      <c r="B460" s="19" t="e">
        <f>VLOOKUP($A460,Config!$B$6:$E$1862,2,FALSE)</f>
        <v>#N/A</v>
      </c>
      <c r="C460" s="19" t="e">
        <f>VLOOKUP($A460,Config!$B$6:$E$1862,3,FALSE)</f>
        <v>#N/A</v>
      </c>
      <c r="D460" s="19" t="e">
        <f>VLOOKUP($A460,Config!$B$6:$E$1862,4,FALSE)</f>
        <v>#N/A</v>
      </c>
    </row>
    <row r="461" spans="1:4" x14ac:dyDescent="0.25">
      <c r="A461" s="19">
        <v>40471</v>
      </c>
      <c r="B461" s="19" t="e">
        <f>VLOOKUP($A461,Config!$B$6:$E$1862,2,FALSE)</f>
        <v>#N/A</v>
      </c>
      <c r="C461" s="19" t="e">
        <f>VLOOKUP($A461,Config!$B$6:$E$1862,3,FALSE)</f>
        <v>#N/A</v>
      </c>
      <c r="D461" s="19" t="e">
        <f>VLOOKUP($A461,Config!$B$6:$E$1862,4,FALSE)</f>
        <v>#N/A</v>
      </c>
    </row>
    <row r="462" spans="1:4" x14ac:dyDescent="0.25">
      <c r="A462" s="19">
        <v>40472</v>
      </c>
      <c r="B462" s="19" t="e">
        <f>VLOOKUP($A462,Config!$B$6:$E$1862,2,FALSE)</f>
        <v>#N/A</v>
      </c>
      <c r="C462" s="19" t="e">
        <f>VLOOKUP($A462,Config!$B$6:$E$1862,3,FALSE)</f>
        <v>#N/A</v>
      </c>
      <c r="D462" s="19" t="e">
        <f>VLOOKUP($A462,Config!$B$6:$E$1862,4,FALSE)</f>
        <v>#N/A</v>
      </c>
    </row>
    <row r="463" spans="1:4" x14ac:dyDescent="0.25">
      <c r="A463" s="19">
        <v>40473</v>
      </c>
      <c r="B463" s="19" t="e">
        <f>VLOOKUP($A463,Config!$B$6:$E$1862,2,FALSE)</f>
        <v>#N/A</v>
      </c>
      <c r="C463" s="19" t="e">
        <f>VLOOKUP($A463,Config!$B$6:$E$1862,3,FALSE)</f>
        <v>#N/A</v>
      </c>
      <c r="D463" s="19" t="e">
        <f>VLOOKUP($A463,Config!$B$6:$E$1862,4,FALSE)</f>
        <v>#N/A</v>
      </c>
    </row>
    <row r="464" spans="1:4" x14ac:dyDescent="0.25">
      <c r="A464" s="19">
        <v>40474</v>
      </c>
      <c r="B464" s="19" t="e">
        <f>VLOOKUP($A464,Config!$B$6:$E$1862,2,FALSE)</f>
        <v>#N/A</v>
      </c>
      <c r="C464" s="19" t="e">
        <f>VLOOKUP($A464,Config!$B$6:$E$1862,3,FALSE)</f>
        <v>#N/A</v>
      </c>
      <c r="D464" s="19" t="e">
        <f>VLOOKUP($A464,Config!$B$6:$E$1862,4,FALSE)</f>
        <v>#N/A</v>
      </c>
    </row>
    <row r="465" spans="1:4" x14ac:dyDescent="0.25">
      <c r="A465" s="19">
        <v>40475</v>
      </c>
      <c r="B465" s="19" t="e">
        <f>VLOOKUP($A465,Config!$B$6:$E$1862,2,FALSE)</f>
        <v>#N/A</v>
      </c>
      <c r="C465" s="19" t="e">
        <f>VLOOKUP($A465,Config!$B$6:$E$1862,3,FALSE)</f>
        <v>#N/A</v>
      </c>
      <c r="D465" s="19" t="e">
        <f>VLOOKUP($A465,Config!$B$6:$E$1862,4,FALSE)</f>
        <v>#N/A</v>
      </c>
    </row>
    <row r="466" spans="1:4" x14ac:dyDescent="0.25">
      <c r="A466" s="19">
        <v>40476</v>
      </c>
      <c r="B466" s="19" t="e">
        <f>VLOOKUP($A466,Config!$B$6:$E$1862,2,FALSE)</f>
        <v>#N/A</v>
      </c>
      <c r="C466" s="19" t="e">
        <f>VLOOKUP($A466,Config!$B$6:$E$1862,3,FALSE)</f>
        <v>#N/A</v>
      </c>
      <c r="D466" s="19" t="e">
        <f>VLOOKUP($A466,Config!$B$6:$E$1862,4,FALSE)</f>
        <v>#N/A</v>
      </c>
    </row>
    <row r="467" spans="1:4" x14ac:dyDescent="0.25">
      <c r="A467" s="19">
        <v>40477</v>
      </c>
      <c r="B467" s="19" t="e">
        <f>VLOOKUP($A467,Config!$B$6:$E$1862,2,FALSE)</f>
        <v>#N/A</v>
      </c>
      <c r="C467" s="19" t="e">
        <f>VLOOKUP($A467,Config!$B$6:$E$1862,3,FALSE)</f>
        <v>#N/A</v>
      </c>
      <c r="D467" s="19" t="e">
        <f>VLOOKUP($A467,Config!$B$6:$E$1862,4,FALSE)</f>
        <v>#N/A</v>
      </c>
    </row>
    <row r="468" spans="1:4" x14ac:dyDescent="0.25">
      <c r="A468" s="19">
        <v>40478</v>
      </c>
      <c r="B468" s="19" t="e">
        <f>VLOOKUP($A468,Config!$B$6:$E$1862,2,FALSE)</f>
        <v>#N/A</v>
      </c>
      <c r="C468" s="19" t="e">
        <f>VLOOKUP($A468,Config!$B$6:$E$1862,3,FALSE)</f>
        <v>#N/A</v>
      </c>
      <c r="D468" s="19" t="e">
        <f>VLOOKUP($A468,Config!$B$6:$E$1862,4,FALSE)</f>
        <v>#N/A</v>
      </c>
    </row>
    <row r="469" spans="1:4" x14ac:dyDescent="0.25">
      <c r="A469" s="19">
        <v>40479</v>
      </c>
      <c r="B469" s="19" t="e">
        <f>VLOOKUP($A469,Config!$B$6:$E$1862,2,FALSE)</f>
        <v>#N/A</v>
      </c>
      <c r="C469" s="19" t="e">
        <f>VLOOKUP($A469,Config!$B$6:$E$1862,3,FALSE)</f>
        <v>#N/A</v>
      </c>
      <c r="D469" s="19" t="e">
        <f>VLOOKUP($A469,Config!$B$6:$E$1862,4,FALSE)</f>
        <v>#N/A</v>
      </c>
    </row>
    <row r="470" spans="1:4" x14ac:dyDescent="0.25">
      <c r="A470" s="19">
        <v>40480</v>
      </c>
      <c r="B470" s="19" t="e">
        <f>VLOOKUP($A470,Config!$B$6:$E$1862,2,FALSE)</f>
        <v>#N/A</v>
      </c>
      <c r="C470" s="19" t="e">
        <f>VLOOKUP($A470,Config!$B$6:$E$1862,3,FALSE)</f>
        <v>#N/A</v>
      </c>
      <c r="D470" s="19" t="e">
        <f>VLOOKUP($A470,Config!$B$6:$E$1862,4,FALSE)</f>
        <v>#N/A</v>
      </c>
    </row>
    <row r="471" spans="1:4" x14ac:dyDescent="0.25">
      <c r="A471" s="19">
        <v>40481</v>
      </c>
      <c r="B471" s="19" t="e">
        <f>VLOOKUP($A471,Config!$B$6:$E$1862,2,FALSE)</f>
        <v>#N/A</v>
      </c>
      <c r="C471" s="19" t="e">
        <f>VLOOKUP($A471,Config!$B$6:$E$1862,3,FALSE)</f>
        <v>#N/A</v>
      </c>
      <c r="D471" s="19" t="e">
        <f>VLOOKUP($A471,Config!$B$6:$E$1862,4,FALSE)</f>
        <v>#N/A</v>
      </c>
    </row>
    <row r="472" spans="1:4" x14ac:dyDescent="0.25">
      <c r="A472" s="19">
        <v>40482</v>
      </c>
      <c r="B472" s="19" t="e">
        <f>VLOOKUP($A472,Config!$B$6:$E$1862,2,FALSE)</f>
        <v>#N/A</v>
      </c>
      <c r="C472" s="19" t="e">
        <f>VLOOKUP($A472,Config!$B$6:$E$1862,3,FALSE)</f>
        <v>#N/A</v>
      </c>
      <c r="D472" s="19" t="e">
        <f>VLOOKUP($A472,Config!$B$6:$E$1862,4,FALSE)</f>
        <v>#N/A</v>
      </c>
    </row>
    <row r="473" spans="1:4" x14ac:dyDescent="0.25">
      <c r="A473" s="19">
        <v>40483</v>
      </c>
      <c r="B473" s="19" t="e">
        <f>VLOOKUP($A473,Config!$B$6:$E$1862,2,FALSE)</f>
        <v>#N/A</v>
      </c>
      <c r="C473" s="19" t="e">
        <f>VLOOKUP($A473,Config!$B$6:$E$1862,3,FALSE)</f>
        <v>#N/A</v>
      </c>
      <c r="D473" s="19" t="e">
        <f>VLOOKUP($A473,Config!$B$6:$E$1862,4,FALSE)</f>
        <v>#N/A</v>
      </c>
    </row>
    <row r="474" spans="1:4" x14ac:dyDescent="0.25">
      <c r="A474" s="19">
        <v>40484</v>
      </c>
      <c r="B474" s="19" t="e">
        <f>VLOOKUP($A474,Config!$B$6:$E$1862,2,FALSE)</f>
        <v>#N/A</v>
      </c>
      <c r="C474" s="19" t="e">
        <f>VLOOKUP($A474,Config!$B$6:$E$1862,3,FALSE)</f>
        <v>#N/A</v>
      </c>
      <c r="D474" s="19" t="e">
        <f>VLOOKUP($A474,Config!$B$6:$E$1862,4,FALSE)</f>
        <v>#N/A</v>
      </c>
    </row>
    <row r="475" spans="1:4" x14ac:dyDescent="0.25">
      <c r="A475" s="19">
        <v>40485</v>
      </c>
      <c r="B475" s="19" t="e">
        <f>VLOOKUP($A475,Config!$B$6:$E$1862,2,FALSE)</f>
        <v>#N/A</v>
      </c>
      <c r="C475" s="19" t="e">
        <f>VLOOKUP($A475,Config!$B$6:$E$1862,3,FALSE)</f>
        <v>#N/A</v>
      </c>
      <c r="D475" s="19" t="e">
        <f>VLOOKUP($A475,Config!$B$6:$E$1862,4,FALSE)</f>
        <v>#N/A</v>
      </c>
    </row>
    <row r="476" spans="1:4" x14ac:dyDescent="0.25">
      <c r="A476" s="19">
        <v>40486</v>
      </c>
      <c r="B476" s="19" t="e">
        <f>VLOOKUP($A476,Config!$B$6:$E$1862,2,FALSE)</f>
        <v>#N/A</v>
      </c>
      <c r="C476" s="19" t="e">
        <f>VLOOKUP($A476,Config!$B$6:$E$1862,3,FALSE)</f>
        <v>#N/A</v>
      </c>
      <c r="D476" s="19" t="e">
        <f>VLOOKUP($A476,Config!$B$6:$E$1862,4,FALSE)</f>
        <v>#N/A</v>
      </c>
    </row>
    <row r="477" spans="1:4" x14ac:dyDescent="0.25">
      <c r="A477" s="19">
        <v>40487</v>
      </c>
      <c r="B477" s="19" t="e">
        <f>VLOOKUP($A477,Config!$B$6:$E$1862,2,FALSE)</f>
        <v>#N/A</v>
      </c>
      <c r="C477" s="19" t="e">
        <f>VLOOKUP($A477,Config!$B$6:$E$1862,3,FALSE)</f>
        <v>#N/A</v>
      </c>
      <c r="D477" s="19" t="e">
        <f>VLOOKUP($A477,Config!$B$6:$E$1862,4,FALSE)</f>
        <v>#N/A</v>
      </c>
    </row>
    <row r="478" spans="1:4" x14ac:dyDescent="0.25">
      <c r="A478" s="19">
        <v>40488</v>
      </c>
      <c r="B478" s="19" t="e">
        <f>VLOOKUP($A478,Config!$B$6:$E$1862,2,FALSE)</f>
        <v>#N/A</v>
      </c>
      <c r="C478" s="19" t="e">
        <f>VLOOKUP($A478,Config!$B$6:$E$1862,3,FALSE)</f>
        <v>#N/A</v>
      </c>
      <c r="D478" s="19" t="e">
        <f>VLOOKUP($A478,Config!$B$6:$E$1862,4,FALSE)</f>
        <v>#N/A</v>
      </c>
    </row>
    <row r="479" spans="1:4" x14ac:dyDescent="0.25">
      <c r="A479" s="19">
        <v>40490</v>
      </c>
      <c r="B479" s="19" t="e">
        <f>VLOOKUP($A479,Config!$B$6:$E$1862,2,FALSE)</f>
        <v>#N/A</v>
      </c>
      <c r="C479" s="19" t="e">
        <f>VLOOKUP($A479,Config!$B$6:$E$1862,3,FALSE)</f>
        <v>#N/A</v>
      </c>
      <c r="D479" s="19" t="e">
        <f>VLOOKUP($A479,Config!$B$6:$E$1862,4,FALSE)</f>
        <v>#N/A</v>
      </c>
    </row>
    <row r="480" spans="1:4" x14ac:dyDescent="0.25">
      <c r="A480" s="19">
        <v>40491</v>
      </c>
      <c r="B480" s="19" t="e">
        <f>VLOOKUP($A480,Config!$B$6:$E$1862,2,FALSE)</f>
        <v>#N/A</v>
      </c>
      <c r="C480" s="19" t="e">
        <f>VLOOKUP($A480,Config!$B$6:$E$1862,3,FALSE)</f>
        <v>#N/A</v>
      </c>
      <c r="D480" s="19" t="e">
        <f>VLOOKUP($A480,Config!$B$6:$E$1862,4,FALSE)</f>
        <v>#N/A</v>
      </c>
    </row>
    <row r="481" spans="1:4" x14ac:dyDescent="0.25">
      <c r="A481" s="19">
        <v>40492</v>
      </c>
      <c r="B481" s="19" t="e">
        <f>VLOOKUP($A481,Config!$B$6:$E$1862,2,FALSE)</f>
        <v>#N/A</v>
      </c>
      <c r="C481" s="19" t="e">
        <f>VLOOKUP($A481,Config!$B$6:$E$1862,3,FALSE)</f>
        <v>#N/A</v>
      </c>
      <c r="D481" s="19" t="e">
        <f>VLOOKUP($A481,Config!$B$6:$E$1862,4,FALSE)</f>
        <v>#N/A</v>
      </c>
    </row>
    <row r="482" spans="1:4" x14ac:dyDescent="0.25">
      <c r="A482" s="19">
        <v>40493</v>
      </c>
      <c r="B482" s="19" t="e">
        <f>VLOOKUP($A482,Config!$B$6:$E$1862,2,FALSE)</f>
        <v>#N/A</v>
      </c>
      <c r="C482" s="19" t="e">
        <f>VLOOKUP($A482,Config!$B$6:$E$1862,3,FALSE)</f>
        <v>#N/A</v>
      </c>
      <c r="D482" s="19" t="e">
        <f>VLOOKUP($A482,Config!$B$6:$E$1862,4,FALSE)</f>
        <v>#N/A</v>
      </c>
    </row>
    <row r="483" spans="1:4" x14ac:dyDescent="0.25">
      <c r="A483" s="19">
        <v>40496</v>
      </c>
      <c r="B483" s="19" t="e">
        <f>VLOOKUP($A483,Config!$B$6:$E$1862,2,FALSE)</f>
        <v>#N/A</v>
      </c>
      <c r="C483" s="19" t="e">
        <f>VLOOKUP($A483,Config!$B$6:$E$1862,3,FALSE)</f>
        <v>#N/A</v>
      </c>
      <c r="D483" s="19" t="e">
        <f>VLOOKUP($A483,Config!$B$6:$E$1862,4,FALSE)</f>
        <v>#N/A</v>
      </c>
    </row>
    <row r="484" spans="1:4" x14ac:dyDescent="0.25">
      <c r="A484" s="19">
        <v>40497</v>
      </c>
      <c r="B484" s="19" t="e">
        <f>VLOOKUP($A484,Config!$B$6:$E$1862,2,FALSE)</f>
        <v>#N/A</v>
      </c>
      <c r="C484" s="19" t="e">
        <f>VLOOKUP($A484,Config!$B$6:$E$1862,3,FALSE)</f>
        <v>#N/A</v>
      </c>
      <c r="D484" s="19" t="e">
        <f>VLOOKUP($A484,Config!$B$6:$E$1862,4,FALSE)</f>
        <v>#N/A</v>
      </c>
    </row>
    <row r="485" spans="1:4" x14ac:dyDescent="0.25">
      <c r="A485" s="19">
        <v>40498</v>
      </c>
      <c r="B485" s="19" t="e">
        <f>VLOOKUP($A485,Config!$B$6:$E$1862,2,FALSE)</f>
        <v>#N/A</v>
      </c>
      <c r="C485" s="19" t="e">
        <f>VLOOKUP($A485,Config!$B$6:$E$1862,3,FALSE)</f>
        <v>#N/A</v>
      </c>
      <c r="D485" s="19" t="e">
        <f>VLOOKUP($A485,Config!$B$6:$E$1862,4,FALSE)</f>
        <v>#N/A</v>
      </c>
    </row>
    <row r="486" spans="1:4" x14ac:dyDescent="0.25">
      <c r="A486" s="19">
        <v>40499</v>
      </c>
      <c r="B486" s="19" t="e">
        <f>VLOOKUP($A486,Config!$B$6:$E$1862,2,FALSE)</f>
        <v>#N/A</v>
      </c>
      <c r="C486" s="19" t="e">
        <f>VLOOKUP($A486,Config!$B$6:$E$1862,3,FALSE)</f>
        <v>#N/A</v>
      </c>
      <c r="D486" s="19" t="e">
        <f>VLOOKUP($A486,Config!$B$6:$E$1862,4,FALSE)</f>
        <v>#N/A</v>
      </c>
    </row>
    <row r="487" spans="1:4" x14ac:dyDescent="0.25">
      <c r="A487" s="19">
        <v>40500</v>
      </c>
      <c r="B487" s="19" t="e">
        <f>VLOOKUP($A487,Config!$B$6:$E$1862,2,FALSE)</f>
        <v>#N/A</v>
      </c>
      <c r="C487" s="19" t="e">
        <f>VLOOKUP($A487,Config!$B$6:$E$1862,3,FALSE)</f>
        <v>#N/A</v>
      </c>
      <c r="D487" s="19" t="e">
        <f>VLOOKUP($A487,Config!$B$6:$E$1862,4,FALSE)</f>
        <v>#N/A</v>
      </c>
    </row>
    <row r="488" spans="1:4" x14ac:dyDescent="0.25">
      <c r="A488" s="19">
        <v>40503</v>
      </c>
      <c r="B488" s="19" t="e">
        <f>VLOOKUP($A488,Config!$B$6:$E$1862,2,FALSE)</f>
        <v>#N/A</v>
      </c>
      <c r="C488" s="19" t="e">
        <f>VLOOKUP($A488,Config!$B$6:$E$1862,3,FALSE)</f>
        <v>#N/A</v>
      </c>
      <c r="D488" s="19" t="e">
        <f>VLOOKUP($A488,Config!$B$6:$E$1862,4,FALSE)</f>
        <v>#N/A</v>
      </c>
    </row>
    <row r="489" spans="1:4" x14ac:dyDescent="0.25">
      <c r="A489" s="19">
        <v>40504</v>
      </c>
      <c r="B489" s="19" t="e">
        <f>VLOOKUP($A489,Config!$B$6:$E$1862,2,FALSE)</f>
        <v>#N/A</v>
      </c>
      <c r="C489" s="19" t="e">
        <f>VLOOKUP($A489,Config!$B$6:$E$1862,3,FALSE)</f>
        <v>#N/A</v>
      </c>
      <c r="D489" s="19" t="e">
        <f>VLOOKUP($A489,Config!$B$6:$E$1862,4,FALSE)</f>
        <v>#N/A</v>
      </c>
    </row>
    <row r="490" spans="1:4" x14ac:dyDescent="0.25">
      <c r="A490" s="19">
        <v>40505</v>
      </c>
      <c r="B490" s="19" t="e">
        <f>VLOOKUP($A490,Config!$B$6:$E$1862,2,FALSE)</f>
        <v>#N/A</v>
      </c>
      <c r="C490" s="19" t="e">
        <f>VLOOKUP($A490,Config!$B$6:$E$1862,3,FALSE)</f>
        <v>#N/A</v>
      </c>
      <c r="D490" s="19" t="e">
        <f>VLOOKUP($A490,Config!$B$6:$E$1862,4,FALSE)</f>
        <v>#N/A</v>
      </c>
    </row>
    <row r="491" spans="1:4" x14ac:dyDescent="0.25">
      <c r="A491" s="19">
        <v>40509</v>
      </c>
      <c r="B491" s="19" t="e">
        <f>VLOOKUP($A491,Config!$B$6:$E$1862,2,FALSE)</f>
        <v>#N/A</v>
      </c>
      <c r="C491" s="19" t="e">
        <f>VLOOKUP($A491,Config!$B$6:$E$1862,3,FALSE)</f>
        <v>#N/A</v>
      </c>
      <c r="D491" s="19" t="e">
        <f>VLOOKUP($A491,Config!$B$6:$E$1862,4,FALSE)</f>
        <v>#N/A</v>
      </c>
    </row>
    <row r="492" spans="1:4" x14ac:dyDescent="0.25">
      <c r="A492" s="19">
        <v>40510</v>
      </c>
      <c r="B492" s="19" t="e">
        <f>VLOOKUP($A492,Config!$B$6:$E$1862,2,FALSE)</f>
        <v>#N/A</v>
      </c>
      <c r="C492" s="19" t="e">
        <f>VLOOKUP($A492,Config!$B$6:$E$1862,3,FALSE)</f>
        <v>#N/A</v>
      </c>
      <c r="D492" s="19" t="e">
        <f>VLOOKUP($A492,Config!$B$6:$E$1862,4,FALSE)</f>
        <v>#N/A</v>
      </c>
    </row>
    <row r="493" spans="1:4" x14ac:dyDescent="0.25">
      <c r="A493" s="19">
        <v>40511</v>
      </c>
      <c r="B493" s="19" t="e">
        <f>VLOOKUP($A493,Config!$B$6:$E$1862,2,FALSE)</f>
        <v>#N/A</v>
      </c>
      <c r="C493" s="19" t="e">
        <f>VLOOKUP($A493,Config!$B$6:$E$1862,3,FALSE)</f>
        <v>#N/A</v>
      </c>
      <c r="D493" s="19" t="e">
        <f>VLOOKUP($A493,Config!$B$6:$E$1862,4,FALSE)</f>
        <v>#N/A</v>
      </c>
    </row>
    <row r="494" spans="1:4" x14ac:dyDescent="0.25">
      <c r="A494" s="19">
        <v>40512</v>
      </c>
      <c r="B494" s="19" t="e">
        <f>VLOOKUP($A494,Config!$B$6:$E$1862,2,FALSE)</f>
        <v>#N/A</v>
      </c>
      <c r="C494" s="19" t="e">
        <f>VLOOKUP($A494,Config!$B$6:$E$1862,3,FALSE)</f>
        <v>#N/A</v>
      </c>
      <c r="D494" s="19" t="e">
        <f>VLOOKUP($A494,Config!$B$6:$E$1862,4,FALSE)</f>
        <v>#N/A</v>
      </c>
    </row>
    <row r="495" spans="1:4" x14ac:dyDescent="0.25">
      <c r="A495" s="19">
        <v>40515</v>
      </c>
      <c r="B495" s="19" t="e">
        <f>VLOOKUP($A495,Config!$B$6:$E$1862,2,FALSE)</f>
        <v>#N/A</v>
      </c>
      <c r="C495" s="19" t="e">
        <f>VLOOKUP($A495,Config!$B$6:$E$1862,3,FALSE)</f>
        <v>#N/A</v>
      </c>
      <c r="D495" s="19" t="e">
        <f>VLOOKUP($A495,Config!$B$6:$E$1862,4,FALSE)</f>
        <v>#N/A</v>
      </c>
    </row>
    <row r="496" spans="1:4" x14ac:dyDescent="0.25">
      <c r="A496" s="19">
        <v>40516</v>
      </c>
      <c r="B496" s="19" t="e">
        <f>VLOOKUP($A496,Config!$B$6:$E$1862,2,FALSE)</f>
        <v>#N/A</v>
      </c>
      <c r="C496" s="19" t="e">
        <f>VLOOKUP($A496,Config!$B$6:$E$1862,3,FALSE)</f>
        <v>#N/A</v>
      </c>
      <c r="D496" s="19" t="e">
        <f>VLOOKUP($A496,Config!$B$6:$E$1862,4,FALSE)</f>
        <v>#N/A</v>
      </c>
    </row>
    <row r="497" spans="1:4" x14ac:dyDescent="0.25">
      <c r="A497" s="19">
        <v>40517</v>
      </c>
      <c r="B497" s="19" t="e">
        <f>VLOOKUP($A497,Config!$B$6:$E$1862,2,FALSE)</f>
        <v>#N/A</v>
      </c>
      <c r="C497" s="19" t="e">
        <f>VLOOKUP($A497,Config!$B$6:$E$1862,3,FALSE)</f>
        <v>#N/A</v>
      </c>
      <c r="D497" s="19" t="e">
        <f>VLOOKUP($A497,Config!$B$6:$E$1862,4,FALSE)</f>
        <v>#N/A</v>
      </c>
    </row>
    <row r="498" spans="1:4" x14ac:dyDescent="0.25">
      <c r="A498" s="19">
        <v>40522</v>
      </c>
      <c r="B498" s="19" t="e">
        <f>VLOOKUP($A498,Config!$B$6:$E$1862,2,FALSE)</f>
        <v>#N/A</v>
      </c>
      <c r="C498" s="19" t="e">
        <f>VLOOKUP($A498,Config!$B$6:$E$1862,3,FALSE)</f>
        <v>#N/A</v>
      </c>
      <c r="D498" s="19" t="e">
        <f>VLOOKUP($A498,Config!$B$6:$E$1862,4,FALSE)</f>
        <v>#N/A</v>
      </c>
    </row>
    <row r="499" spans="1:4" x14ac:dyDescent="0.25">
      <c r="A499" s="19">
        <v>40523</v>
      </c>
      <c r="B499" s="19" t="e">
        <f>VLOOKUP($A499,Config!$B$6:$E$1862,2,FALSE)</f>
        <v>#N/A</v>
      </c>
      <c r="C499" s="19" t="e">
        <f>VLOOKUP($A499,Config!$B$6:$E$1862,3,FALSE)</f>
        <v>#N/A</v>
      </c>
      <c r="D499" s="19" t="e">
        <f>VLOOKUP($A499,Config!$B$6:$E$1862,4,FALSE)</f>
        <v>#N/A</v>
      </c>
    </row>
    <row r="500" spans="1:4" x14ac:dyDescent="0.25">
      <c r="A500" s="19">
        <v>40524</v>
      </c>
      <c r="B500" s="19" t="e">
        <f>VLOOKUP($A500,Config!$B$6:$E$1862,2,FALSE)</f>
        <v>#N/A</v>
      </c>
      <c r="C500" s="19" t="e">
        <f>VLOOKUP($A500,Config!$B$6:$E$1862,3,FALSE)</f>
        <v>#N/A</v>
      </c>
      <c r="D500" s="19" t="e">
        <f>VLOOKUP($A500,Config!$B$6:$E$1862,4,FALSE)</f>
        <v>#N/A</v>
      </c>
    </row>
    <row r="501" spans="1:4" x14ac:dyDescent="0.25">
      <c r="A501" s="19">
        <v>40525</v>
      </c>
      <c r="B501" s="19" t="e">
        <f>VLOOKUP($A501,Config!$B$6:$E$1862,2,FALSE)</f>
        <v>#N/A</v>
      </c>
      <c r="C501" s="19" t="e">
        <f>VLOOKUP($A501,Config!$B$6:$E$1862,3,FALSE)</f>
        <v>#N/A</v>
      </c>
      <c r="D501" s="19" t="e">
        <f>VLOOKUP($A501,Config!$B$6:$E$1862,4,FALSE)</f>
        <v>#N/A</v>
      </c>
    </row>
    <row r="502" spans="1:4" x14ac:dyDescent="0.25">
      <c r="A502" s="19">
        <v>40526</v>
      </c>
      <c r="B502" s="19" t="e">
        <f>VLOOKUP($A502,Config!$B$6:$E$1862,2,FALSE)</f>
        <v>#N/A</v>
      </c>
      <c r="C502" s="19" t="e">
        <f>VLOOKUP($A502,Config!$B$6:$E$1862,3,FALSE)</f>
        <v>#N/A</v>
      </c>
      <c r="D502" s="19" t="e">
        <f>VLOOKUP($A502,Config!$B$6:$E$1862,4,FALSE)</f>
        <v>#N/A</v>
      </c>
    </row>
    <row r="503" spans="1:4" x14ac:dyDescent="0.25">
      <c r="A503" s="19">
        <v>40527</v>
      </c>
      <c r="B503" s="19" t="e">
        <f>VLOOKUP($A503,Config!$B$6:$E$1862,2,FALSE)</f>
        <v>#N/A</v>
      </c>
      <c r="C503" s="19" t="e">
        <f>VLOOKUP($A503,Config!$B$6:$E$1862,3,FALSE)</f>
        <v>#N/A</v>
      </c>
      <c r="D503" s="19" t="e">
        <f>VLOOKUP($A503,Config!$B$6:$E$1862,4,FALSE)</f>
        <v>#N/A</v>
      </c>
    </row>
    <row r="504" spans="1:4" x14ac:dyDescent="0.25">
      <c r="A504" s="19">
        <v>40528</v>
      </c>
      <c r="B504" s="19" t="e">
        <f>VLOOKUP($A504,Config!$B$6:$E$1862,2,FALSE)</f>
        <v>#N/A</v>
      </c>
      <c r="C504" s="19" t="e">
        <f>VLOOKUP($A504,Config!$B$6:$E$1862,3,FALSE)</f>
        <v>#N/A</v>
      </c>
      <c r="D504" s="19" t="e">
        <f>VLOOKUP($A504,Config!$B$6:$E$1862,4,FALSE)</f>
        <v>#N/A</v>
      </c>
    </row>
    <row r="505" spans="1:4" x14ac:dyDescent="0.25">
      <c r="A505" s="19">
        <v>40529</v>
      </c>
      <c r="B505" s="19" t="e">
        <f>VLOOKUP($A505,Config!$B$6:$E$1862,2,FALSE)</f>
        <v>#N/A</v>
      </c>
      <c r="C505" s="19" t="e">
        <f>VLOOKUP($A505,Config!$B$6:$E$1862,3,FALSE)</f>
        <v>#N/A</v>
      </c>
      <c r="D505" s="19" t="e">
        <f>VLOOKUP($A505,Config!$B$6:$E$1862,4,FALSE)</f>
        <v>#N/A</v>
      </c>
    </row>
    <row r="506" spans="1:4" x14ac:dyDescent="0.25">
      <c r="A506" s="19">
        <v>40530</v>
      </c>
      <c r="B506" s="19" t="e">
        <f>VLOOKUP($A506,Config!$B$6:$E$1862,2,FALSE)</f>
        <v>#N/A</v>
      </c>
      <c r="C506" s="19" t="e">
        <f>VLOOKUP($A506,Config!$B$6:$E$1862,3,FALSE)</f>
        <v>#N/A</v>
      </c>
      <c r="D506" s="19" t="e">
        <f>VLOOKUP($A506,Config!$B$6:$E$1862,4,FALSE)</f>
        <v>#N/A</v>
      </c>
    </row>
    <row r="507" spans="1:4" x14ac:dyDescent="0.25">
      <c r="A507" s="19">
        <v>40531</v>
      </c>
      <c r="B507" s="19" t="e">
        <f>VLOOKUP($A507,Config!$B$6:$E$1862,2,FALSE)</f>
        <v>#N/A</v>
      </c>
      <c r="C507" s="19" t="e">
        <f>VLOOKUP($A507,Config!$B$6:$E$1862,3,FALSE)</f>
        <v>#N/A</v>
      </c>
      <c r="D507" s="19" t="e">
        <f>VLOOKUP($A507,Config!$B$6:$E$1862,4,FALSE)</f>
        <v>#N/A</v>
      </c>
    </row>
    <row r="508" spans="1:4" x14ac:dyDescent="0.25">
      <c r="A508" s="19">
        <v>40532</v>
      </c>
      <c r="B508" s="19" t="e">
        <f>VLOOKUP($A508,Config!$B$6:$E$1862,2,FALSE)</f>
        <v>#N/A</v>
      </c>
      <c r="C508" s="19" t="e">
        <f>VLOOKUP($A508,Config!$B$6:$E$1862,3,FALSE)</f>
        <v>#N/A</v>
      </c>
      <c r="D508" s="19" t="e">
        <f>VLOOKUP($A508,Config!$B$6:$E$1862,4,FALSE)</f>
        <v>#N/A</v>
      </c>
    </row>
    <row r="509" spans="1:4" x14ac:dyDescent="0.25">
      <c r="A509" s="19">
        <v>40533</v>
      </c>
      <c r="B509" s="19" t="e">
        <f>VLOOKUP($A509,Config!$B$6:$E$1862,2,FALSE)</f>
        <v>#N/A</v>
      </c>
      <c r="C509" s="19" t="e">
        <f>VLOOKUP($A509,Config!$B$6:$E$1862,3,FALSE)</f>
        <v>#N/A</v>
      </c>
      <c r="D509" s="19" t="e">
        <f>VLOOKUP($A509,Config!$B$6:$E$1862,4,FALSE)</f>
        <v>#N/A</v>
      </c>
    </row>
    <row r="510" spans="1:4" x14ac:dyDescent="0.25">
      <c r="A510" s="19">
        <v>40534</v>
      </c>
      <c r="B510" s="19" t="e">
        <f>VLOOKUP($A510,Config!$B$6:$E$1862,2,FALSE)</f>
        <v>#N/A</v>
      </c>
      <c r="C510" s="19" t="e">
        <f>VLOOKUP($A510,Config!$B$6:$E$1862,3,FALSE)</f>
        <v>#N/A</v>
      </c>
      <c r="D510" s="19" t="e">
        <f>VLOOKUP($A510,Config!$B$6:$E$1862,4,FALSE)</f>
        <v>#N/A</v>
      </c>
    </row>
    <row r="511" spans="1:4" x14ac:dyDescent="0.25">
      <c r="A511" s="19">
        <v>40535</v>
      </c>
      <c r="B511" s="19" t="e">
        <f>VLOOKUP($A511,Config!$B$6:$E$1862,2,FALSE)</f>
        <v>#N/A</v>
      </c>
      <c r="C511" s="19" t="e">
        <f>VLOOKUP($A511,Config!$B$6:$E$1862,3,FALSE)</f>
        <v>#N/A</v>
      </c>
      <c r="D511" s="19" t="e">
        <f>VLOOKUP($A511,Config!$B$6:$E$1862,4,FALSE)</f>
        <v>#N/A</v>
      </c>
    </row>
    <row r="512" spans="1:4" x14ac:dyDescent="0.25">
      <c r="A512" s="19">
        <v>40536</v>
      </c>
      <c r="B512" s="19" t="e">
        <f>VLOOKUP($A512,Config!$B$6:$E$1862,2,FALSE)</f>
        <v>#N/A</v>
      </c>
      <c r="C512" s="19" t="e">
        <f>VLOOKUP($A512,Config!$B$6:$E$1862,3,FALSE)</f>
        <v>#N/A</v>
      </c>
      <c r="D512" s="19" t="e">
        <f>VLOOKUP($A512,Config!$B$6:$E$1862,4,FALSE)</f>
        <v>#N/A</v>
      </c>
    </row>
    <row r="513" spans="1:4" x14ac:dyDescent="0.25">
      <c r="A513" s="19">
        <v>40537</v>
      </c>
      <c r="B513" s="19" t="e">
        <f>VLOOKUP($A513,Config!$B$6:$E$1862,2,FALSE)</f>
        <v>#N/A</v>
      </c>
      <c r="C513" s="19" t="e">
        <f>VLOOKUP($A513,Config!$B$6:$E$1862,3,FALSE)</f>
        <v>#N/A</v>
      </c>
      <c r="D513" s="19" t="e">
        <f>VLOOKUP($A513,Config!$B$6:$E$1862,4,FALSE)</f>
        <v>#N/A</v>
      </c>
    </row>
    <row r="514" spans="1:4" x14ac:dyDescent="0.25">
      <c r="A514" s="19">
        <v>40538</v>
      </c>
      <c r="B514" s="19" t="e">
        <f>VLOOKUP($A514,Config!$B$6:$E$1862,2,FALSE)</f>
        <v>#N/A</v>
      </c>
      <c r="C514" s="19" t="e">
        <f>VLOOKUP($A514,Config!$B$6:$E$1862,3,FALSE)</f>
        <v>#N/A</v>
      </c>
      <c r="D514" s="19" t="e">
        <f>VLOOKUP($A514,Config!$B$6:$E$1862,4,FALSE)</f>
        <v>#N/A</v>
      </c>
    </row>
    <row r="515" spans="1:4" x14ac:dyDescent="0.25">
      <c r="A515" s="19">
        <v>40542</v>
      </c>
      <c r="B515" s="19" t="e">
        <f>VLOOKUP($A515,Config!$B$6:$E$1862,2,FALSE)</f>
        <v>#N/A</v>
      </c>
      <c r="C515" s="19" t="e">
        <f>VLOOKUP($A515,Config!$B$6:$E$1862,3,FALSE)</f>
        <v>#N/A</v>
      </c>
      <c r="D515" s="19" t="e">
        <f>VLOOKUP($A515,Config!$B$6:$E$1862,4,FALSE)</f>
        <v>#N/A</v>
      </c>
    </row>
    <row r="516" spans="1:4" x14ac:dyDescent="0.25">
      <c r="A516" s="19">
        <v>40543</v>
      </c>
      <c r="B516" s="19" t="e">
        <f>VLOOKUP($A516,Config!$B$6:$E$1862,2,FALSE)</f>
        <v>#N/A</v>
      </c>
      <c r="C516" s="19" t="e">
        <f>VLOOKUP($A516,Config!$B$6:$E$1862,3,FALSE)</f>
        <v>#N/A</v>
      </c>
      <c r="D516" s="19" t="e">
        <f>VLOOKUP($A516,Config!$B$6:$E$1862,4,FALSE)</f>
        <v>#N/A</v>
      </c>
    </row>
    <row r="517" spans="1:4" x14ac:dyDescent="0.25">
      <c r="A517" s="19">
        <v>40544</v>
      </c>
      <c r="B517" s="19" t="e">
        <f>VLOOKUP($A517,Config!$B$6:$E$1862,2,FALSE)</f>
        <v>#N/A</v>
      </c>
      <c r="C517" s="19" t="e">
        <f>VLOOKUP($A517,Config!$B$6:$E$1862,3,FALSE)</f>
        <v>#N/A</v>
      </c>
      <c r="D517" s="19" t="e">
        <f>VLOOKUP($A517,Config!$B$6:$E$1862,4,FALSE)</f>
        <v>#N/A</v>
      </c>
    </row>
    <row r="518" spans="1:4" x14ac:dyDescent="0.25">
      <c r="A518" s="19">
        <v>40547</v>
      </c>
      <c r="B518" s="19" t="e">
        <f>VLOOKUP($A518,Config!$B$6:$E$1862,2,FALSE)</f>
        <v>#N/A</v>
      </c>
      <c r="C518" s="19" t="e">
        <f>VLOOKUP($A518,Config!$B$6:$E$1862,3,FALSE)</f>
        <v>#N/A</v>
      </c>
      <c r="D518" s="19" t="e">
        <f>VLOOKUP($A518,Config!$B$6:$E$1862,4,FALSE)</f>
        <v>#N/A</v>
      </c>
    </row>
    <row r="519" spans="1:4" x14ac:dyDescent="0.25">
      <c r="A519" s="19">
        <v>40550</v>
      </c>
      <c r="B519" s="19" t="e">
        <f>VLOOKUP($A519,Config!$B$6:$E$1862,2,FALSE)</f>
        <v>#N/A</v>
      </c>
      <c r="C519" s="19" t="e">
        <f>VLOOKUP($A519,Config!$B$6:$E$1862,3,FALSE)</f>
        <v>#N/A</v>
      </c>
      <c r="D519" s="19" t="e">
        <f>VLOOKUP($A519,Config!$B$6:$E$1862,4,FALSE)</f>
        <v>#N/A</v>
      </c>
    </row>
    <row r="520" spans="1:4" x14ac:dyDescent="0.25">
      <c r="A520" s="19">
        <v>40552</v>
      </c>
      <c r="B520" s="19" t="e">
        <f>VLOOKUP($A520,Config!$B$6:$E$1862,2,FALSE)</f>
        <v>#N/A</v>
      </c>
      <c r="C520" s="19" t="e">
        <f>VLOOKUP($A520,Config!$B$6:$E$1862,3,FALSE)</f>
        <v>#N/A</v>
      </c>
      <c r="D520" s="19" t="e">
        <f>VLOOKUP($A520,Config!$B$6:$E$1862,4,FALSE)</f>
        <v>#N/A</v>
      </c>
    </row>
    <row r="521" spans="1:4" x14ac:dyDescent="0.25">
      <c r="A521" s="19">
        <v>40553</v>
      </c>
      <c r="B521" s="19" t="e">
        <f>VLOOKUP($A521,Config!$B$6:$E$1862,2,FALSE)</f>
        <v>#N/A</v>
      </c>
      <c r="C521" s="19" t="e">
        <f>VLOOKUP($A521,Config!$B$6:$E$1862,3,FALSE)</f>
        <v>#N/A</v>
      </c>
      <c r="D521" s="19" t="e">
        <f>VLOOKUP($A521,Config!$B$6:$E$1862,4,FALSE)</f>
        <v>#N/A</v>
      </c>
    </row>
    <row r="522" spans="1:4" x14ac:dyDescent="0.25">
      <c r="A522" s="19">
        <v>40554</v>
      </c>
      <c r="B522" s="19" t="e">
        <f>VLOOKUP($A522,Config!$B$6:$E$1862,2,FALSE)</f>
        <v>#N/A</v>
      </c>
      <c r="C522" s="19" t="e">
        <f>VLOOKUP($A522,Config!$B$6:$E$1862,3,FALSE)</f>
        <v>#N/A</v>
      </c>
      <c r="D522" s="19" t="e">
        <f>VLOOKUP($A522,Config!$B$6:$E$1862,4,FALSE)</f>
        <v>#N/A</v>
      </c>
    </row>
    <row r="523" spans="1:4" x14ac:dyDescent="0.25">
      <c r="A523" s="19">
        <v>40556</v>
      </c>
      <c r="B523" s="19" t="e">
        <f>VLOOKUP($A523,Config!$B$6:$E$1862,2,FALSE)</f>
        <v>#N/A</v>
      </c>
      <c r="C523" s="19" t="e">
        <f>VLOOKUP($A523,Config!$B$6:$E$1862,3,FALSE)</f>
        <v>#N/A</v>
      </c>
      <c r="D523" s="19" t="e">
        <f>VLOOKUP($A523,Config!$B$6:$E$1862,4,FALSE)</f>
        <v>#N/A</v>
      </c>
    </row>
    <row r="524" spans="1:4" x14ac:dyDescent="0.25">
      <c r="A524" s="19">
        <v>40557</v>
      </c>
      <c r="B524" s="19" t="e">
        <f>VLOOKUP($A524,Config!$B$6:$E$1862,2,FALSE)</f>
        <v>#N/A</v>
      </c>
      <c r="C524" s="19" t="e">
        <f>VLOOKUP($A524,Config!$B$6:$E$1862,3,FALSE)</f>
        <v>#N/A</v>
      </c>
      <c r="D524" s="19" t="e">
        <f>VLOOKUP($A524,Config!$B$6:$E$1862,4,FALSE)</f>
        <v>#N/A</v>
      </c>
    </row>
    <row r="525" spans="1:4" x14ac:dyDescent="0.25">
      <c r="A525" s="19">
        <v>40558</v>
      </c>
      <c r="B525" s="19" t="e">
        <f>VLOOKUP($A525,Config!$B$6:$E$1862,2,FALSE)</f>
        <v>#N/A</v>
      </c>
      <c r="C525" s="19" t="e">
        <f>VLOOKUP($A525,Config!$B$6:$E$1862,3,FALSE)</f>
        <v>#N/A</v>
      </c>
      <c r="D525" s="19" t="e">
        <f>VLOOKUP($A525,Config!$B$6:$E$1862,4,FALSE)</f>
        <v>#N/A</v>
      </c>
    </row>
    <row r="526" spans="1:4" x14ac:dyDescent="0.25">
      <c r="A526" s="19">
        <v>40559</v>
      </c>
      <c r="B526" s="19" t="e">
        <f>VLOOKUP($A526,Config!$B$6:$E$1862,2,FALSE)</f>
        <v>#N/A</v>
      </c>
      <c r="C526" s="19" t="e">
        <f>VLOOKUP($A526,Config!$B$6:$E$1862,3,FALSE)</f>
        <v>#N/A</v>
      </c>
      <c r="D526" s="19" t="e">
        <f>VLOOKUP($A526,Config!$B$6:$E$1862,4,FALSE)</f>
        <v>#N/A</v>
      </c>
    </row>
    <row r="527" spans="1:4" x14ac:dyDescent="0.25">
      <c r="A527" s="19">
        <v>40560</v>
      </c>
      <c r="B527" s="19" t="e">
        <f>VLOOKUP($A527,Config!$B$6:$E$1862,2,FALSE)</f>
        <v>#N/A</v>
      </c>
      <c r="C527" s="19" t="e">
        <f>VLOOKUP($A527,Config!$B$6:$E$1862,3,FALSE)</f>
        <v>#N/A</v>
      </c>
      <c r="D527" s="19" t="e">
        <f>VLOOKUP($A527,Config!$B$6:$E$1862,4,FALSE)</f>
        <v>#N/A</v>
      </c>
    </row>
    <row r="528" spans="1:4" x14ac:dyDescent="0.25">
      <c r="A528" s="19">
        <v>40561</v>
      </c>
      <c r="B528" s="19" t="e">
        <f>VLOOKUP($A528,Config!$B$6:$E$1862,2,FALSE)</f>
        <v>#N/A</v>
      </c>
      <c r="C528" s="19" t="e">
        <f>VLOOKUP($A528,Config!$B$6:$E$1862,3,FALSE)</f>
        <v>#N/A</v>
      </c>
      <c r="D528" s="19" t="e">
        <f>VLOOKUP($A528,Config!$B$6:$E$1862,4,FALSE)</f>
        <v>#N/A</v>
      </c>
    </row>
    <row r="529" spans="1:4" x14ac:dyDescent="0.25">
      <c r="A529" s="19">
        <v>40562</v>
      </c>
      <c r="B529" s="19" t="e">
        <f>VLOOKUP($A529,Config!$B$6:$E$1862,2,FALSE)</f>
        <v>#N/A</v>
      </c>
      <c r="C529" s="19" t="e">
        <f>VLOOKUP($A529,Config!$B$6:$E$1862,3,FALSE)</f>
        <v>#N/A</v>
      </c>
      <c r="D529" s="19" t="e">
        <f>VLOOKUP($A529,Config!$B$6:$E$1862,4,FALSE)</f>
        <v>#N/A</v>
      </c>
    </row>
    <row r="530" spans="1:4" x14ac:dyDescent="0.25">
      <c r="A530" s="19">
        <v>40563</v>
      </c>
      <c r="B530" s="19" t="e">
        <f>VLOOKUP($A530,Config!$B$6:$E$1862,2,FALSE)</f>
        <v>#N/A</v>
      </c>
      <c r="C530" s="19" t="e">
        <f>VLOOKUP($A530,Config!$B$6:$E$1862,3,FALSE)</f>
        <v>#N/A</v>
      </c>
      <c r="D530" s="19" t="e">
        <f>VLOOKUP($A530,Config!$B$6:$E$1862,4,FALSE)</f>
        <v>#N/A</v>
      </c>
    </row>
    <row r="531" spans="1:4" x14ac:dyDescent="0.25">
      <c r="A531" s="19">
        <v>40566</v>
      </c>
      <c r="B531" s="19" t="e">
        <f>VLOOKUP($A531,Config!$B$6:$E$1862,2,FALSE)</f>
        <v>#N/A</v>
      </c>
      <c r="C531" s="19" t="e">
        <f>VLOOKUP($A531,Config!$B$6:$E$1862,3,FALSE)</f>
        <v>#N/A</v>
      </c>
      <c r="D531" s="19" t="e">
        <f>VLOOKUP($A531,Config!$B$6:$E$1862,4,FALSE)</f>
        <v>#N/A</v>
      </c>
    </row>
    <row r="532" spans="1:4" x14ac:dyDescent="0.25">
      <c r="A532" s="19">
        <v>40567</v>
      </c>
      <c r="B532" s="19" t="e">
        <f>VLOOKUP($A532,Config!$B$6:$E$1862,2,FALSE)</f>
        <v>#N/A</v>
      </c>
      <c r="C532" s="19" t="e">
        <f>VLOOKUP($A532,Config!$B$6:$E$1862,3,FALSE)</f>
        <v>#N/A</v>
      </c>
      <c r="D532" s="19" t="e">
        <f>VLOOKUP($A532,Config!$B$6:$E$1862,4,FALSE)</f>
        <v>#N/A</v>
      </c>
    </row>
    <row r="533" spans="1:4" x14ac:dyDescent="0.25">
      <c r="A533" s="19">
        <v>40568</v>
      </c>
      <c r="B533" s="19" t="e">
        <f>VLOOKUP($A533,Config!$B$6:$E$1862,2,FALSE)</f>
        <v>#N/A</v>
      </c>
      <c r="C533" s="19" t="e">
        <f>VLOOKUP($A533,Config!$B$6:$E$1862,3,FALSE)</f>
        <v>#N/A</v>
      </c>
      <c r="D533" s="19" t="e">
        <f>VLOOKUP($A533,Config!$B$6:$E$1862,4,FALSE)</f>
        <v>#N/A</v>
      </c>
    </row>
    <row r="534" spans="1:4" x14ac:dyDescent="0.25">
      <c r="A534" s="19">
        <v>40569</v>
      </c>
      <c r="B534" s="19" t="e">
        <f>VLOOKUP($A534,Config!$B$6:$E$1862,2,FALSE)</f>
        <v>#N/A</v>
      </c>
      <c r="C534" s="19" t="e">
        <f>VLOOKUP($A534,Config!$B$6:$E$1862,3,FALSE)</f>
        <v>#N/A</v>
      </c>
      <c r="D534" s="19" t="e">
        <f>VLOOKUP($A534,Config!$B$6:$E$1862,4,FALSE)</f>
        <v>#N/A</v>
      </c>
    </row>
    <row r="535" spans="1:4" x14ac:dyDescent="0.25">
      <c r="A535" s="19">
        <v>40570</v>
      </c>
      <c r="B535" s="19" t="e">
        <f>VLOOKUP($A535,Config!$B$6:$E$1862,2,FALSE)</f>
        <v>#N/A</v>
      </c>
      <c r="C535" s="19" t="e">
        <f>VLOOKUP($A535,Config!$B$6:$E$1862,3,FALSE)</f>
        <v>#N/A</v>
      </c>
      <c r="D535" s="19" t="e">
        <f>VLOOKUP($A535,Config!$B$6:$E$1862,4,FALSE)</f>
        <v>#N/A</v>
      </c>
    </row>
    <row r="536" spans="1:4" x14ac:dyDescent="0.25">
      <c r="A536" s="19">
        <v>40571</v>
      </c>
      <c r="B536" s="19" t="e">
        <f>VLOOKUP($A536,Config!$B$6:$E$1862,2,FALSE)</f>
        <v>#N/A</v>
      </c>
      <c r="C536" s="19" t="e">
        <f>VLOOKUP($A536,Config!$B$6:$E$1862,3,FALSE)</f>
        <v>#N/A</v>
      </c>
      <c r="D536" s="19" t="e">
        <f>VLOOKUP($A536,Config!$B$6:$E$1862,4,FALSE)</f>
        <v>#N/A</v>
      </c>
    </row>
    <row r="537" spans="1:4" x14ac:dyDescent="0.25">
      <c r="A537" s="19">
        <v>40572</v>
      </c>
      <c r="B537" s="19" t="e">
        <f>VLOOKUP($A537,Config!$B$6:$E$1862,2,FALSE)</f>
        <v>#N/A</v>
      </c>
      <c r="C537" s="19" t="e">
        <f>VLOOKUP($A537,Config!$B$6:$E$1862,3,FALSE)</f>
        <v>#N/A</v>
      </c>
      <c r="D537" s="19" t="e">
        <f>VLOOKUP($A537,Config!$B$6:$E$1862,4,FALSE)</f>
        <v>#N/A</v>
      </c>
    </row>
    <row r="538" spans="1:4" x14ac:dyDescent="0.25">
      <c r="A538" s="19">
        <v>40573</v>
      </c>
      <c r="B538" s="19" t="e">
        <f>VLOOKUP($A538,Config!$B$6:$E$1862,2,FALSE)</f>
        <v>#N/A</v>
      </c>
      <c r="C538" s="19" t="e">
        <f>VLOOKUP($A538,Config!$B$6:$E$1862,3,FALSE)</f>
        <v>#N/A</v>
      </c>
      <c r="D538" s="19" t="e">
        <f>VLOOKUP($A538,Config!$B$6:$E$1862,4,FALSE)</f>
        <v>#N/A</v>
      </c>
    </row>
    <row r="539" spans="1:4" x14ac:dyDescent="0.25">
      <c r="A539" s="19">
        <v>40574</v>
      </c>
      <c r="B539" s="19" t="e">
        <f>VLOOKUP($A539,Config!$B$6:$E$1862,2,FALSE)</f>
        <v>#N/A</v>
      </c>
      <c r="C539" s="19" t="e">
        <f>VLOOKUP($A539,Config!$B$6:$E$1862,3,FALSE)</f>
        <v>#N/A</v>
      </c>
      <c r="D539" s="19" t="e">
        <f>VLOOKUP($A539,Config!$B$6:$E$1862,4,FALSE)</f>
        <v>#N/A</v>
      </c>
    </row>
    <row r="540" spans="1:4" x14ac:dyDescent="0.25">
      <c r="A540" s="19">
        <v>40575</v>
      </c>
      <c r="B540" s="19" t="e">
        <f>VLOOKUP($A540,Config!$B$6:$E$1862,2,FALSE)</f>
        <v>#N/A</v>
      </c>
      <c r="C540" s="19" t="e">
        <f>VLOOKUP($A540,Config!$B$6:$E$1862,3,FALSE)</f>
        <v>#N/A</v>
      </c>
      <c r="D540" s="19" t="e">
        <f>VLOOKUP($A540,Config!$B$6:$E$1862,4,FALSE)</f>
        <v>#N/A</v>
      </c>
    </row>
    <row r="541" spans="1:4" x14ac:dyDescent="0.25">
      <c r="A541" s="19">
        <v>40576</v>
      </c>
      <c r="B541" s="19" t="e">
        <f>VLOOKUP($A541,Config!$B$6:$E$1862,2,FALSE)</f>
        <v>#N/A</v>
      </c>
      <c r="C541" s="19" t="e">
        <f>VLOOKUP($A541,Config!$B$6:$E$1862,3,FALSE)</f>
        <v>#N/A</v>
      </c>
      <c r="D541" s="19" t="e">
        <f>VLOOKUP($A541,Config!$B$6:$E$1862,4,FALSE)</f>
        <v>#N/A</v>
      </c>
    </row>
    <row r="542" spans="1:4" x14ac:dyDescent="0.25">
      <c r="A542" s="19">
        <v>40577</v>
      </c>
      <c r="B542" s="19" t="e">
        <f>VLOOKUP($A542,Config!$B$6:$E$1862,2,FALSE)</f>
        <v>#N/A</v>
      </c>
      <c r="C542" s="19" t="e">
        <f>VLOOKUP($A542,Config!$B$6:$E$1862,3,FALSE)</f>
        <v>#N/A</v>
      </c>
      <c r="D542" s="19" t="e">
        <f>VLOOKUP($A542,Config!$B$6:$E$1862,4,FALSE)</f>
        <v>#N/A</v>
      </c>
    </row>
    <row r="543" spans="1:4" x14ac:dyDescent="0.25">
      <c r="A543" s="19">
        <v>40578</v>
      </c>
      <c r="B543" s="19" t="e">
        <f>VLOOKUP($A543,Config!$B$6:$E$1862,2,FALSE)</f>
        <v>#N/A</v>
      </c>
      <c r="C543" s="19" t="e">
        <f>VLOOKUP($A543,Config!$B$6:$E$1862,3,FALSE)</f>
        <v>#N/A</v>
      </c>
      <c r="D543" s="19" t="e">
        <f>VLOOKUP($A543,Config!$B$6:$E$1862,4,FALSE)</f>
        <v>#N/A</v>
      </c>
    </row>
    <row r="544" spans="1:4" x14ac:dyDescent="0.25">
      <c r="A544" s="19">
        <v>40579</v>
      </c>
      <c r="B544" s="19" t="e">
        <f>VLOOKUP($A544,Config!$B$6:$E$1862,2,FALSE)</f>
        <v>#N/A</v>
      </c>
      <c r="C544" s="19" t="e">
        <f>VLOOKUP($A544,Config!$B$6:$E$1862,3,FALSE)</f>
        <v>#N/A</v>
      </c>
      <c r="D544" s="19" t="e">
        <f>VLOOKUP($A544,Config!$B$6:$E$1862,4,FALSE)</f>
        <v>#N/A</v>
      </c>
    </row>
    <row r="545" spans="1:4" x14ac:dyDescent="0.25">
      <c r="A545" s="19">
        <v>40580</v>
      </c>
      <c r="B545" s="19" t="e">
        <f>VLOOKUP($A545,Config!$B$6:$E$1862,2,FALSE)</f>
        <v>#N/A</v>
      </c>
      <c r="C545" s="19" t="e">
        <f>VLOOKUP($A545,Config!$B$6:$E$1862,3,FALSE)</f>
        <v>#N/A</v>
      </c>
      <c r="D545" s="19" t="e">
        <f>VLOOKUP($A545,Config!$B$6:$E$1862,4,FALSE)</f>
        <v>#N/A</v>
      </c>
    </row>
    <row r="546" spans="1:4" x14ac:dyDescent="0.25">
      <c r="A546" s="19">
        <v>40581</v>
      </c>
      <c r="B546" s="19" t="e">
        <f>VLOOKUP($A546,Config!$B$6:$E$1862,2,FALSE)</f>
        <v>#N/A</v>
      </c>
      <c r="C546" s="19" t="e">
        <f>VLOOKUP($A546,Config!$B$6:$E$1862,3,FALSE)</f>
        <v>#N/A</v>
      </c>
      <c r="D546" s="19" t="e">
        <f>VLOOKUP($A546,Config!$B$6:$E$1862,4,FALSE)</f>
        <v>#N/A</v>
      </c>
    </row>
    <row r="547" spans="1:4" x14ac:dyDescent="0.25">
      <c r="A547" s="19">
        <v>40582</v>
      </c>
      <c r="B547" s="19" t="e">
        <f>VLOOKUP($A547,Config!$B$6:$E$1862,2,FALSE)</f>
        <v>#N/A</v>
      </c>
      <c r="C547" s="19" t="e">
        <f>VLOOKUP($A547,Config!$B$6:$E$1862,3,FALSE)</f>
        <v>#N/A</v>
      </c>
      <c r="D547" s="19" t="e">
        <f>VLOOKUP($A547,Config!$B$6:$E$1862,4,FALSE)</f>
        <v>#N/A</v>
      </c>
    </row>
    <row r="548" spans="1:4" x14ac:dyDescent="0.25">
      <c r="A548" s="19">
        <v>40583</v>
      </c>
      <c r="B548" s="19" t="e">
        <f>VLOOKUP($A548,Config!$B$6:$E$1862,2,FALSE)</f>
        <v>#N/A</v>
      </c>
      <c r="C548" s="19" t="e">
        <f>VLOOKUP($A548,Config!$B$6:$E$1862,3,FALSE)</f>
        <v>#N/A</v>
      </c>
      <c r="D548" s="19" t="e">
        <f>VLOOKUP($A548,Config!$B$6:$E$1862,4,FALSE)</f>
        <v>#N/A</v>
      </c>
    </row>
    <row r="549" spans="1:4" x14ac:dyDescent="0.25">
      <c r="A549" s="19">
        <v>40584</v>
      </c>
      <c r="B549" s="19" t="e">
        <f>VLOOKUP($A549,Config!$B$6:$E$1862,2,FALSE)</f>
        <v>#N/A</v>
      </c>
      <c r="C549" s="19" t="e">
        <f>VLOOKUP($A549,Config!$B$6:$E$1862,3,FALSE)</f>
        <v>#N/A</v>
      </c>
      <c r="D549" s="19" t="e">
        <f>VLOOKUP($A549,Config!$B$6:$E$1862,4,FALSE)</f>
        <v>#N/A</v>
      </c>
    </row>
    <row r="550" spans="1:4" x14ac:dyDescent="0.25">
      <c r="A550" s="19">
        <v>40585</v>
      </c>
      <c r="B550" s="19" t="e">
        <f>VLOOKUP($A550,Config!$B$6:$E$1862,2,FALSE)</f>
        <v>#N/A</v>
      </c>
      <c r="C550" s="19" t="e">
        <f>VLOOKUP($A550,Config!$B$6:$E$1862,3,FALSE)</f>
        <v>#N/A</v>
      </c>
      <c r="D550" s="19" t="e">
        <f>VLOOKUP($A550,Config!$B$6:$E$1862,4,FALSE)</f>
        <v>#N/A</v>
      </c>
    </row>
    <row r="551" spans="1:4" x14ac:dyDescent="0.25">
      <c r="A551" s="19">
        <v>40586</v>
      </c>
      <c r="B551" s="19" t="e">
        <f>VLOOKUP($A551,Config!$B$6:$E$1862,2,FALSE)</f>
        <v>#N/A</v>
      </c>
      <c r="C551" s="19" t="e">
        <f>VLOOKUP($A551,Config!$B$6:$E$1862,3,FALSE)</f>
        <v>#N/A</v>
      </c>
      <c r="D551" s="19" t="e">
        <f>VLOOKUP($A551,Config!$B$6:$E$1862,4,FALSE)</f>
        <v>#N/A</v>
      </c>
    </row>
    <row r="552" spans="1:4" x14ac:dyDescent="0.25">
      <c r="A552" s="19">
        <v>40587</v>
      </c>
      <c r="B552" s="19" t="e">
        <f>VLOOKUP($A552,Config!$B$6:$E$1862,2,FALSE)</f>
        <v>#N/A</v>
      </c>
      <c r="C552" s="19" t="e">
        <f>VLOOKUP($A552,Config!$B$6:$E$1862,3,FALSE)</f>
        <v>#N/A</v>
      </c>
      <c r="D552" s="19" t="e">
        <f>VLOOKUP($A552,Config!$B$6:$E$1862,4,FALSE)</f>
        <v>#N/A</v>
      </c>
    </row>
    <row r="553" spans="1:4" x14ac:dyDescent="0.25">
      <c r="A553" s="19">
        <v>40588</v>
      </c>
      <c r="B553" s="19" t="e">
        <f>VLOOKUP($A553,Config!$B$6:$E$1862,2,FALSE)</f>
        <v>#N/A</v>
      </c>
      <c r="C553" s="19" t="e">
        <f>VLOOKUP($A553,Config!$B$6:$E$1862,3,FALSE)</f>
        <v>#N/A</v>
      </c>
      <c r="D553" s="19" t="e">
        <f>VLOOKUP($A553,Config!$B$6:$E$1862,4,FALSE)</f>
        <v>#N/A</v>
      </c>
    </row>
    <row r="554" spans="1:4" x14ac:dyDescent="0.25">
      <c r="A554" s="19">
        <v>40589</v>
      </c>
      <c r="B554" s="19" t="e">
        <f>VLOOKUP($A554,Config!$B$6:$E$1862,2,FALSE)</f>
        <v>#N/A</v>
      </c>
      <c r="C554" s="19" t="e">
        <f>VLOOKUP($A554,Config!$B$6:$E$1862,3,FALSE)</f>
        <v>#N/A</v>
      </c>
      <c r="D554" s="19" t="e">
        <f>VLOOKUP($A554,Config!$B$6:$E$1862,4,FALSE)</f>
        <v>#N/A</v>
      </c>
    </row>
    <row r="555" spans="1:4" x14ac:dyDescent="0.25">
      <c r="A555" s="19">
        <v>40590</v>
      </c>
      <c r="B555" s="19" t="e">
        <f>VLOOKUP($A555,Config!$B$6:$E$1862,2,FALSE)</f>
        <v>#N/A</v>
      </c>
      <c r="C555" s="19" t="e">
        <f>VLOOKUP($A555,Config!$B$6:$E$1862,3,FALSE)</f>
        <v>#N/A</v>
      </c>
      <c r="D555" s="19" t="e">
        <f>VLOOKUP($A555,Config!$B$6:$E$1862,4,FALSE)</f>
        <v>#N/A</v>
      </c>
    </row>
    <row r="556" spans="1:4" x14ac:dyDescent="0.25">
      <c r="A556" s="19">
        <v>40591</v>
      </c>
      <c r="B556" s="19" t="e">
        <f>VLOOKUP($A556,Config!$B$6:$E$1862,2,FALSE)</f>
        <v>#N/A</v>
      </c>
      <c r="C556" s="19" t="e">
        <f>VLOOKUP($A556,Config!$B$6:$E$1862,3,FALSE)</f>
        <v>#N/A</v>
      </c>
      <c r="D556" s="19" t="e">
        <f>VLOOKUP($A556,Config!$B$6:$E$1862,4,FALSE)</f>
        <v>#N/A</v>
      </c>
    </row>
    <row r="557" spans="1:4" x14ac:dyDescent="0.25">
      <c r="A557" s="19">
        <v>40592</v>
      </c>
      <c r="B557" s="19" t="e">
        <f>VLOOKUP($A557,Config!$B$6:$E$1862,2,FALSE)</f>
        <v>#N/A</v>
      </c>
      <c r="C557" s="19" t="e">
        <f>VLOOKUP($A557,Config!$B$6:$E$1862,3,FALSE)</f>
        <v>#N/A</v>
      </c>
      <c r="D557" s="19" t="e">
        <f>VLOOKUP($A557,Config!$B$6:$E$1862,4,FALSE)</f>
        <v>#N/A</v>
      </c>
    </row>
    <row r="558" spans="1:4" x14ac:dyDescent="0.25">
      <c r="A558" s="19">
        <v>40593</v>
      </c>
      <c r="B558" s="19" t="e">
        <f>VLOOKUP($A558,Config!$B$6:$E$1862,2,FALSE)</f>
        <v>#N/A</v>
      </c>
      <c r="C558" s="19" t="e">
        <f>VLOOKUP($A558,Config!$B$6:$E$1862,3,FALSE)</f>
        <v>#N/A</v>
      </c>
      <c r="D558" s="19" t="e">
        <f>VLOOKUP($A558,Config!$B$6:$E$1862,4,FALSE)</f>
        <v>#N/A</v>
      </c>
    </row>
    <row r="559" spans="1:4" x14ac:dyDescent="0.25">
      <c r="A559" s="19">
        <v>40594</v>
      </c>
      <c r="B559" s="19" t="e">
        <f>VLOOKUP($A559,Config!$B$6:$E$1862,2,FALSE)</f>
        <v>#N/A</v>
      </c>
      <c r="C559" s="19" t="e">
        <f>VLOOKUP($A559,Config!$B$6:$E$1862,3,FALSE)</f>
        <v>#N/A</v>
      </c>
      <c r="D559" s="19" t="e">
        <f>VLOOKUP($A559,Config!$B$6:$E$1862,4,FALSE)</f>
        <v>#N/A</v>
      </c>
    </row>
    <row r="560" spans="1:4" x14ac:dyDescent="0.25">
      <c r="A560" s="19">
        <v>40595</v>
      </c>
      <c r="B560" s="19" t="e">
        <f>VLOOKUP($A560,Config!$B$6:$E$1862,2,FALSE)</f>
        <v>#N/A</v>
      </c>
      <c r="C560" s="19" t="e">
        <f>VLOOKUP($A560,Config!$B$6:$E$1862,3,FALSE)</f>
        <v>#N/A</v>
      </c>
      <c r="D560" s="19" t="e">
        <f>VLOOKUP($A560,Config!$B$6:$E$1862,4,FALSE)</f>
        <v>#N/A</v>
      </c>
    </row>
    <row r="561" spans="1:4" x14ac:dyDescent="0.25">
      <c r="A561" s="19">
        <v>40597</v>
      </c>
      <c r="B561" s="19" t="e">
        <f>VLOOKUP($A561,Config!$B$6:$E$1862,2,FALSE)</f>
        <v>#N/A</v>
      </c>
      <c r="C561" s="19" t="e">
        <f>VLOOKUP($A561,Config!$B$6:$E$1862,3,FALSE)</f>
        <v>#N/A</v>
      </c>
      <c r="D561" s="19" t="e">
        <f>VLOOKUP($A561,Config!$B$6:$E$1862,4,FALSE)</f>
        <v>#N/A</v>
      </c>
    </row>
    <row r="562" spans="1:4" x14ac:dyDescent="0.25">
      <c r="A562" s="19">
        <v>40598</v>
      </c>
      <c r="B562" s="19" t="e">
        <f>VLOOKUP($A562,Config!$B$6:$E$1862,2,FALSE)</f>
        <v>#N/A</v>
      </c>
      <c r="C562" s="19" t="e">
        <f>VLOOKUP($A562,Config!$B$6:$E$1862,3,FALSE)</f>
        <v>#N/A</v>
      </c>
      <c r="D562" s="19" t="e">
        <f>VLOOKUP($A562,Config!$B$6:$E$1862,4,FALSE)</f>
        <v>#N/A</v>
      </c>
    </row>
    <row r="563" spans="1:4" x14ac:dyDescent="0.25">
      <c r="A563" s="19">
        <v>40599</v>
      </c>
      <c r="B563" s="19" t="e">
        <f>VLOOKUP($A563,Config!$B$6:$E$1862,2,FALSE)</f>
        <v>#N/A</v>
      </c>
      <c r="C563" s="19" t="e">
        <f>VLOOKUP($A563,Config!$B$6:$E$1862,3,FALSE)</f>
        <v>#N/A</v>
      </c>
      <c r="D563" s="19" t="e">
        <f>VLOOKUP($A563,Config!$B$6:$E$1862,4,FALSE)</f>
        <v>#N/A</v>
      </c>
    </row>
    <row r="564" spans="1:4" x14ac:dyDescent="0.25">
      <c r="A564" s="19">
        <v>40600</v>
      </c>
      <c r="B564" s="19" t="e">
        <f>VLOOKUP($A564,Config!$B$6:$E$1862,2,FALSE)</f>
        <v>#N/A</v>
      </c>
      <c r="C564" s="19" t="e">
        <f>VLOOKUP($A564,Config!$B$6:$E$1862,3,FALSE)</f>
        <v>#N/A</v>
      </c>
      <c r="D564" s="19" t="e">
        <f>VLOOKUP($A564,Config!$B$6:$E$1862,4,FALSE)</f>
        <v>#N/A</v>
      </c>
    </row>
    <row r="565" spans="1:4" x14ac:dyDescent="0.25">
      <c r="A565" s="19">
        <v>40601</v>
      </c>
      <c r="B565" s="19" t="e">
        <f>VLOOKUP($A565,Config!$B$6:$E$1862,2,FALSE)</f>
        <v>#N/A</v>
      </c>
      <c r="C565" s="19" t="e">
        <f>VLOOKUP($A565,Config!$B$6:$E$1862,3,FALSE)</f>
        <v>#N/A</v>
      </c>
      <c r="D565" s="19" t="e">
        <f>VLOOKUP($A565,Config!$B$6:$E$1862,4,FALSE)</f>
        <v>#N/A</v>
      </c>
    </row>
    <row r="566" spans="1:4" x14ac:dyDescent="0.25">
      <c r="A566" s="19">
        <v>40602</v>
      </c>
      <c r="B566" s="19" t="e">
        <f>VLOOKUP($A566,Config!$B$6:$E$1862,2,FALSE)</f>
        <v>#N/A</v>
      </c>
      <c r="C566" s="19" t="e">
        <f>VLOOKUP($A566,Config!$B$6:$E$1862,3,FALSE)</f>
        <v>#N/A</v>
      </c>
      <c r="D566" s="19" t="e">
        <f>VLOOKUP($A566,Config!$B$6:$E$1862,4,FALSE)</f>
        <v>#N/A</v>
      </c>
    </row>
    <row r="567" spans="1:4" x14ac:dyDescent="0.25">
      <c r="A567" s="19">
        <v>40603</v>
      </c>
      <c r="B567" s="19" t="e">
        <f>VLOOKUP($A567,Config!$B$6:$E$1862,2,FALSE)</f>
        <v>#N/A</v>
      </c>
      <c r="C567" s="19" t="e">
        <f>VLOOKUP($A567,Config!$B$6:$E$1862,3,FALSE)</f>
        <v>#N/A</v>
      </c>
      <c r="D567" s="19" t="e">
        <f>VLOOKUP($A567,Config!$B$6:$E$1862,4,FALSE)</f>
        <v>#N/A</v>
      </c>
    </row>
    <row r="568" spans="1:4" x14ac:dyDescent="0.25">
      <c r="A568" s="19">
        <v>40604</v>
      </c>
      <c r="B568" s="19" t="e">
        <f>VLOOKUP($A568,Config!$B$6:$E$1862,2,FALSE)</f>
        <v>#N/A</v>
      </c>
      <c r="C568" s="19" t="e">
        <f>VLOOKUP($A568,Config!$B$6:$E$1862,3,FALSE)</f>
        <v>#N/A</v>
      </c>
      <c r="D568" s="19" t="e">
        <f>VLOOKUP($A568,Config!$B$6:$E$1862,4,FALSE)</f>
        <v>#N/A</v>
      </c>
    </row>
    <row r="569" spans="1:4" x14ac:dyDescent="0.25">
      <c r="A569" s="19">
        <v>40605</v>
      </c>
      <c r="B569" s="19" t="e">
        <f>VLOOKUP($A569,Config!$B$6:$E$1862,2,FALSE)</f>
        <v>#N/A</v>
      </c>
      <c r="C569" s="19" t="e">
        <f>VLOOKUP($A569,Config!$B$6:$E$1862,3,FALSE)</f>
        <v>#N/A</v>
      </c>
      <c r="D569" s="19" t="e">
        <f>VLOOKUP($A569,Config!$B$6:$E$1862,4,FALSE)</f>
        <v>#N/A</v>
      </c>
    </row>
    <row r="570" spans="1:4" x14ac:dyDescent="0.25">
      <c r="A570" s="19">
        <v>40606</v>
      </c>
      <c r="B570" s="19" t="e">
        <f>VLOOKUP($A570,Config!$B$6:$E$1862,2,FALSE)</f>
        <v>#N/A</v>
      </c>
      <c r="C570" s="19" t="e">
        <f>VLOOKUP($A570,Config!$B$6:$E$1862,3,FALSE)</f>
        <v>#N/A</v>
      </c>
      <c r="D570" s="19" t="e">
        <f>VLOOKUP($A570,Config!$B$6:$E$1862,4,FALSE)</f>
        <v>#N/A</v>
      </c>
    </row>
    <row r="571" spans="1:4" x14ac:dyDescent="0.25">
      <c r="A571" s="19">
        <v>40607</v>
      </c>
      <c r="B571" s="19" t="e">
        <f>VLOOKUP($A571,Config!$B$6:$E$1862,2,FALSE)</f>
        <v>#N/A</v>
      </c>
      <c r="C571" s="19" t="e">
        <f>VLOOKUP($A571,Config!$B$6:$E$1862,3,FALSE)</f>
        <v>#N/A</v>
      </c>
      <c r="D571" s="19" t="e">
        <f>VLOOKUP($A571,Config!$B$6:$E$1862,4,FALSE)</f>
        <v>#N/A</v>
      </c>
    </row>
    <row r="572" spans="1:4" x14ac:dyDescent="0.25">
      <c r="A572" s="19">
        <v>40608</v>
      </c>
      <c r="B572" s="19" t="e">
        <f>VLOOKUP($A572,Config!$B$6:$E$1862,2,FALSE)</f>
        <v>#N/A</v>
      </c>
      <c r="C572" s="19" t="e">
        <f>VLOOKUP($A572,Config!$B$6:$E$1862,3,FALSE)</f>
        <v>#N/A</v>
      </c>
      <c r="D572" s="19" t="e">
        <f>VLOOKUP($A572,Config!$B$6:$E$1862,4,FALSE)</f>
        <v>#N/A</v>
      </c>
    </row>
    <row r="573" spans="1:4" x14ac:dyDescent="0.25">
      <c r="A573" s="19">
        <v>40609</v>
      </c>
      <c r="B573" s="19" t="e">
        <f>VLOOKUP($A573,Config!$B$6:$E$1862,2,FALSE)</f>
        <v>#N/A</v>
      </c>
      <c r="C573" s="19" t="e">
        <f>VLOOKUP($A573,Config!$B$6:$E$1862,3,FALSE)</f>
        <v>#N/A</v>
      </c>
      <c r="D573" s="19" t="e">
        <f>VLOOKUP($A573,Config!$B$6:$E$1862,4,FALSE)</f>
        <v>#N/A</v>
      </c>
    </row>
    <row r="574" spans="1:4" x14ac:dyDescent="0.25">
      <c r="A574" s="19">
        <v>40610</v>
      </c>
      <c r="B574" s="19" t="e">
        <f>VLOOKUP($A574,Config!$B$6:$E$1862,2,FALSE)</f>
        <v>#N/A</v>
      </c>
      <c r="C574" s="19" t="e">
        <f>VLOOKUP($A574,Config!$B$6:$E$1862,3,FALSE)</f>
        <v>#N/A</v>
      </c>
      <c r="D574" s="19" t="e">
        <f>VLOOKUP($A574,Config!$B$6:$E$1862,4,FALSE)</f>
        <v>#N/A</v>
      </c>
    </row>
    <row r="575" spans="1:4" x14ac:dyDescent="0.25">
      <c r="A575" s="19">
        <v>40611</v>
      </c>
      <c r="B575" s="19" t="e">
        <f>VLOOKUP($A575,Config!$B$6:$E$1862,2,FALSE)</f>
        <v>#N/A</v>
      </c>
      <c r="C575" s="19" t="e">
        <f>VLOOKUP($A575,Config!$B$6:$E$1862,3,FALSE)</f>
        <v>#N/A</v>
      </c>
      <c r="D575" s="19" t="e">
        <f>VLOOKUP($A575,Config!$B$6:$E$1862,4,FALSE)</f>
        <v>#N/A</v>
      </c>
    </row>
    <row r="576" spans="1:4" x14ac:dyDescent="0.25">
      <c r="A576" s="19">
        <v>40612</v>
      </c>
      <c r="B576" s="19" t="e">
        <f>VLOOKUP($A576,Config!$B$6:$E$1862,2,FALSE)</f>
        <v>#N/A</v>
      </c>
      <c r="C576" s="19" t="e">
        <f>VLOOKUP($A576,Config!$B$6:$E$1862,3,FALSE)</f>
        <v>#N/A</v>
      </c>
      <c r="D576" s="19" t="e">
        <f>VLOOKUP($A576,Config!$B$6:$E$1862,4,FALSE)</f>
        <v>#N/A</v>
      </c>
    </row>
    <row r="577" spans="1:4" x14ac:dyDescent="0.25">
      <c r="A577" s="19">
        <v>40613</v>
      </c>
      <c r="B577" s="19" t="e">
        <f>VLOOKUP($A577,Config!$B$6:$E$1862,2,FALSE)</f>
        <v>#N/A</v>
      </c>
      <c r="C577" s="19" t="e">
        <f>VLOOKUP($A577,Config!$B$6:$E$1862,3,FALSE)</f>
        <v>#N/A</v>
      </c>
      <c r="D577" s="19" t="e">
        <f>VLOOKUP($A577,Config!$B$6:$E$1862,4,FALSE)</f>
        <v>#N/A</v>
      </c>
    </row>
    <row r="578" spans="1:4" x14ac:dyDescent="0.25">
      <c r="A578" s="19">
        <v>40614</v>
      </c>
      <c r="B578" s="19" t="e">
        <f>VLOOKUP($A578,Config!$B$6:$E$1862,2,FALSE)</f>
        <v>#N/A</v>
      </c>
      <c r="C578" s="19" t="e">
        <f>VLOOKUP($A578,Config!$B$6:$E$1862,3,FALSE)</f>
        <v>#N/A</v>
      </c>
      <c r="D578" s="19" t="e">
        <f>VLOOKUP($A578,Config!$B$6:$E$1862,4,FALSE)</f>
        <v>#N/A</v>
      </c>
    </row>
    <row r="579" spans="1:4" x14ac:dyDescent="0.25">
      <c r="A579" s="19">
        <v>40615</v>
      </c>
      <c r="B579" s="19" t="e">
        <f>VLOOKUP($A579,Config!$B$6:$E$1862,2,FALSE)</f>
        <v>#N/A</v>
      </c>
      <c r="C579" s="19" t="e">
        <f>VLOOKUP($A579,Config!$B$6:$E$1862,3,FALSE)</f>
        <v>#N/A</v>
      </c>
      <c r="D579" s="19" t="e">
        <f>VLOOKUP($A579,Config!$B$6:$E$1862,4,FALSE)</f>
        <v>#N/A</v>
      </c>
    </row>
    <row r="580" spans="1:4" x14ac:dyDescent="0.25">
      <c r="A580" s="19">
        <v>40616</v>
      </c>
      <c r="B580" s="19" t="e">
        <f>VLOOKUP($A580,Config!$B$6:$E$1862,2,FALSE)</f>
        <v>#N/A</v>
      </c>
      <c r="C580" s="19" t="e">
        <f>VLOOKUP($A580,Config!$B$6:$E$1862,3,FALSE)</f>
        <v>#N/A</v>
      </c>
      <c r="D580" s="19" t="e">
        <f>VLOOKUP($A580,Config!$B$6:$E$1862,4,FALSE)</f>
        <v>#N/A</v>
      </c>
    </row>
    <row r="581" spans="1:4" x14ac:dyDescent="0.25">
      <c r="A581" s="19">
        <v>40617</v>
      </c>
      <c r="B581" s="19" t="e">
        <f>VLOOKUP($A581,Config!$B$6:$E$1862,2,FALSE)</f>
        <v>#N/A</v>
      </c>
      <c r="C581" s="19" t="e">
        <f>VLOOKUP($A581,Config!$B$6:$E$1862,3,FALSE)</f>
        <v>#N/A</v>
      </c>
      <c r="D581" s="19" t="e">
        <f>VLOOKUP($A581,Config!$B$6:$E$1862,4,FALSE)</f>
        <v>#N/A</v>
      </c>
    </row>
    <row r="582" spans="1:4" x14ac:dyDescent="0.25">
      <c r="A582" s="19">
        <v>40618</v>
      </c>
      <c r="B582" s="19" t="e">
        <f>VLOOKUP($A582,Config!$B$6:$E$1862,2,FALSE)</f>
        <v>#N/A</v>
      </c>
      <c r="C582" s="19" t="e">
        <f>VLOOKUP($A582,Config!$B$6:$E$1862,3,FALSE)</f>
        <v>#N/A</v>
      </c>
      <c r="D582" s="19" t="e">
        <f>VLOOKUP($A582,Config!$B$6:$E$1862,4,FALSE)</f>
        <v>#N/A</v>
      </c>
    </row>
    <row r="583" spans="1:4" x14ac:dyDescent="0.25">
      <c r="A583" s="19">
        <v>40619</v>
      </c>
      <c r="B583" s="19" t="e">
        <f>VLOOKUP($A583,Config!$B$6:$E$1862,2,FALSE)</f>
        <v>#N/A</v>
      </c>
      <c r="C583" s="19" t="e">
        <f>VLOOKUP($A583,Config!$B$6:$E$1862,3,FALSE)</f>
        <v>#N/A</v>
      </c>
      <c r="D583" s="19" t="e">
        <f>VLOOKUP($A583,Config!$B$6:$E$1862,4,FALSE)</f>
        <v>#N/A</v>
      </c>
    </row>
    <row r="584" spans="1:4" x14ac:dyDescent="0.25">
      <c r="A584" s="19">
        <v>40620</v>
      </c>
      <c r="B584" s="19" t="e">
        <f>VLOOKUP($A584,Config!$B$6:$E$1862,2,FALSE)</f>
        <v>#N/A</v>
      </c>
      <c r="C584" s="19" t="e">
        <f>VLOOKUP($A584,Config!$B$6:$E$1862,3,FALSE)</f>
        <v>#N/A</v>
      </c>
      <c r="D584" s="19" t="e">
        <f>VLOOKUP($A584,Config!$B$6:$E$1862,4,FALSE)</f>
        <v>#N/A</v>
      </c>
    </row>
    <row r="585" spans="1:4" x14ac:dyDescent="0.25">
      <c r="A585" s="19">
        <v>40621</v>
      </c>
      <c r="B585" s="19" t="e">
        <f>VLOOKUP($A585,Config!$B$6:$E$1862,2,FALSE)</f>
        <v>#N/A</v>
      </c>
      <c r="C585" s="19" t="e">
        <f>VLOOKUP($A585,Config!$B$6:$E$1862,3,FALSE)</f>
        <v>#N/A</v>
      </c>
      <c r="D585" s="19" t="e">
        <f>VLOOKUP($A585,Config!$B$6:$E$1862,4,FALSE)</f>
        <v>#N/A</v>
      </c>
    </row>
    <row r="586" spans="1:4" x14ac:dyDescent="0.25">
      <c r="A586" s="19">
        <v>40622</v>
      </c>
      <c r="B586" s="19" t="e">
        <f>VLOOKUP($A586,Config!$B$6:$E$1862,2,FALSE)</f>
        <v>#N/A</v>
      </c>
      <c r="C586" s="19" t="e">
        <f>VLOOKUP($A586,Config!$B$6:$E$1862,3,FALSE)</f>
        <v>#N/A</v>
      </c>
      <c r="D586" s="19" t="e">
        <f>VLOOKUP($A586,Config!$B$6:$E$1862,4,FALSE)</f>
        <v>#N/A</v>
      </c>
    </row>
    <row r="587" spans="1:4" x14ac:dyDescent="0.25">
      <c r="A587" s="19">
        <v>40623</v>
      </c>
      <c r="B587" s="19" t="e">
        <f>VLOOKUP($A587,Config!$B$6:$E$1862,2,FALSE)</f>
        <v>#N/A</v>
      </c>
      <c r="C587" s="19" t="e">
        <f>VLOOKUP($A587,Config!$B$6:$E$1862,3,FALSE)</f>
        <v>#N/A</v>
      </c>
      <c r="D587" s="19" t="e">
        <f>VLOOKUP($A587,Config!$B$6:$E$1862,4,FALSE)</f>
        <v>#N/A</v>
      </c>
    </row>
    <row r="588" spans="1:4" x14ac:dyDescent="0.25">
      <c r="A588" s="19">
        <v>40624</v>
      </c>
      <c r="B588" s="19" t="e">
        <f>VLOOKUP($A588,Config!$B$6:$E$1862,2,FALSE)</f>
        <v>#N/A</v>
      </c>
      <c r="C588" s="19" t="e">
        <f>VLOOKUP($A588,Config!$B$6:$E$1862,3,FALSE)</f>
        <v>#N/A</v>
      </c>
      <c r="D588" s="19" t="e">
        <f>VLOOKUP($A588,Config!$B$6:$E$1862,4,FALSE)</f>
        <v>#N/A</v>
      </c>
    </row>
    <row r="589" spans="1:4" x14ac:dyDescent="0.25">
      <c r="A589" s="19">
        <v>40628</v>
      </c>
      <c r="B589" s="19" t="e">
        <f>VLOOKUP($A589,Config!$B$6:$E$1862,2,FALSE)</f>
        <v>#N/A</v>
      </c>
      <c r="C589" s="19" t="e">
        <f>VLOOKUP($A589,Config!$B$6:$E$1862,3,FALSE)</f>
        <v>#N/A</v>
      </c>
      <c r="D589" s="19" t="e">
        <f>VLOOKUP($A589,Config!$B$6:$E$1862,4,FALSE)</f>
        <v>#N/A</v>
      </c>
    </row>
    <row r="590" spans="1:4" x14ac:dyDescent="0.25">
      <c r="A590" s="19">
        <v>40629</v>
      </c>
      <c r="B590" s="19" t="e">
        <f>VLOOKUP($A590,Config!$B$6:$E$1862,2,FALSE)</f>
        <v>#N/A</v>
      </c>
      <c r="C590" s="19" t="e">
        <f>VLOOKUP($A590,Config!$B$6:$E$1862,3,FALSE)</f>
        <v>#N/A</v>
      </c>
      <c r="D590" s="19" t="e">
        <f>VLOOKUP($A590,Config!$B$6:$E$1862,4,FALSE)</f>
        <v>#N/A</v>
      </c>
    </row>
    <row r="591" spans="1:4" x14ac:dyDescent="0.25">
      <c r="A591" s="19">
        <v>40630</v>
      </c>
      <c r="B591" s="19" t="e">
        <f>VLOOKUP($A591,Config!$B$6:$E$1862,2,FALSE)</f>
        <v>#N/A</v>
      </c>
      <c r="C591" s="19" t="e">
        <f>VLOOKUP($A591,Config!$B$6:$E$1862,3,FALSE)</f>
        <v>#N/A</v>
      </c>
      <c r="D591" s="19" t="e">
        <f>VLOOKUP($A591,Config!$B$6:$E$1862,4,FALSE)</f>
        <v>#N/A</v>
      </c>
    </row>
    <row r="592" spans="1:4" x14ac:dyDescent="0.25">
      <c r="A592" s="19">
        <v>40631</v>
      </c>
      <c r="B592" s="19" t="e">
        <f>VLOOKUP($A592,Config!$B$6:$E$1862,2,FALSE)</f>
        <v>#N/A</v>
      </c>
      <c r="C592" s="19" t="e">
        <f>VLOOKUP($A592,Config!$B$6:$E$1862,3,FALSE)</f>
        <v>#N/A</v>
      </c>
      <c r="D592" s="19" t="e">
        <f>VLOOKUP($A592,Config!$B$6:$E$1862,4,FALSE)</f>
        <v>#N/A</v>
      </c>
    </row>
    <row r="593" spans="1:4" x14ac:dyDescent="0.25">
      <c r="A593" s="19">
        <v>40632</v>
      </c>
      <c r="B593" s="19" t="e">
        <f>VLOOKUP($A593,Config!$B$6:$E$1862,2,FALSE)</f>
        <v>#N/A</v>
      </c>
      <c r="C593" s="19" t="e">
        <f>VLOOKUP($A593,Config!$B$6:$E$1862,3,FALSE)</f>
        <v>#N/A</v>
      </c>
      <c r="D593" s="19" t="e">
        <f>VLOOKUP($A593,Config!$B$6:$E$1862,4,FALSE)</f>
        <v>#N/A</v>
      </c>
    </row>
    <row r="594" spans="1:4" x14ac:dyDescent="0.25">
      <c r="A594" s="19">
        <v>40633</v>
      </c>
      <c r="B594" s="19" t="e">
        <f>VLOOKUP($A594,Config!$B$6:$E$1862,2,FALSE)</f>
        <v>#N/A</v>
      </c>
      <c r="C594" s="19" t="e">
        <f>VLOOKUP($A594,Config!$B$6:$E$1862,3,FALSE)</f>
        <v>#N/A</v>
      </c>
      <c r="D594" s="19" t="e">
        <f>VLOOKUP($A594,Config!$B$6:$E$1862,4,FALSE)</f>
        <v>#N/A</v>
      </c>
    </row>
    <row r="595" spans="1:4" x14ac:dyDescent="0.25">
      <c r="A595" s="19">
        <v>40634</v>
      </c>
      <c r="B595" s="19" t="e">
        <f>VLOOKUP($A595,Config!$B$6:$E$1862,2,FALSE)</f>
        <v>#N/A</v>
      </c>
      <c r="C595" s="19" t="e">
        <f>VLOOKUP($A595,Config!$B$6:$E$1862,3,FALSE)</f>
        <v>#N/A</v>
      </c>
      <c r="D595" s="19" t="e">
        <f>VLOOKUP($A595,Config!$B$6:$E$1862,4,FALSE)</f>
        <v>#N/A</v>
      </c>
    </row>
    <row r="596" spans="1:4" x14ac:dyDescent="0.25">
      <c r="A596" s="19">
        <v>40635</v>
      </c>
      <c r="B596" s="19" t="e">
        <f>VLOOKUP($A596,Config!$B$6:$E$1862,2,FALSE)</f>
        <v>#N/A</v>
      </c>
      <c r="C596" s="19" t="e">
        <f>VLOOKUP($A596,Config!$B$6:$E$1862,3,FALSE)</f>
        <v>#N/A</v>
      </c>
      <c r="D596" s="19" t="e">
        <f>VLOOKUP($A596,Config!$B$6:$E$1862,4,FALSE)</f>
        <v>#N/A</v>
      </c>
    </row>
    <row r="597" spans="1:4" x14ac:dyDescent="0.25">
      <c r="A597" s="19">
        <v>40636</v>
      </c>
      <c r="B597" s="19" t="e">
        <f>VLOOKUP($A597,Config!$B$6:$E$1862,2,FALSE)</f>
        <v>#N/A</v>
      </c>
      <c r="C597" s="19" t="e">
        <f>VLOOKUP($A597,Config!$B$6:$E$1862,3,FALSE)</f>
        <v>#N/A</v>
      </c>
      <c r="D597" s="19" t="e">
        <f>VLOOKUP($A597,Config!$B$6:$E$1862,4,FALSE)</f>
        <v>#N/A</v>
      </c>
    </row>
    <row r="598" spans="1:4" x14ac:dyDescent="0.25">
      <c r="A598" s="19">
        <v>40637</v>
      </c>
      <c r="B598" s="19" t="e">
        <f>VLOOKUP($A598,Config!$B$6:$E$1862,2,FALSE)</f>
        <v>#N/A</v>
      </c>
      <c r="C598" s="19" t="e">
        <f>VLOOKUP($A598,Config!$B$6:$E$1862,3,FALSE)</f>
        <v>#N/A</v>
      </c>
      <c r="D598" s="19" t="e">
        <f>VLOOKUP($A598,Config!$B$6:$E$1862,4,FALSE)</f>
        <v>#N/A</v>
      </c>
    </row>
    <row r="599" spans="1:4" x14ac:dyDescent="0.25">
      <c r="A599" s="19">
        <v>40638</v>
      </c>
      <c r="B599" s="19" t="e">
        <f>VLOOKUP($A599,Config!$B$6:$E$1862,2,FALSE)</f>
        <v>#N/A</v>
      </c>
      <c r="C599" s="19" t="e">
        <f>VLOOKUP($A599,Config!$B$6:$E$1862,3,FALSE)</f>
        <v>#N/A</v>
      </c>
      <c r="D599" s="19" t="e">
        <f>VLOOKUP($A599,Config!$B$6:$E$1862,4,FALSE)</f>
        <v>#N/A</v>
      </c>
    </row>
    <row r="600" spans="1:4" x14ac:dyDescent="0.25">
      <c r="A600" s="19">
        <v>40639</v>
      </c>
      <c r="B600" s="19" t="e">
        <f>VLOOKUP($A600,Config!$B$6:$E$1862,2,FALSE)</f>
        <v>#N/A</v>
      </c>
      <c r="C600" s="19" t="e">
        <f>VLOOKUP($A600,Config!$B$6:$E$1862,3,FALSE)</f>
        <v>#N/A</v>
      </c>
      <c r="D600" s="19" t="e">
        <f>VLOOKUP($A600,Config!$B$6:$E$1862,4,FALSE)</f>
        <v>#N/A</v>
      </c>
    </row>
    <row r="601" spans="1:4" x14ac:dyDescent="0.25">
      <c r="A601" s="19">
        <v>40640</v>
      </c>
      <c r="B601" s="19" t="e">
        <f>VLOOKUP($A601,Config!$B$6:$E$1862,2,FALSE)</f>
        <v>#N/A</v>
      </c>
      <c r="C601" s="19" t="e">
        <f>VLOOKUP($A601,Config!$B$6:$E$1862,3,FALSE)</f>
        <v>#N/A</v>
      </c>
      <c r="D601" s="19" t="e">
        <f>VLOOKUP($A601,Config!$B$6:$E$1862,4,FALSE)</f>
        <v>#N/A</v>
      </c>
    </row>
    <row r="602" spans="1:4" x14ac:dyDescent="0.25">
      <c r="A602" s="19">
        <v>40641</v>
      </c>
      <c r="B602" s="19" t="e">
        <f>VLOOKUP($A602,Config!$B$6:$E$1862,2,FALSE)</f>
        <v>#N/A</v>
      </c>
      <c r="C602" s="19" t="e">
        <f>VLOOKUP($A602,Config!$B$6:$E$1862,3,FALSE)</f>
        <v>#N/A</v>
      </c>
      <c r="D602" s="19" t="e">
        <f>VLOOKUP($A602,Config!$B$6:$E$1862,4,FALSE)</f>
        <v>#N/A</v>
      </c>
    </row>
    <row r="603" spans="1:4" x14ac:dyDescent="0.25">
      <c r="A603" s="19">
        <v>40642</v>
      </c>
      <c r="B603" s="19" t="e">
        <f>VLOOKUP($A603,Config!$B$6:$E$1862,2,FALSE)</f>
        <v>#N/A</v>
      </c>
      <c r="C603" s="19" t="e">
        <f>VLOOKUP($A603,Config!$B$6:$E$1862,3,FALSE)</f>
        <v>#N/A</v>
      </c>
      <c r="D603" s="19" t="e">
        <f>VLOOKUP($A603,Config!$B$6:$E$1862,4,FALSE)</f>
        <v>#N/A</v>
      </c>
    </row>
    <row r="604" spans="1:4" x14ac:dyDescent="0.25">
      <c r="A604" s="19">
        <v>40644</v>
      </c>
      <c r="B604" s="19" t="e">
        <f>VLOOKUP($A604,Config!$B$6:$E$1862,2,FALSE)</f>
        <v>#N/A</v>
      </c>
      <c r="C604" s="19" t="e">
        <f>VLOOKUP($A604,Config!$B$6:$E$1862,3,FALSE)</f>
        <v>#N/A</v>
      </c>
      <c r="D604" s="19" t="e">
        <f>VLOOKUP($A604,Config!$B$6:$E$1862,4,FALSE)</f>
        <v>#N/A</v>
      </c>
    </row>
    <row r="605" spans="1:4" x14ac:dyDescent="0.25">
      <c r="A605" s="19">
        <v>40646</v>
      </c>
      <c r="B605" s="19" t="e">
        <f>VLOOKUP($A605,Config!$B$6:$E$1862,2,FALSE)</f>
        <v>#N/A</v>
      </c>
      <c r="C605" s="19" t="e">
        <f>VLOOKUP($A605,Config!$B$6:$E$1862,3,FALSE)</f>
        <v>#N/A</v>
      </c>
      <c r="D605" s="19" t="e">
        <f>VLOOKUP($A605,Config!$B$6:$E$1862,4,FALSE)</f>
        <v>#N/A</v>
      </c>
    </row>
    <row r="606" spans="1:4" x14ac:dyDescent="0.25">
      <c r="A606" s="19">
        <v>40648</v>
      </c>
      <c r="B606" s="19" t="e">
        <f>VLOOKUP($A606,Config!$B$6:$E$1862,2,FALSE)</f>
        <v>#N/A</v>
      </c>
      <c r="C606" s="19" t="e">
        <f>VLOOKUP($A606,Config!$B$6:$E$1862,3,FALSE)</f>
        <v>#N/A</v>
      </c>
      <c r="D606" s="19" t="e">
        <f>VLOOKUP($A606,Config!$B$6:$E$1862,4,FALSE)</f>
        <v>#N/A</v>
      </c>
    </row>
    <row r="607" spans="1:4" x14ac:dyDescent="0.25">
      <c r="A607" s="19">
        <v>40651</v>
      </c>
      <c r="B607" s="19" t="e">
        <f>VLOOKUP($A607,Config!$B$6:$E$1862,2,FALSE)</f>
        <v>#N/A</v>
      </c>
      <c r="C607" s="19" t="e">
        <f>VLOOKUP($A607,Config!$B$6:$E$1862,3,FALSE)</f>
        <v>#N/A</v>
      </c>
      <c r="D607" s="19" t="e">
        <f>VLOOKUP($A607,Config!$B$6:$E$1862,4,FALSE)</f>
        <v>#N/A</v>
      </c>
    </row>
    <row r="608" spans="1:4" x14ac:dyDescent="0.25">
      <c r="A608" s="19">
        <v>40653</v>
      </c>
      <c r="B608" s="19" t="e">
        <f>VLOOKUP($A608,Config!$B$6:$E$1862,2,FALSE)</f>
        <v>#N/A</v>
      </c>
      <c r="C608" s="19" t="e">
        <f>VLOOKUP($A608,Config!$B$6:$E$1862,3,FALSE)</f>
        <v>#N/A</v>
      </c>
      <c r="D608" s="19" t="e">
        <f>VLOOKUP($A608,Config!$B$6:$E$1862,4,FALSE)</f>
        <v>#N/A</v>
      </c>
    </row>
    <row r="609" spans="1:4" x14ac:dyDescent="0.25">
      <c r="A609" s="19">
        <v>40654</v>
      </c>
      <c r="B609" s="19" t="e">
        <f>VLOOKUP($A609,Config!$B$6:$E$1862,2,FALSE)</f>
        <v>#N/A</v>
      </c>
      <c r="C609" s="19" t="e">
        <f>VLOOKUP($A609,Config!$B$6:$E$1862,3,FALSE)</f>
        <v>#N/A</v>
      </c>
      <c r="D609" s="19" t="e">
        <f>VLOOKUP($A609,Config!$B$6:$E$1862,4,FALSE)</f>
        <v>#N/A</v>
      </c>
    </row>
    <row r="610" spans="1:4" x14ac:dyDescent="0.25">
      <c r="A610" s="19">
        <v>40655</v>
      </c>
      <c r="B610" s="19" t="e">
        <f>VLOOKUP($A610,Config!$B$6:$E$1862,2,FALSE)</f>
        <v>#N/A</v>
      </c>
      <c r="C610" s="19" t="e">
        <f>VLOOKUP($A610,Config!$B$6:$E$1862,3,FALSE)</f>
        <v>#N/A</v>
      </c>
      <c r="D610" s="19" t="e">
        <f>VLOOKUP($A610,Config!$B$6:$E$1862,4,FALSE)</f>
        <v>#N/A</v>
      </c>
    </row>
    <row r="611" spans="1:4" x14ac:dyDescent="0.25">
      <c r="A611" s="19">
        <v>40657</v>
      </c>
      <c r="B611" s="19" t="e">
        <f>VLOOKUP($A611,Config!$B$6:$E$1862,2,FALSE)</f>
        <v>#N/A</v>
      </c>
      <c r="C611" s="19" t="e">
        <f>VLOOKUP($A611,Config!$B$6:$E$1862,3,FALSE)</f>
        <v>#N/A</v>
      </c>
      <c r="D611" s="19" t="e">
        <f>VLOOKUP($A611,Config!$B$6:$E$1862,4,FALSE)</f>
        <v>#N/A</v>
      </c>
    </row>
    <row r="612" spans="1:4" x14ac:dyDescent="0.25">
      <c r="A612" s="19">
        <v>40658</v>
      </c>
      <c r="B612" s="19" t="e">
        <f>VLOOKUP($A612,Config!$B$6:$E$1862,2,FALSE)</f>
        <v>#N/A</v>
      </c>
      <c r="C612" s="19" t="e">
        <f>VLOOKUP($A612,Config!$B$6:$E$1862,3,FALSE)</f>
        <v>#N/A</v>
      </c>
      <c r="D612" s="19" t="e">
        <f>VLOOKUP($A612,Config!$B$6:$E$1862,4,FALSE)</f>
        <v>#N/A</v>
      </c>
    </row>
    <row r="613" spans="1:4" x14ac:dyDescent="0.25">
      <c r="A613" s="19">
        <v>40659</v>
      </c>
      <c r="B613" s="19" t="e">
        <f>VLOOKUP($A613,Config!$B$6:$E$1862,2,FALSE)</f>
        <v>#N/A</v>
      </c>
      <c r="C613" s="19" t="e">
        <f>VLOOKUP($A613,Config!$B$6:$E$1862,3,FALSE)</f>
        <v>#N/A</v>
      </c>
      <c r="D613" s="19" t="e">
        <f>VLOOKUP($A613,Config!$B$6:$E$1862,4,FALSE)</f>
        <v>#N/A</v>
      </c>
    </row>
    <row r="614" spans="1:4" x14ac:dyDescent="0.25">
      <c r="A614" s="19">
        <v>40663</v>
      </c>
      <c r="B614" s="19" t="e">
        <f>VLOOKUP($A614,Config!$B$6:$E$1862,2,FALSE)</f>
        <v>#N/A</v>
      </c>
      <c r="C614" s="19" t="e">
        <f>VLOOKUP($A614,Config!$B$6:$E$1862,3,FALSE)</f>
        <v>#N/A</v>
      </c>
      <c r="D614" s="19" t="e">
        <f>VLOOKUP($A614,Config!$B$6:$E$1862,4,FALSE)</f>
        <v>#N/A</v>
      </c>
    </row>
    <row r="615" spans="1:4" x14ac:dyDescent="0.25">
      <c r="A615" s="19">
        <v>40664</v>
      </c>
      <c r="B615" s="19" t="e">
        <f>VLOOKUP($A615,Config!$B$6:$E$1862,2,FALSE)</f>
        <v>#N/A</v>
      </c>
      <c r="C615" s="19" t="e">
        <f>VLOOKUP($A615,Config!$B$6:$E$1862,3,FALSE)</f>
        <v>#N/A</v>
      </c>
      <c r="D615" s="19" t="e">
        <f>VLOOKUP($A615,Config!$B$6:$E$1862,4,FALSE)</f>
        <v>#N/A</v>
      </c>
    </row>
    <row r="616" spans="1:4" x14ac:dyDescent="0.25">
      <c r="A616" s="19">
        <v>40670</v>
      </c>
      <c r="B616" s="19" t="e">
        <f>VLOOKUP($A616,Config!$B$6:$E$1862,2,FALSE)</f>
        <v>#N/A</v>
      </c>
      <c r="C616" s="19" t="e">
        <f>VLOOKUP($A616,Config!$B$6:$E$1862,3,FALSE)</f>
        <v>#N/A</v>
      </c>
      <c r="D616" s="19" t="e">
        <f>VLOOKUP($A616,Config!$B$6:$E$1862,4,FALSE)</f>
        <v>#N/A</v>
      </c>
    </row>
    <row r="617" spans="1:4" x14ac:dyDescent="0.25">
      <c r="A617" s="19">
        <v>40671</v>
      </c>
      <c r="B617" s="19" t="e">
        <f>VLOOKUP($A617,Config!$B$6:$E$1862,2,FALSE)</f>
        <v>#N/A</v>
      </c>
      <c r="C617" s="19" t="e">
        <f>VLOOKUP($A617,Config!$B$6:$E$1862,3,FALSE)</f>
        <v>#N/A</v>
      </c>
      <c r="D617" s="19" t="e">
        <f>VLOOKUP($A617,Config!$B$6:$E$1862,4,FALSE)</f>
        <v>#N/A</v>
      </c>
    </row>
    <row r="618" spans="1:4" x14ac:dyDescent="0.25">
      <c r="A618" s="19">
        <v>40672</v>
      </c>
      <c r="B618" s="19" t="e">
        <f>VLOOKUP($A618,Config!$B$6:$E$1862,2,FALSE)</f>
        <v>#N/A</v>
      </c>
      <c r="C618" s="19" t="e">
        <f>VLOOKUP($A618,Config!$B$6:$E$1862,3,FALSE)</f>
        <v>#N/A</v>
      </c>
      <c r="D618" s="19" t="e">
        <f>VLOOKUP($A618,Config!$B$6:$E$1862,4,FALSE)</f>
        <v>#N/A</v>
      </c>
    </row>
    <row r="619" spans="1:4" x14ac:dyDescent="0.25">
      <c r="A619" s="19">
        <v>40673</v>
      </c>
      <c r="B619" s="19" t="e">
        <f>VLOOKUP($A619,Config!$B$6:$E$1862,2,FALSE)</f>
        <v>#N/A</v>
      </c>
      <c r="C619" s="19" t="e">
        <f>VLOOKUP($A619,Config!$B$6:$E$1862,3,FALSE)</f>
        <v>#N/A</v>
      </c>
      <c r="D619" s="19" t="e">
        <f>VLOOKUP($A619,Config!$B$6:$E$1862,4,FALSE)</f>
        <v>#N/A</v>
      </c>
    </row>
    <row r="620" spans="1:4" x14ac:dyDescent="0.25">
      <c r="A620" s="19">
        <v>40674</v>
      </c>
      <c r="B620" s="19" t="e">
        <f>VLOOKUP($A620,Config!$B$6:$E$1862,2,FALSE)</f>
        <v>#N/A</v>
      </c>
      <c r="C620" s="19" t="e">
        <f>VLOOKUP($A620,Config!$B$6:$E$1862,3,FALSE)</f>
        <v>#N/A</v>
      </c>
      <c r="D620" s="19" t="e">
        <f>VLOOKUP($A620,Config!$B$6:$E$1862,4,FALSE)</f>
        <v>#N/A</v>
      </c>
    </row>
    <row r="621" spans="1:4" x14ac:dyDescent="0.25">
      <c r="A621" s="19">
        <v>40675</v>
      </c>
      <c r="B621" s="19" t="e">
        <f>VLOOKUP($A621,Config!$B$6:$E$1862,2,FALSE)</f>
        <v>#N/A</v>
      </c>
      <c r="C621" s="19" t="e">
        <f>VLOOKUP($A621,Config!$B$6:$E$1862,3,FALSE)</f>
        <v>#N/A</v>
      </c>
      <c r="D621" s="19" t="e">
        <f>VLOOKUP($A621,Config!$B$6:$E$1862,4,FALSE)</f>
        <v>#N/A</v>
      </c>
    </row>
    <row r="622" spans="1:4" x14ac:dyDescent="0.25">
      <c r="A622" s="19">
        <v>40676</v>
      </c>
      <c r="B622" s="19" t="e">
        <f>VLOOKUP($A622,Config!$B$6:$E$1862,2,FALSE)</f>
        <v>#N/A</v>
      </c>
      <c r="C622" s="19" t="e">
        <f>VLOOKUP($A622,Config!$B$6:$E$1862,3,FALSE)</f>
        <v>#N/A</v>
      </c>
      <c r="D622" s="19" t="e">
        <f>VLOOKUP($A622,Config!$B$6:$E$1862,4,FALSE)</f>
        <v>#N/A</v>
      </c>
    </row>
    <row r="623" spans="1:4" x14ac:dyDescent="0.25">
      <c r="A623" s="19">
        <v>40677</v>
      </c>
      <c r="B623" s="19" t="e">
        <f>VLOOKUP($A623,Config!$B$6:$E$1862,2,FALSE)</f>
        <v>#N/A</v>
      </c>
      <c r="C623" s="19" t="e">
        <f>VLOOKUP($A623,Config!$B$6:$E$1862,3,FALSE)</f>
        <v>#N/A</v>
      </c>
      <c r="D623" s="19" t="e">
        <f>VLOOKUP($A623,Config!$B$6:$E$1862,4,FALSE)</f>
        <v>#N/A</v>
      </c>
    </row>
    <row r="624" spans="1:4" x14ac:dyDescent="0.25">
      <c r="A624" s="19">
        <v>40680</v>
      </c>
      <c r="B624" s="19" t="e">
        <f>VLOOKUP($A624,Config!$B$6:$E$1862,2,FALSE)</f>
        <v>#N/A</v>
      </c>
      <c r="C624" s="19" t="e">
        <f>VLOOKUP($A624,Config!$B$6:$E$1862,3,FALSE)</f>
        <v>#N/A</v>
      </c>
      <c r="D624" s="19" t="e">
        <f>VLOOKUP($A624,Config!$B$6:$E$1862,4,FALSE)</f>
        <v>#N/A</v>
      </c>
    </row>
    <row r="625" spans="1:4" x14ac:dyDescent="0.25">
      <c r="A625" s="19">
        <v>40682</v>
      </c>
      <c r="B625" s="19" t="e">
        <f>VLOOKUP($A625,Config!$B$6:$E$1862,2,FALSE)</f>
        <v>#N/A</v>
      </c>
      <c r="C625" s="19" t="e">
        <f>VLOOKUP($A625,Config!$B$6:$E$1862,3,FALSE)</f>
        <v>#N/A</v>
      </c>
      <c r="D625" s="19" t="e">
        <f>VLOOKUP($A625,Config!$B$6:$E$1862,4,FALSE)</f>
        <v>#N/A</v>
      </c>
    </row>
    <row r="626" spans="1:4" x14ac:dyDescent="0.25">
      <c r="A626" s="19">
        <v>40683</v>
      </c>
      <c r="B626" s="19" t="e">
        <f>VLOOKUP($A626,Config!$B$6:$E$1862,2,FALSE)</f>
        <v>#N/A</v>
      </c>
      <c r="C626" s="19" t="e">
        <f>VLOOKUP($A626,Config!$B$6:$E$1862,3,FALSE)</f>
        <v>#N/A</v>
      </c>
      <c r="D626" s="19" t="e">
        <f>VLOOKUP($A626,Config!$B$6:$E$1862,4,FALSE)</f>
        <v>#N/A</v>
      </c>
    </row>
    <row r="627" spans="1:4" x14ac:dyDescent="0.25">
      <c r="A627" s="19">
        <v>40685</v>
      </c>
      <c r="B627" s="19" t="e">
        <f>VLOOKUP($A627,Config!$B$6:$E$1862,2,FALSE)</f>
        <v>#N/A</v>
      </c>
      <c r="C627" s="19" t="e">
        <f>VLOOKUP($A627,Config!$B$6:$E$1862,3,FALSE)</f>
        <v>#N/A</v>
      </c>
      <c r="D627" s="19" t="e">
        <f>VLOOKUP($A627,Config!$B$6:$E$1862,4,FALSE)</f>
        <v>#N/A</v>
      </c>
    </row>
    <row r="628" spans="1:4" x14ac:dyDescent="0.25">
      <c r="A628" s="19">
        <v>40686</v>
      </c>
      <c r="B628" s="19" t="e">
        <f>VLOOKUP($A628,Config!$B$6:$E$1862,2,FALSE)</f>
        <v>#N/A</v>
      </c>
      <c r="C628" s="19" t="e">
        <f>VLOOKUP($A628,Config!$B$6:$E$1862,3,FALSE)</f>
        <v>#N/A</v>
      </c>
      <c r="D628" s="19" t="e">
        <f>VLOOKUP($A628,Config!$B$6:$E$1862,4,FALSE)</f>
        <v>#N/A</v>
      </c>
    </row>
    <row r="629" spans="1:4" x14ac:dyDescent="0.25">
      <c r="A629" s="19">
        <v>40687</v>
      </c>
      <c r="B629" s="19" t="e">
        <f>VLOOKUP($A629,Config!$B$6:$E$1862,2,FALSE)</f>
        <v>#N/A</v>
      </c>
      <c r="C629" s="19" t="e">
        <f>VLOOKUP($A629,Config!$B$6:$E$1862,3,FALSE)</f>
        <v>#N/A</v>
      </c>
      <c r="D629" s="19" t="e">
        <f>VLOOKUP($A629,Config!$B$6:$E$1862,4,FALSE)</f>
        <v>#N/A</v>
      </c>
    </row>
    <row r="630" spans="1:4" x14ac:dyDescent="0.25">
      <c r="A630" s="19">
        <v>40688</v>
      </c>
      <c r="B630" s="19" t="e">
        <f>VLOOKUP($A630,Config!$B$6:$E$1862,2,FALSE)</f>
        <v>#N/A</v>
      </c>
      <c r="C630" s="19" t="e">
        <f>VLOOKUP($A630,Config!$B$6:$E$1862,3,FALSE)</f>
        <v>#N/A</v>
      </c>
      <c r="D630" s="19" t="e">
        <f>VLOOKUP($A630,Config!$B$6:$E$1862,4,FALSE)</f>
        <v>#N/A</v>
      </c>
    </row>
    <row r="631" spans="1:4" x14ac:dyDescent="0.25">
      <c r="A631" s="19">
        <v>40689</v>
      </c>
      <c r="B631" s="19" t="e">
        <f>VLOOKUP($A631,Config!$B$6:$E$1862,2,FALSE)</f>
        <v>#N/A</v>
      </c>
      <c r="C631" s="19" t="e">
        <f>VLOOKUP($A631,Config!$B$6:$E$1862,3,FALSE)</f>
        <v>#N/A</v>
      </c>
      <c r="D631" s="19" t="e">
        <f>VLOOKUP($A631,Config!$B$6:$E$1862,4,FALSE)</f>
        <v>#N/A</v>
      </c>
    </row>
    <row r="632" spans="1:4" x14ac:dyDescent="0.25">
      <c r="A632" s="19">
        <v>40693</v>
      </c>
      <c r="B632" s="19" t="e">
        <f>VLOOKUP($A632,Config!$B$6:$E$1862,2,FALSE)</f>
        <v>#N/A</v>
      </c>
      <c r="C632" s="19" t="e">
        <f>VLOOKUP($A632,Config!$B$6:$E$1862,3,FALSE)</f>
        <v>#N/A</v>
      </c>
      <c r="D632" s="19" t="e">
        <f>VLOOKUP($A632,Config!$B$6:$E$1862,4,FALSE)</f>
        <v>#N/A</v>
      </c>
    </row>
    <row r="633" spans="1:4" x14ac:dyDescent="0.25">
      <c r="A633" s="19">
        <v>40694</v>
      </c>
      <c r="B633" s="19" t="e">
        <f>VLOOKUP($A633,Config!$B$6:$E$1862,2,FALSE)</f>
        <v>#N/A</v>
      </c>
      <c r="C633" s="19" t="e">
        <f>VLOOKUP($A633,Config!$B$6:$E$1862,3,FALSE)</f>
        <v>#N/A</v>
      </c>
      <c r="D633" s="19" t="e">
        <f>VLOOKUP($A633,Config!$B$6:$E$1862,4,FALSE)</f>
        <v>#N/A</v>
      </c>
    </row>
    <row r="634" spans="1:4" x14ac:dyDescent="0.25">
      <c r="A634" s="19">
        <v>40695</v>
      </c>
      <c r="B634" s="19" t="e">
        <f>VLOOKUP($A634,Config!$B$6:$E$1862,2,FALSE)</f>
        <v>#N/A</v>
      </c>
      <c r="C634" s="19" t="e">
        <f>VLOOKUP($A634,Config!$B$6:$E$1862,3,FALSE)</f>
        <v>#N/A</v>
      </c>
      <c r="D634" s="19" t="e">
        <f>VLOOKUP($A634,Config!$B$6:$E$1862,4,FALSE)</f>
        <v>#N/A</v>
      </c>
    </row>
    <row r="635" spans="1:4" x14ac:dyDescent="0.25">
      <c r="A635" s="19">
        <v>40696</v>
      </c>
      <c r="B635" s="19" t="e">
        <f>VLOOKUP($A635,Config!$B$6:$E$1862,2,FALSE)</f>
        <v>#N/A</v>
      </c>
      <c r="C635" s="19" t="e">
        <f>VLOOKUP($A635,Config!$B$6:$E$1862,3,FALSE)</f>
        <v>#N/A</v>
      </c>
      <c r="D635" s="19" t="e">
        <f>VLOOKUP($A635,Config!$B$6:$E$1862,4,FALSE)</f>
        <v>#N/A</v>
      </c>
    </row>
    <row r="636" spans="1:4" x14ac:dyDescent="0.25">
      <c r="A636" s="19">
        <v>40697</v>
      </c>
      <c r="B636" s="19" t="e">
        <f>VLOOKUP($A636,Config!$B$6:$E$1862,2,FALSE)</f>
        <v>#N/A</v>
      </c>
      <c r="C636" s="19" t="e">
        <f>VLOOKUP($A636,Config!$B$6:$E$1862,3,FALSE)</f>
        <v>#N/A</v>
      </c>
      <c r="D636" s="19" t="e">
        <f>VLOOKUP($A636,Config!$B$6:$E$1862,4,FALSE)</f>
        <v>#N/A</v>
      </c>
    </row>
    <row r="637" spans="1:4" x14ac:dyDescent="0.25">
      <c r="A637" s="19">
        <v>40698</v>
      </c>
      <c r="B637" s="19" t="e">
        <f>VLOOKUP($A637,Config!$B$6:$E$1862,2,FALSE)</f>
        <v>#N/A</v>
      </c>
      <c r="C637" s="19" t="e">
        <f>VLOOKUP($A637,Config!$B$6:$E$1862,3,FALSE)</f>
        <v>#N/A</v>
      </c>
      <c r="D637" s="19" t="e">
        <f>VLOOKUP($A637,Config!$B$6:$E$1862,4,FALSE)</f>
        <v>#N/A</v>
      </c>
    </row>
    <row r="638" spans="1:4" x14ac:dyDescent="0.25">
      <c r="A638" s="19">
        <v>40699</v>
      </c>
      <c r="B638" s="19" t="e">
        <f>VLOOKUP($A638,Config!$B$6:$E$1862,2,FALSE)</f>
        <v>#N/A</v>
      </c>
      <c r="C638" s="19" t="e">
        <f>VLOOKUP($A638,Config!$B$6:$E$1862,3,FALSE)</f>
        <v>#N/A</v>
      </c>
      <c r="D638" s="19" t="e">
        <f>VLOOKUP($A638,Config!$B$6:$E$1862,4,FALSE)</f>
        <v>#N/A</v>
      </c>
    </row>
    <row r="639" spans="1:4" x14ac:dyDescent="0.25">
      <c r="A639" s="19">
        <v>40700</v>
      </c>
      <c r="B639" s="19" t="e">
        <f>VLOOKUP($A639,Config!$B$6:$E$1862,2,FALSE)</f>
        <v>#N/A</v>
      </c>
      <c r="C639" s="19" t="e">
        <f>VLOOKUP($A639,Config!$B$6:$E$1862,3,FALSE)</f>
        <v>#N/A</v>
      </c>
      <c r="D639" s="19" t="e">
        <f>VLOOKUP($A639,Config!$B$6:$E$1862,4,FALSE)</f>
        <v>#N/A</v>
      </c>
    </row>
    <row r="640" spans="1:4" x14ac:dyDescent="0.25">
      <c r="A640" s="19">
        <v>40702</v>
      </c>
      <c r="B640" s="19" t="e">
        <f>VLOOKUP($A640,Config!$B$6:$E$1862,2,FALSE)</f>
        <v>#N/A</v>
      </c>
      <c r="C640" s="19" t="e">
        <f>VLOOKUP($A640,Config!$B$6:$E$1862,3,FALSE)</f>
        <v>#N/A</v>
      </c>
      <c r="D640" s="19" t="e">
        <f>VLOOKUP($A640,Config!$B$6:$E$1862,4,FALSE)</f>
        <v>#N/A</v>
      </c>
    </row>
    <row r="641" spans="1:4" x14ac:dyDescent="0.25">
      <c r="A641" s="19">
        <v>40703</v>
      </c>
      <c r="B641" s="19" t="e">
        <f>VLOOKUP($A641,Config!$B$6:$E$1862,2,FALSE)</f>
        <v>#N/A</v>
      </c>
      <c r="C641" s="19" t="e">
        <f>VLOOKUP($A641,Config!$B$6:$E$1862,3,FALSE)</f>
        <v>#N/A</v>
      </c>
      <c r="D641" s="19" t="e">
        <f>VLOOKUP($A641,Config!$B$6:$E$1862,4,FALSE)</f>
        <v>#N/A</v>
      </c>
    </row>
    <row r="642" spans="1:4" x14ac:dyDescent="0.25">
      <c r="A642" s="19">
        <v>40704</v>
      </c>
      <c r="B642" s="19" t="e">
        <f>VLOOKUP($A642,Config!$B$6:$E$1862,2,FALSE)</f>
        <v>#N/A</v>
      </c>
      <c r="C642" s="19" t="e">
        <f>VLOOKUP($A642,Config!$B$6:$E$1862,3,FALSE)</f>
        <v>#N/A</v>
      </c>
      <c r="D642" s="19" t="e">
        <f>VLOOKUP($A642,Config!$B$6:$E$1862,4,FALSE)</f>
        <v>#N/A</v>
      </c>
    </row>
    <row r="643" spans="1:4" x14ac:dyDescent="0.25">
      <c r="A643" s="19">
        <v>40707</v>
      </c>
      <c r="B643" s="19" t="e">
        <f>VLOOKUP($A643,Config!$B$6:$E$1862,2,FALSE)</f>
        <v>#N/A</v>
      </c>
      <c r="C643" s="19" t="e">
        <f>VLOOKUP($A643,Config!$B$6:$E$1862,3,FALSE)</f>
        <v>#N/A</v>
      </c>
      <c r="D643" s="19" t="e">
        <f>VLOOKUP($A643,Config!$B$6:$E$1862,4,FALSE)</f>
        <v>#N/A</v>
      </c>
    </row>
    <row r="644" spans="1:4" x14ac:dyDescent="0.25">
      <c r="A644" s="19">
        <v>40708</v>
      </c>
      <c r="B644" s="19" t="e">
        <f>VLOOKUP($A644,Config!$B$6:$E$1862,2,FALSE)</f>
        <v>#N/A</v>
      </c>
      <c r="C644" s="19" t="e">
        <f>VLOOKUP($A644,Config!$B$6:$E$1862,3,FALSE)</f>
        <v>#N/A</v>
      </c>
      <c r="D644" s="19" t="e">
        <f>VLOOKUP($A644,Config!$B$6:$E$1862,4,FALSE)</f>
        <v>#N/A</v>
      </c>
    </row>
    <row r="645" spans="1:4" x14ac:dyDescent="0.25">
      <c r="A645" s="19">
        <v>40714</v>
      </c>
      <c r="B645" s="19" t="e">
        <f>VLOOKUP($A645,Config!$B$6:$E$1862,2,FALSE)</f>
        <v>#N/A</v>
      </c>
      <c r="C645" s="19" t="e">
        <f>VLOOKUP($A645,Config!$B$6:$E$1862,3,FALSE)</f>
        <v>#N/A</v>
      </c>
      <c r="D645" s="19" t="e">
        <f>VLOOKUP($A645,Config!$B$6:$E$1862,4,FALSE)</f>
        <v>#N/A</v>
      </c>
    </row>
    <row r="646" spans="1:4" x14ac:dyDescent="0.25">
      <c r="A646" s="19">
        <v>40715</v>
      </c>
      <c r="B646" s="19" t="e">
        <f>VLOOKUP($A646,Config!$B$6:$E$1862,2,FALSE)</f>
        <v>#N/A</v>
      </c>
      <c r="C646" s="19" t="e">
        <f>VLOOKUP($A646,Config!$B$6:$E$1862,3,FALSE)</f>
        <v>#N/A</v>
      </c>
      <c r="D646" s="19" t="e">
        <f>VLOOKUP($A646,Config!$B$6:$E$1862,4,FALSE)</f>
        <v>#N/A</v>
      </c>
    </row>
    <row r="647" spans="1:4" x14ac:dyDescent="0.25">
      <c r="A647" s="19">
        <v>40716</v>
      </c>
      <c r="B647" s="19" t="e">
        <f>VLOOKUP($A647,Config!$B$6:$E$1862,2,FALSE)</f>
        <v>#N/A</v>
      </c>
      <c r="C647" s="19" t="e">
        <f>VLOOKUP($A647,Config!$B$6:$E$1862,3,FALSE)</f>
        <v>#N/A</v>
      </c>
      <c r="D647" s="19" t="e">
        <f>VLOOKUP($A647,Config!$B$6:$E$1862,4,FALSE)</f>
        <v>#N/A</v>
      </c>
    </row>
    <row r="648" spans="1:4" x14ac:dyDescent="0.25">
      <c r="A648" s="19">
        <v>40717</v>
      </c>
      <c r="B648" s="19" t="e">
        <f>VLOOKUP($A648,Config!$B$6:$E$1862,2,FALSE)</f>
        <v>#N/A</v>
      </c>
      <c r="C648" s="19" t="e">
        <f>VLOOKUP($A648,Config!$B$6:$E$1862,3,FALSE)</f>
        <v>#N/A</v>
      </c>
      <c r="D648" s="19" t="e">
        <f>VLOOKUP($A648,Config!$B$6:$E$1862,4,FALSE)</f>
        <v>#N/A</v>
      </c>
    </row>
    <row r="649" spans="1:4" x14ac:dyDescent="0.25">
      <c r="A649" s="19">
        <v>40718</v>
      </c>
      <c r="B649" s="19" t="e">
        <f>VLOOKUP($A649,Config!$B$6:$E$1862,2,FALSE)</f>
        <v>#N/A</v>
      </c>
      <c r="C649" s="19" t="e">
        <f>VLOOKUP($A649,Config!$B$6:$E$1862,3,FALSE)</f>
        <v>#N/A</v>
      </c>
      <c r="D649" s="19" t="e">
        <f>VLOOKUP($A649,Config!$B$6:$E$1862,4,FALSE)</f>
        <v>#N/A</v>
      </c>
    </row>
    <row r="650" spans="1:4" x14ac:dyDescent="0.25">
      <c r="A650" s="19">
        <v>40721</v>
      </c>
      <c r="B650" s="19" t="e">
        <f>VLOOKUP($A650,Config!$B$6:$E$1862,2,FALSE)</f>
        <v>#N/A</v>
      </c>
      <c r="C650" s="19" t="e">
        <f>VLOOKUP($A650,Config!$B$6:$E$1862,3,FALSE)</f>
        <v>#N/A</v>
      </c>
      <c r="D650" s="19" t="e">
        <f>VLOOKUP($A650,Config!$B$6:$E$1862,4,FALSE)</f>
        <v>#N/A</v>
      </c>
    </row>
    <row r="651" spans="1:4" x14ac:dyDescent="0.25">
      <c r="A651" s="19">
        <v>40722</v>
      </c>
      <c r="B651" s="19" t="e">
        <f>VLOOKUP($A651,Config!$B$6:$E$1862,2,FALSE)</f>
        <v>#N/A</v>
      </c>
      <c r="C651" s="19" t="e">
        <f>VLOOKUP($A651,Config!$B$6:$E$1862,3,FALSE)</f>
        <v>#N/A</v>
      </c>
      <c r="D651" s="19" t="e">
        <f>VLOOKUP($A651,Config!$B$6:$E$1862,4,FALSE)</f>
        <v>#N/A</v>
      </c>
    </row>
    <row r="652" spans="1:4" x14ac:dyDescent="0.25">
      <c r="A652" s="19">
        <v>40724</v>
      </c>
      <c r="B652" s="19" t="e">
        <f>VLOOKUP($A652,Config!$B$6:$E$1862,2,FALSE)</f>
        <v>#N/A</v>
      </c>
      <c r="C652" s="19" t="e">
        <f>VLOOKUP($A652,Config!$B$6:$E$1862,3,FALSE)</f>
        <v>#N/A</v>
      </c>
      <c r="D652" s="19" t="e">
        <f>VLOOKUP($A652,Config!$B$6:$E$1862,4,FALSE)</f>
        <v>#N/A</v>
      </c>
    </row>
    <row r="653" spans="1:4" x14ac:dyDescent="0.25">
      <c r="A653" s="19">
        <v>40725</v>
      </c>
      <c r="B653" s="19" t="e">
        <f>VLOOKUP($A653,Config!$B$6:$E$1862,2,FALSE)</f>
        <v>#N/A</v>
      </c>
      <c r="C653" s="19" t="e">
        <f>VLOOKUP($A653,Config!$B$6:$E$1862,3,FALSE)</f>
        <v>#N/A</v>
      </c>
      <c r="D653" s="19" t="e">
        <f>VLOOKUP($A653,Config!$B$6:$E$1862,4,FALSE)</f>
        <v>#N/A</v>
      </c>
    </row>
    <row r="654" spans="1:4" x14ac:dyDescent="0.25">
      <c r="A654" s="19">
        <v>40726</v>
      </c>
      <c r="B654" s="19" t="e">
        <f>VLOOKUP($A654,Config!$B$6:$E$1862,2,FALSE)</f>
        <v>#N/A</v>
      </c>
      <c r="C654" s="19" t="e">
        <f>VLOOKUP($A654,Config!$B$6:$E$1862,3,FALSE)</f>
        <v>#N/A</v>
      </c>
      <c r="D654" s="19" t="e">
        <f>VLOOKUP($A654,Config!$B$6:$E$1862,4,FALSE)</f>
        <v>#N/A</v>
      </c>
    </row>
    <row r="655" spans="1:4" x14ac:dyDescent="0.25">
      <c r="A655" s="19">
        <v>40727</v>
      </c>
      <c r="B655" s="19" t="e">
        <f>VLOOKUP($A655,Config!$B$6:$E$1862,2,FALSE)</f>
        <v>#N/A</v>
      </c>
      <c r="C655" s="19" t="e">
        <f>VLOOKUP($A655,Config!$B$6:$E$1862,3,FALSE)</f>
        <v>#N/A</v>
      </c>
      <c r="D655" s="19" t="e">
        <f>VLOOKUP($A655,Config!$B$6:$E$1862,4,FALSE)</f>
        <v>#N/A</v>
      </c>
    </row>
    <row r="656" spans="1:4" x14ac:dyDescent="0.25">
      <c r="A656" s="19">
        <v>40730</v>
      </c>
      <c r="B656" s="19" t="e">
        <f>VLOOKUP($A656,Config!$B$6:$E$1862,2,FALSE)</f>
        <v>#N/A</v>
      </c>
      <c r="C656" s="19" t="e">
        <f>VLOOKUP($A656,Config!$B$6:$E$1862,3,FALSE)</f>
        <v>#N/A</v>
      </c>
      <c r="D656" s="19" t="e">
        <f>VLOOKUP($A656,Config!$B$6:$E$1862,4,FALSE)</f>
        <v>#N/A</v>
      </c>
    </row>
    <row r="657" spans="1:4" x14ac:dyDescent="0.25">
      <c r="A657" s="19">
        <v>40732</v>
      </c>
      <c r="B657" s="19" t="e">
        <f>VLOOKUP($A657,Config!$B$6:$E$1862,2,FALSE)</f>
        <v>#N/A</v>
      </c>
      <c r="C657" s="19" t="e">
        <f>VLOOKUP($A657,Config!$B$6:$E$1862,3,FALSE)</f>
        <v>#N/A</v>
      </c>
      <c r="D657" s="19" t="e">
        <f>VLOOKUP($A657,Config!$B$6:$E$1862,4,FALSE)</f>
        <v>#N/A</v>
      </c>
    </row>
    <row r="658" spans="1:4" x14ac:dyDescent="0.25">
      <c r="A658" s="19">
        <v>40735</v>
      </c>
      <c r="B658" s="19" t="e">
        <f>VLOOKUP($A658,Config!$B$6:$E$1862,2,FALSE)</f>
        <v>#N/A</v>
      </c>
      <c r="C658" s="19" t="e">
        <f>VLOOKUP($A658,Config!$B$6:$E$1862,3,FALSE)</f>
        <v>#N/A</v>
      </c>
      <c r="D658" s="19" t="e">
        <f>VLOOKUP($A658,Config!$B$6:$E$1862,4,FALSE)</f>
        <v>#N/A</v>
      </c>
    </row>
    <row r="659" spans="1:4" x14ac:dyDescent="0.25">
      <c r="A659" s="19">
        <v>40736</v>
      </c>
      <c r="B659" s="19" t="e">
        <f>VLOOKUP($A659,Config!$B$6:$E$1862,2,FALSE)</f>
        <v>#N/A</v>
      </c>
      <c r="C659" s="19" t="e">
        <f>VLOOKUP($A659,Config!$B$6:$E$1862,3,FALSE)</f>
        <v>#N/A</v>
      </c>
      <c r="D659" s="19" t="e">
        <f>VLOOKUP($A659,Config!$B$6:$E$1862,4,FALSE)</f>
        <v>#N/A</v>
      </c>
    </row>
    <row r="660" spans="1:4" x14ac:dyDescent="0.25">
      <c r="A660" s="19">
        <v>40738</v>
      </c>
      <c r="B660" s="19" t="e">
        <f>VLOOKUP($A660,Config!$B$6:$E$1862,2,FALSE)</f>
        <v>#N/A</v>
      </c>
      <c r="C660" s="19" t="e">
        <f>VLOOKUP($A660,Config!$B$6:$E$1862,3,FALSE)</f>
        <v>#N/A</v>
      </c>
      <c r="D660" s="19" t="e">
        <f>VLOOKUP($A660,Config!$B$6:$E$1862,4,FALSE)</f>
        <v>#N/A</v>
      </c>
    </row>
    <row r="661" spans="1:4" x14ac:dyDescent="0.25">
      <c r="A661" s="19">
        <v>40739</v>
      </c>
      <c r="B661" s="19" t="e">
        <f>VLOOKUP($A661,Config!$B$6:$E$1862,2,FALSE)</f>
        <v>#N/A</v>
      </c>
      <c r="C661" s="19" t="e">
        <f>VLOOKUP($A661,Config!$B$6:$E$1862,3,FALSE)</f>
        <v>#N/A</v>
      </c>
      <c r="D661" s="19" t="e">
        <f>VLOOKUP($A661,Config!$B$6:$E$1862,4,FALSE)</f>
        <v>#N/A</v>
      </c>
    </row>
    <row r="662" spans="1:4" x14ac:dyDescent="0.25">
      <c r="A662" s="19">
        <v>40743</v>
      </c>
      <c r="B662" s="19" t="e">
        <f>VLOOKUP($A662,Config!$B$6:$E$1862,2,FALSE)</f>
        <v>#N/A</v>
      </c>
      <c r="C662" s="19" t="e">
        <f>VLOOKUP($A662,Config!$B$6:$E$1862,3,FALSE)</f>
        <v>#N/A</v>
      </c>
      <c r="D662" s="19" t="e">
        <f>VLOOKUP($A662,Config!$B$6:$E$1862,4,FALSE)</f>
        <v>#N/A</v>
      </c>
    </row>
    <row r="663" spans="1:4" x14ac:dyDescent="0.25">
      <c r="A663" s="19">
        <v>40744</v>
      </c>
      <c r="B663" s="19" t="e">
        <f>VLOOKUP($A663,Config!$B$6:$E$1862,2,FALSE)</f>
        <v>#N/A</v>
      </c>
      <c r="C663" s="19" t="e">
        <f>VLOOKUP($A663,Config!$B$6:$E$1862,3,FALSE)</f>
        <v>#N/A</v>
      </c>
      <c r="D663" s="19" t="e">
        <f>VLOOKUP($A663,Config!$B$6:$E$1862,4,FALSE)</f>
        <v>#N/A</v>
      </c>
    </row>
    <row r="664" spans="1:4" x14ac:dyDescent="0.25">
      <c r="A664" s="19">
        <v>40745</v>
      </c>
      <c r="B664" s="19" t="e">
        <f>VLOOKUP($A664,Config!$B$6:$E$1862,2,FALSE)</f>
        <v>#N/A</v>
      </c>
      <c r="C664" s="19" t="e">
        <f>VLOOKUP($A664,Config!$B$6:$E$1862,3,FALSE)</f>
        <v>#N/A</v>
      </c>
      <c r="D664" s="19" t="e">
        <f>VLOOKUP($A664,Config!$B$6:$E$1862,4,FALSE)</f>
        <v>#N/A</v>
      </c>
    </row>
    <row r="665" spans="1:4" x14ac:dyDescent="0.25">
      <c r="A665" s="19">
        <v>40750</v>
      </c>
      <c r="B665" s="19" t="e">
        <f>VLOOKUP($A665,Config!$B$6:$E$1862,2,FALSE)</f>
        <v>#N/A</v>
      </c>
      <c r="C665" s="19" t="e">
        <f>VLOOKUP($A665,Config!$B$6:$E$1862,3,FALSE)</f>
        <v>#N/A</v>
      </c>
      <c r="D665" s="19" t="e">
        <f>VLOOKUP($A665,Config!$B$6:$E$1862,4,FALSE)</f>
        <v>#N/A</v>
      </c>
    </row>
    <row r="666" spans="1:4" x14ac:dyDescent="0.25">
      <c r="A666" s="19">
        <v>40751</v>
      </c>
      <c r="B666" s="19" t="e">
        <f>VLOOKUP($A666,Config!$B$6:$E$1862,2,FALSE)</f>
        <v>#N/A</v>
      </c>
      <c r="C666" s="19" t="e">
        <f>VLOOKUP($A666,Config!$B$6:$E$1862,3,FALSE)</f>
        <v>#N/A</v>
      </c>
      <c r="D666" s="19" t="e">
        <f>VLOOKUP($A666,Config!$B$6:$E$1862,4,FALSE)</f>
        <v>#N/A</v>
      </c>
    </row>
    <row r="667" spans="1:4" x14ac:dyDescent="0.25">
      <c r="A667" s="19">
        <v>40754</v>
      </c>
      <c r="B667" s="19" t="e">
        <f>VLOOKUP($A667,Config!$B$6:$E$1862,2,FALSE)</f>
        <v>#N/A</v>
      </c>
      <c r="C667" s="19" t="e">
        <f>VLOOKUP($A667,Config!$B$6:$E$1862,3,FALSE)</f>
        <v>#N/A</v>
      </c>
      <c r="D667" s="19" t="e">
        <f>VLOOKUP($A667,Config!$B$6:$E$1862,4,FALSE)</f>
        <v>#N/A</v>
      </c>
    </row>
    <row r="668" spans="1:4" x14ac:dyDescent="0.25">
      <c r="A668" s="19">
        <v>40755</v>
      </c>
      <c r="B668" s="19" t="e">
        <f>VLOOKUP($A668,Config!$B$6:$E$1862,2,FALSE)</f>
        <v>#N/A</v>
      </c>
      <c r="C668" s="19" t="e">
        <f>VLOOKUP($A668,Config!$B$6:$E$1862,3,FALSE)</f>
        <v>#N/A</v>
      </c>
      <c r="D668" s="19" t="e">
        <f>VLOOKUP($A668,Config!$B$6:$E$1862,4,FALSE)</f>
        <v>#N/A</v>
      </c>
    </row>
    <row r="669" spans="1:4" x14ac:dyDescent="0.25">
      <c r="A669" s="19">
        <v>40756</v>
      </c>
      <c r="B669" s="19" t="e">
        <f>VLOOKUP($A669,Config!$B$6:$E$1862,2,FALSE)</f>
        <v>#N/A</v>
      </c>
      <c r="C669" s="19" t="e">
        <f>VLOOKUP($A669,Config!$B$6:$E$1862,3,FALSE)</f>
        <v>#N/A</v>
      </c>
      <c r="D669" s="19" t="e">
        <f>VLOOKUP($A669,Config!$B$6:$E$1862,4,FALSE)</f>
        <v>#N/A</v>
      </c>
    </row>
    <row r="670" spans="1:4" x14ac:dyDescent="0.25">
      <c r="A670" s="19">
        <v>40757</v>
      </c>
      <c r="B670" s="19" t="e">
        <f>VLOOKUP($A670,Config!$B$6:$E$1862,2,FALSE)</f>
        <v>#N/A</v>
      </c>
      <c r="C670" s="19" t="e">
        <f>VLOOKUP($A670,Config!$B$6:$E$1862,3,FALSE)</f>
        <v>#N/A</v>
      </c>
      <c r="D670" s="19" t="e">
        <f>VLOOKUP($A670,Config!$B$6:$E$1862,4,FALSE)</f>
        <v>#N/A</v>
      </c>
    </row>
    <row r="671" spans="1:4" x14ac:dyDescent="0.25">
      <c r="A671" s="19">
        <v>40759</v>
      </c>
      <c r="B671" s="19" t="e">
        <f>VLOOKUP($A671,Config!$B$6:$E$1862,2,FALSE)</f>
        <v>#N/A</v>
      </c>
      <c r="C671" s="19" t="e">
        <f>VLOOKUP($A671,Config!$B$6:$E$1862,3,FALSE)</f>
        <v>#N/A</v>
      </c>
      <c r="D671" s="19" t="e">
        <f>VLOOKUP($A671,Config!$B$6:$E$1862,4,FALSE)</f>
        <v>#N/A</v>
      </c>
    </row>
    <row r="672" spans="1:4" x14ac:dyDescent="0.25">
      <c r="A672" s="19">
        <v>40760</v>
      </c>
      <c r="B672" s="19" t="e">
        <f>VLOOKUP($A672,Config!$B$6:$E$1862,2,FALSE)</f>
        <v>#N/A</v>
      </c>
      <c r="C672" s="19" t="e">
        <f>VLOOKUP($A672,Config!$B$6:$E$1862,3,FALSE)</f>
        <v>#N/A</v>
      </c>
      <c r="D672" s="19" t="e">
        <f>VLOOKUP($A672,Config!$B$6:$E$1862,4,FALSE)</f>
        <v>#N/A</v>
      </c>
    </row>
    <row r="673" spans="1:4" x14ac:dyDescent="0.25">
      <c r="A673" s="19">
        <v>40761</v>
      </c>
      <c r="B673" s="19" t="e">
        <f>VLOOKUP($A673,Config!$B$6:$E$1862,2,FALSE)</f>
        <v>#N/A</v>
      </c>
      <c r="C673" s="19" t="e">
        <f>VLOOKUP($A673,Config!$B$6:$E$1862,3,FALSE)</f>
        <v>#N/A</v>
      </c>
      <c r="D673" s="19" t="e">
        <f>VLOOKUP($A673,Config!$B$6:$E$1862,4,FALSE)</f>
        <v>#N/A</v>
      </c>
    </row>
    <row r="674" spans="1:4" x14ac:dyDescent="0.25">
      <c r="A674" s="19">
        <v>40762</v>
      </c>
      <c r="B674" s="19" t="e">
        <f>VLOOKUP($A674,Config!$B$6:$E$1862,2,FALSE)</f>
        <v>#N/A</v>
      </c>
      <c r="C674" s="19" t="e">
        <f>VLOOKUP($A674,Config!$B$6:$E$1862,3,FALSE)</f>
        <v>#N/A</v>
      </c>
      <c r="D674" s="19" t="e">
        <f>VLOOKUP($A674,Config!$B$6:$E$1862,4,FALSE)</f>
        <v>#N/A</v>
      </c>
    </row>
    <row r="675" spans="1:4" x14ac:dyDescent="0.25">
      <c r="A675" s="19">
        <v>40763</v>
      </c>
      <c r="B675" s="19" t="e">
        <f>VLOOKUP($A675,Config!$B$6:$E$1862,2,FALSE)</f>
        <v>#N/A</v>
      </c>
      <c r="C675" s="19" t="e">
        <f>VLOOKUP($A675,Config!$B$6:$E$1862,3,FALSE)</f>
        <v>#N/A</v>
      </c>
      <c r="D675" s="19" t="e">
        <f>VLOOKUP($A675,Config!$B$6:$E$1862,4,FALSE)</f>
        <v>#N/A</v>
      </c>
    </row>
    <row r="676" spans="1:4" x14ac:dyDescent="0.25">
      <c r="A676" s="19">
        <v>40764</v>
      </c>
      <c r="B676" s="19" t="e">
        <f>VLOOKUP($A676,Config!$B$6:$E$1862,2,FALSE)</f>
        <v>#N/A</v>
      </c>
      <c r="C676" s="19" t="e">
        <f>VLOOKUP($A676,Config!$B$6:$E$1862,3,FALSE)</f>
        <v>#N/A</v>
      </c>
      <c r="D676" s="19" t="e">
        <f>VLOOKUP($A676,Config!$B$6:$E$1862,4,FALSE)</f>
        <v>#N/A</v>
      </c>
    </row>
    <row r="677" spans="1:4" x14ac:dyDescent="0.25">
      <c r="A677" s="19">
        <v>40765</v>
      </c>
      <c r="B677" s="19" t="e">
        <f>VLOOKUP($A677,Config!$B$6:$E$1862,2,FALSE)</f>
        <v>#N/A</v>
      </c>
      <c r="C677" s="19" t="e">
        <f>VLOOKUP($A677,Config!$B$6:$E$1862,3,FALSE)</f>
        <v>#N/A</v>
      </c>
      <c r="D677" s="19" t="e">
        <f>VLOOKUP($A677,Config!$B$6:$E$1862,4,FALSE)</f>
        <v>#N/A</v>
      </c>
    </row>
    <row r="678" spans="1:4" x14ac:dyDescent="0.25">
      <c r="A678" s="19">
        <v>40766</v>
      </c>
      <c r="B678" s="19" t="e">
        <f>VLOOKUP($A678,Config!$B$6:$E$1862,2,FALSE)</f>
        <v>#N/A</v>
      </c>
      <c r="C678" s="19" t="e">
        <f>VLOOKUP($A678,Config!$B$6:$E$1862,3,FALSE)</f>
        <v>#N/A</v>
      </c>
      <c r="D678" s="19" t="e">
        <f>VLOOKUP($A678,Config!$B$6:$E$1862,4,FALSE)</f>
        <v>#N/A</v>
      </c>
    </row>
    <row r="679" spans="1:4" x14ac:dyDescent="0.25">
      <c r="A679" s="19">
        <v>40767</v>
      </c>
      <c r="B679" s="19" t="e">
        <f>VLOOKUP($A679,Config!$B$6:$E$1862,2,FALSE)</f>
        <v>#N/A</v>
      </c>
      <c r="C679" s="19" t="e">
        <f>VLOOKUP($A679,Config!$B$6:$E$1862,3,FALSE)</f>
        <v>#N/A</v>
      </c>
      <c r="D679" s="19" t="e">
        <f>VLOOKUP($A679,Config!$B$6:$E$1862,4,FALSE)</f>
        <v>#N/A</v>
      </c>
    </row>
    <row r="680" spans="1:4" x14ac:dyDescent="0.25">
      <c r="A680" s="19">
        <v>40768</v>
      </c>
      <c r="B680" s="19" t="e">
        <f>VLOOKUP($A680,Config!$B$6:$E$1862,2,FALSE)</f>
        <v>#N/A</v>
      </c>
      <c r="C680" s="19" t="e">
        <f>VLOOKUP($A680,Config!$B$6:$E$1862,3,FALSE)</f>
        <v>#N/A</v>
      </c>
      <c r="D680" s="19" t="e">
        <f>VLOOKUP($A680,Config!$B$6:$E$1862,4,FALSE)</f>
        <v>#N/A</v>
      </c>
    </row>
    <row r="681" spans="1:4" x14ac:dyDescent="0.25">
      <c r="A681" s="19">
        <v>40769</v>
      </c>
      <c r="B681" s="19" t="e">
        <f>VLOOKUP($A681,Config!$B$6:$E$1862,2,FALSE)</f>
        <v>#N/A</v>
      </c>
      <c r="C681" s="19" t="e">
        <f>VLOOKUP($A681,Config!$B$6:$E$1862,3,FALSE)</f>
        <v>#N/A</v>
      </c>
      <c r="D681" s="19" t="e">
        <f>VLOOKUP($A681,Config!$B$6:$E$1862,4,FALSE)</f>
        <v>#N/A</v>
      </c>
    </row>
    <row r="682" spans="1:4" x14ac:dyDescent="0.25">
      <c r="A682" s="19">
        <v>40770</v>
      </c>
      <c r="B682" s="19" t="e">
        <f>VLOOKUP($A682,Config!$B$6:$E$1862,2,FALSE)</f>
        <v>#N/A</v>
      </c>
      <c r="C682" s="19" t="e">
        <f>VLOOKUP($A682,Config!$B$6:$E$1862,3,FALSE)</f>
        <v>#N/A</v>
      </c>
      <c r="D682" s="19" t="e">
        <f>VLOOKUP($A682,Config!$B$6:$E$1862,4,FALSE)</f>
        <v>#N/A</v>
      </c>
    </row>
    <row r="683" spans="1:4" x14ac:dyDescent="0.25">
      <c r="A683" s="19">
        <v>40771</v>
      </c>
      <c r="B683" s="19" t="e">
        <f>VLOOKUP($A683,Config!$B$6:$E$1862,2,FALSE)</f>
        <v>#N/A</v>
      </c>
      <c r="C683" s="19" t="e">
        <f>VLOOKUP($A683,Config!$B$6:$E$1862,3,FALSE)</f>
        <v>#N/A</v>
      </c>
      <c r="D683" s="19" t="e">
        <f>VLOOKUP($A683,Config!$B$6:$E$1862,4,FALSE)</f>
        <v>#N/A</v>
      </c>
    </row>
    <row r="684" spans="1:4" x14ac:dyDescent="0.25">
      <c r="A684" s="19">
        <v>40774</v>
      </c>
      <c r="B684" s="19" t="e">
        <f>VLOOKUP($A684,Config!$B$6:$E$1862,2,FALSE)</f>
        <v>#N/A</v>
      </c>
      <c r="C684" s="19" t="e">
        <f>VLOOKUP($A684,Config!$B$6:$E$1862,3,FALSE)</f>
        <v>#N/A</v>
      </c>
      <c r="D684" s="19" t="e">
        <f>VLOOKUP($A684,Config!$B$6:$E$1862,4,FALSE)</f>
        <v>#N/A</v>
      </c>
    </row>
    <row r="685" spans="1:4" x14ac:dyDescent="0.25">
      <c r="A685" s="19">
        <v>40775</v>
      </c>
      <c r="B685" s="19" t="e">
        <f>VLOOKUP($A685,Config!$B$6:$E$1862,2,FALSE)</f>
        <v>#N/A</v>
      </c>
      <c r="C685" s="19" t="e">
        <f>VLOOKUP($A685,Config!$B$6:$E$1862,3,FALSE)</f>
        <v>#N/A</v>
      </c>
      <c r="D685" s="19" t="e">
        <f>VLOOKUP($A685,Config!$B$6:$E$1862,4,FALSE)</f>
        <v>#N/A</v>
      </c>
    </row>
    <row r="686" spans="1:4" x14ac:dyDescent="0.25">
      <c r="A686" s="19">
        <v>40776</v>
      </c>
      <c r="B686" s="19" t="e">
        <f>VLOOKUP($A686,Config!$B$6:$E$1862,2,FALSE)</f>
        <v>#N/A</v>
      </c>
      <c r="C686" s="19" t="e">
        <f>VLOOKUP($A686,Config!$B$6:$E$1862,3,FALSE)</f>
        <v>#N/A</v>
      </c>
      <c r="D686" s="19" t="e">
        <f>VLOOKUP($A686,Config!$B$6:$E$1862,4,FALSE)</f>
        <v>#N/A</v>
      </c>
    </row>
    <row r="687" spans="1:4" x14ac:dyDescent="0.25">
      <c r="A687" s="19">
        <v>40777</v>
      </c>
      <c r="B687" s="19" t="e">
        <f>VLOOKUP($A687,Config!$B$6:$E$1862,2,FALSE)</f>
        <v>#N/A</v>
      </c>
      <c r="C687" s="19" t="e">
        <f>VLOOKUP($A687,Config!$B$6:$E$1862,3,FALSE)</f>
        <v>#N/A</v>
      </c>
      <c r="D687" s="19" t="e">
        <f>VLOOKUP($A687,Config!$B$6:$E$1862,4,FALSE)</f>
        <v>#N/A</v>
      </c>
    </row>
    <row r="688" spans="1:4" x14ac:dyDescent="0.25">
      <c r="A688" s="19">
        <v>40778</v>
      </c>
      <c r="B688" s="19" t="e">
        <f>VLOOKUP($A688,Config!$B$6:$E$1862,2,FALSE)</f>
        <v>#N/A</v>
      </c>
      <c r="C688" s="19" t="e">
        <f>VLOOKUP($A688,Config!$B$6:$E$1862,3,FALSE)</f>
        <v>#N/A</v>
      </c>
      <c r="D688" s="19" t="e">
        <f>VLOOKUP($A688,Config!$B$6:$E$1862,4,FALSE)</f>
        <v>#N/A</v>
      </c>
    </row>
    <row r="689" spans="1:4" x14ac:dyDescent="0.25">
      <c r="A689" s="19">
        <v>40782</v>
      </c>
      <c r="B689" s="19" t="e">
        <f>VLOOKUP($A689,Config!$B$6:$E$1862,2,FALSE)</f>
        <v>#N/A</v>
      </c>
      <c r="C689" s="19" t="e">
        <f>VLOOKUP($A689,Config!$B$6:$E$1862,3,FALSE)</f>
        <v>#N/A</v>
      </c>
      <c r="D689" s="19" t="e">
        <f>VLOOKUP($A689,Config!$B$6:$E$1862,4,FALSE)</f>
        <v>#N/A</v>
      </c>
    </row>
    <row r="690" spans="1:4" x14ac:dyDescent="0.25">
      <c r="A690" s="19">
        <v>40783</v>
      </c>
      <c r="B690" s="19" t="e">
        <f>VLOOKUP($A690,Config!$B$6:$E$1862,2,FALSE)</f>
        <v>#N/A</v>
      </c>
      <c r="C690" s="19" t="e">
        <f>VLOOKUP($A690,Config!$B$6:$E$1862,3,FALSE)</f>
        <v>#N/A</v>
      </c>
      <c r="D690" s="19" t="e">
        <f>VLOOKUP($A690,Config!$B$6:$E$1862,4,FALSE)</f>
        <v>#N/A</v>
      </c>
    </row>
    <row r="691" spans="1:4" x14ac:dyDescent="0.25">
      <c r="A691" s="19">
        <v>40784</v>
      </c>
      <c r="B691" s="19" t="e">
        <f>VLOOKUP($A691,Config!$B$6:$E$1862,2,FALSE)</f>
        <v>#N/A</v>
      </c>
      <c r="C691" s="19" t="e">
        <f>VLOOKUP($A691,Config!$B$6:$E$1862,3,FALSE)</f>
        <v>#N/A</v>
      </c>
      <c r="D691" s="19" t="e">
        <f>VLOOKUP($A691,Config!$B$6:$E$1862,4,FALSE)</f>
        <v>#N/A</v>
      </c>
    </row>
    <row r="692" spans="1:4" x14ac:dyDescent="0.25">
      <c r="A692" s="19">
        <v>40785</v>
      </c>
      <c r="B692" s="19" t="e">
        <f>VLOOKUP($A692,Config!$B$6:$E$1862,2,FALSE)</f>
        <v>#N/A</v>
      </c>
      <c r="C692" s="19" t="e">
        <f>VLOOKUP($A692,Config!$B$6:$E$1862,3,FALSE)</f>
        <v>#N/A</v>
      </c>
      <c r="D692" s="19" t="e">
        <f>VLOOKUP($A692,Config!$B$6:$E$1862,4,FALSE)</f>
        <v>#N/A</v>
      </c>
    </row>
    <row r="693" spans="1:4" x14ac:dyDescent="0.25">
      <c r="A693" s="19">
        <v>40786</v>
      </c>
      <c r="B693" s="19" t="e">
        <f>VLOOKUP($A693,Config!$B$6:$E$1862,2,FALSE)</f>
        <v>#N/A</v>
      </c>
      <c r="C693" s="19" t="e">
        <f>VLOOKUP($A693,Config!$B$6:$E$1862,3,FALSE)</f>
        <v>#N/A</v>
      </c>
      <c r="D693" s="19" t="e">
        <f>VLOOKUP($A693,Config!$B$6:$E$1862,4,FALSE)</f>
        <v>#N/A</v>
      </c>
    </row>
    <row r="694" spans="1:4" x14ac:dyDescent="0.25">
      <c r="A694" s="19">
        <v>40788</v>
      </c>
      <c r="B694" s="19" t="e">
        <f>VLOOKUP($A694,Config!$B$6:$E$1862,2,FALSE)</f>
        <v>#N/A</v>
      </c>
      <c r="C694" s="19" t="e">
        <f>VLOOKUP($A694,Config!$B$6:$E$1862,3,FALSE)</f>
        <v>#N/A</v>
      </c>
      <c r="D694" s="19" t="e">
        <f>VLOOKUP($A694,Config!$B$6:$E$1862,4,FALSE)</f>
        <v>#N/A</v>
      </c>
    </row>
    <row r="695" spans="1:4" x14ac:dyDescent="0.25">
      <c r="A695" s="19">
        <v>40790</v>
      </c>
      <c r="B695" s="19" t="e">
        <f>VLOOKUP($A695,Config!$B$6:$E$1862,2,FALSE)</f>
        <v>#N/A</v>
      </c>
      <c r="C695" s="19" t="e">
        <f>VLOOKUP($A695,Config!$B$6:$E$1862,3,FALSE)</f>
        <v>#N/A</v>
      </c>
      <c r="D695" s="19" t="e">
        <f>VLOOKUP($A695,Config!$B$6:$E$1862,4,FALSE)</f>
        <v>#N/A</v>
      </c>
    </row>
    <row r="696" spans="1:4" x14ac:dyDescent="0.25">
      <c r="A696" s="19">
        <v>40791</v>
      </c>
      <c r="B696" s="19" t="e">
        <f>VLOOKUP($A696,Config!$B$6:$E$1862,2,FALSE)</f>
        <v>#N/A</v>
      </c>
      <c r="C696" s="19" t="e">
        <f>VLOOKUP($A696,Config!$B$6:$E$1862,3,FALSE)</f>
        <v>#N/A</v>
      </c>
      <c r="D696" s="19" t="e">
        <f>VLOOKUP($A696,Config!$B$6:$E$1862,4,FALSE)</f>
        <v>#N/A</v>
      </c>
    </row>
    <row r="697" spans="1:4" x14ac:dyDescent="0.25">
      <c r="A697" s="19">
        <v>40792</v>
      </c>
      <c r="B697" s="19" t="e">
        <f>VLOOKUP($A697,Config!$B$6:$E$1862,2,FALSE)</f>
        <v>#N/A</v>
      </c>
      <c r="C697" s="19" t="e">
        <f>VLOOKUP($A697,Config!$B$6:$E$1862,3,FALSE)</f>
        <v>#N/A</v>
      </c>
      <c r="D697" s="19" t="e">
        <f>VLOOKUP($A697,Config!$B$6:$E$1862,4,FALSE)</f>
        <v>#N/A</v>
      </c>
    </row>
    <row r="698" spans="1:4" x14ac:dyDescent="0.25">
      <c r="A698" s="19">
        <v>40793</v>
      </c>
      <c r="B698" s="19" t="e">
        <f>VLOOKUP($A698,Config!$B$6:$E$1862,2,FALSE)</f>
        <v>#N/A</v>
      </c>
      <c r="C698" s="19" t="e">
        <f>VLOOKUP($A698,Config!$B$6:$E$1862,3,FALSE)</f>
        <v>#N/A</v>
      </c>
      <c r="D698" s="19" t="e">
        <f>VLOOKUP($A698,Config!$B$6:$E$1862,4,FALSE)</f>
        <v>#N/A</v>
      </c>
    </row>
    <row r="699" spans="1:4" x14ac:dyDescent="0.25">
      <c r="A699" s="19">
        <v>40794</v>
      </c>
      <c r="B699" s="19" t="e">
        <f>VLOOKUP($A699,Config!$B$6:$E$1862,2,FALSE)</f>
        <v>#N/A</v>
      </c>
      <c r="C699" s="19" t="e">
        <f>VLOOKUP($A699,Config!$B$6:$E$1862,3,FALSE)</f>
        <v>#N/A</v>
      </c>
      <c r="D699" s="19" t="e">
        <f>VLOOKUP($A699,Config!$B$6:$E$1862,4,FALSE)</f>
        <v>#N/A</v>
      </c>
    </row>
    <row r="700" spans="1:4" x14ac:dyDescent="0.25">
      <c r="A700" s="19">
        <v>40795</v>
      </c>
      <c r="B700" s="19" t="e">
        <f>VLOOKUP($A700,Config!$B$6:$E$1862,2,FALSE)</f>
        <v>#N/A</v>
      </c>
      <c r="C700" s="19" t="e">
        <f>VLOOKUP($A700,Config!$B$6:$E$1862,3,FALSE)</f>
        <v>#N/A</v>
      </c>
      <c r="D700" s="19" t="e">
        <f>VLOOKUP($A700,Config!$B$6:$E$1862,4,FALSE)</f>
        <v>#N/A</v>
      </c>
    </row>
    <row r="701" spans="1:4" x14ac:dyDescent="0.25">
      <c r="A701" s="19">
        <v>40796</v>
      </c>
      <c r="B701" s="19" t="e">
        <f>VLOOKUP($A701,Config!$B$6:$E$1862,2,FALSE)</f>
        <v>#N/A</v>
      </c>
      <c r="C701" s="19" t="e">
        <f>VLOOKUP($A701,Config!$B$6:$E$1862,3,FALSE)</f>
        <v>#N/A</v>
      </c>
      <c r="D701" s="19" t="e">
        <f>VLOOKUP($A701,Config!$B$6:$E$1862,4,FALSE)</f>
        <v>#N/A</v>
      </c>
    </row>
    <row r="702" spans="1:4" x14ac:dyDescent="0.25">
      <c r="A702" s="19">
        <v>40798</v>
      </c>
      <c r="B702" s="19" t="e">
        <f>VLOOKUP($A702,Config!$B$6:$E$1862,2,FALSE)</f>
        <v>#N/A</v>
      </c>
      <c r="C702" s="19" t="e">
        <f>VLOOKUP($A702,Config!$B$6:$E$1862,3,FALSE)</f>
        <v>#N/A</v>
      </c>
      <c r="D702" s="19" t="e">
        <f>VLOOKUP($A702,Config!$B$6:$E$1862,4,FALSE)</f>
        <v>#N/A</v>
      </c>
    </row>
    <row r="703" spans="1:4" x14ac:dyDescent="0.25">
      <c r="A703" s="19">
        <v>40799</v>
      </c>
      <c r="B703" s="19" t="e">
        <f>VLOOKUP($A703,Config!$B$6:$E$1862,2,FALSE)</f>
        <v>#N/A</v>
      </c>
      <c r="C703" s="19" t="e">
        <f>VLOOKUP($A703,Config!$B$6:$E$1862,3,FALSE)</f>
        <v>#N/A</v>
      </c>
      <c r="D703" s="19" t="e">
        <f>VLOOKUP($A703,Config!$B$6:$E$1862,4,FALSE)</f>
        <v>#N/A</v>
      </c>
    </row>
    <row r="704" spans="1:4" x14ac:dyDescent="0.25">
      <c r="A704" s="19">
        <v>40800</v>
      </c>
      <c r="B704" s="19" t="e">
        <f>VLOOKUP($A704,Config!$B$6:$E$1862,2,FALSE)</f>
        <v>#N/A</v>
      </c>
      <c r="C704" s="19" t="e">
        <f>VLOOKUP($A704,Config!$B$6:$E$1862,3,FALSE)</f>
        <v>#N/A</v>
      </c>
      <c r="D704" s="19" t="e">
        <f>VLOOKUP($A704,Config!$B$6:$E$1862,4,FALSE)</f>
        <v>#N/A</v>
      </c>
    </row>
    <row r="705" spans="1:4" x14ac:dyDescent="0.25">
      <c r="A705" s="19">
        <v>40801</v>
      </c>
      <c r="B705" s="19" t="e">
        <f>VLOOKUP($A705,Config!$B$6:$E$1862,2,FALSE)</f>
        <v>#N/A</v>
      </c>
      <c r="C705" s="19" t="e">
        <f>VLOOKUP($A705,Config!$B$6:$E$1862,3,FALSE)</f>
        <v>#N/A</v>
      </c>
      <c r="D705" s="19" t="e">
        <f>VLOOKUP($A705,Config!$B$6:$E$1862,4,FALSE)</f>
        <v>#N/A</v>
      </c>
    </row>
    <row r="706" spans="1:4" x14ac:dyDescent="0.25">
      <c r="A706" s="19">
        <v>40802</v>
      </c>
      <c r="B706" s="19" t="e">
        <f>VLOOKUP($A706,Config!$B$6:$E$1862,2,FALSE)</f>
        <v>#N/A</v>
      </c>
      <c r="C706" s="19" t="e">
        <f>VLOOKUP($A706,Config!$B$6:$E$1862,3,FALSE)</f>
        <v>#N/A</v>
      </c>
      <c r="D706" s="19" t="e">
        <f>VLOOKUP($A706,Config!$B$6:$E$1862,4,FALSE)</f>
        <v>#N/A</v>
      </c>
    </row>
    <row r="707" spans="1:4" x14ac:dyDescent="0.25">
      <c r="A707" s="19">
        <v>40803</v>
      </c>
      <c r="B707" s="19" t="e">
        <f>VLOOKUP($A707,Config!$B$6:$E$1862,2,FALSE)</f>
        <v>#N/A</v>
      </c>
      <c r="C707" s="19" t="e">
        <f>VLOOKUP($A707,Config!$B$6:$E$1862,3,FALSE)</f>
        <v>#N/A</v>
      </c>
      <c r="D707" s="19" t="e">
        <f>VLOOKUP($A707,Config!$B$6:$E$1862,4,FALSE)</f>
        <v>#N/A</v>
      </c>
    </row>
    <row r="708" spans="1:4" x14ac:dyDescent="0.25">
      <c r="A708" s="19">
        <v>40805</v>
      </c>
      <c r="B708" s="19" t="e">
        <f>VLOOKUP($A708,Config!$B$6:$E$1862,2,FALSE)</f>
        <v>#N/A</v>
      </c>
      <c r="C708" s="19" t="e">
        <f>VLOOKUP($A708,Config!$B$6:$E$1862,3,FALSE)</f>
        <v>#N/A</v>
      </c>
      <c r="D708" s="19" t="e">
        <f>VLOOKUP($A708,Config!$B$6:$E$1862,4,FALSE)</f>
        <v>#N/A</v>
      </c>
    </row>
    <row r="709" spans="1:4" x14ac:dyDescent="0.25">
      <c r="A709" s="19">
        <v>40806</v>
      </c>
      <c r="B709" s="19" t="e">
        <f>VLOOKUP($A709,Config!$B$6:$E$1862,2,FALSE)</f>
        <v>#N/A</v>
      </c>
      <c r="C709" s="19" t="e">
        <f>VLOOKUP($A709,Config!$B$6:$E$1862,3,FALSE)</f>
        <v>#N/A</v>
      </c>
      <c r="D709" s="19" t="e">
        <f>VLOOKUP($A709,Config!$B$6:$E$1862,4,FALSE)</f>
        <v>#N/A</v>
      </c>
    </row>
    <row r="710" spans="1:4" x14ac:dyDescent="0.25">
      <c r="A710" s="19">
        <v>40807</v>
      </c>
      <c r="B710" s="19" t="e">
        <f>VLOOKUP($A710,Config!$B$6:$E$1862,2,FALSE)</f>
        <v>#N/A</v>
      </c>
      <c r="C710" s="19" t="e">
        <f>VLOOKUP($A710,Config!$B$6:$E$1862,3,FALSE)</f>
        <v>#N/A</v>
      </c>
      <c r="D710" s="19" t="e">
        <f>VLOOKUP($A710,Config!$B$6:$E$1862,4,FALSE)</f>
        <v>#N/A</v>
      </c>
    </row>
    <row r="711" spans="1:4" x14ac:dyDescent="0.25">
      <c r="A711" s="19">
        <v>40808</v>
      </c>
      <c r="B711" s="19" t="e">
        <f>VLOOKUP($A711,Config!$B$6:$E$1862,2,FALSE)</f>
        <v>#N/A</v>
      </c>
      <c r="C711" s="19" t="e">
        <f>VLOOKUP($A711,Config!$B$6:$E$1862,3,FALSE)</f>
        <v>#N/A</v>
      </c>
      <c r="D711" s="19" t="e">
        <f>VLOOKUP($A711,Config!$B$6:$E$1862,4,FALSE)</f>
        <v>#N/A</v>
      </c>
    </row>
    <row r="712" spans="1:4" x14ac:dyDescent="0.25">
      <c r="A712" s="19">
        <v>40809</v>
      </c>
      <c r="B712" s="19" t="e">
        <f>VLOOKUP($A712,Config!$B$6:$E$1862,2,FALSE)</f>
        <v>#N/A</v>
      </c>
      <c r="C712" s="19" t="e">
        <f>VLOOKUP($A712,Config!$B$6:$E$1862,3,FALSE)</f>
        <v>#N/A</v>
      </c>
      <c r="D712" s="19" t="e">
        <f>VLOOKUP($A712,Config!$B$6:$E$1862,4,FALSE)</f>
        <v>#N/A</v>
      </c>
    </row>
    <row r="713" spans="1:4" x14ac:dyDescent="0.25">
      <c r="A713" s="19">
        <v>40811</v>
      </c>
      <c r="B713" s="19" t="e">
        <f>VLOOKUP($A713,Config!$B$6:$E$1862,2,FALSE)</f>
        <v>#N/A</v>
      </c>
      <c r="C713" s="19" t="e">
        <f>VLOOKUP($A713,Config!$B$6:$E$1862,3,FALSE)</f>
        <v>#N/A</v>
      </c>
      <c r="D713" s="19" t="e">
        <f>VLOOKUP($A713,Config!$B$6:$E$1862,4,FALSE)</f>
        <v>#N/A</v>
      </c>
    </row>
    <row r="714" spans="1:4" x14ac:dyDescent="0.25">
      <c r="A714" s="19">
        <v>40814</v>
      </c>
      <c r="B714" s="19" t="e">
        <f>VLOOKUP($A714,Config!$B$6:$E$1862,2,FALSE)</f>
        <v>#N/A</v>
      </c>
      <c r="C714" s="19" t="e">
        <f>VLOOKUP($A714,Config!$B$6:$E$1862,3,FALSE)</f>
        <v>#N/A</v>
      </c>
      <c r="D714" s="19" t="e">
        <f>VLOOKUP($A714,Config!$B$6:$E$1862,4,FALSE)</f>
        <v>#N/A</v>
      </c>
    </row>
    <row r="715" spans="1:4" x14ac:dyDescent="0.25">
      <c r="A715" s="19">
        <v>40816</v>
      </c>
      <c r="B715" s="19" t="e">
        <f>VLOOKUP($A715,Config!$B$6:$E$1862,2,FALSE)</f>
        <v>#N/A</v>
      </c>
      <c r="C715" s="19" t="e">
        <f>VLOOKUP($A715,Config!$B$6:$E$1862,3,FALSE)</f>
        <v>#N/A</v>
      </c>
      <c r="D715" s="19" t="e">
        <f>VLOOKUP($A715,Config!$B$6:$E$1862,4,FALSE)</f>
        <v>#N/A</v>
      </c>
    </row>
    <row r="716" spans="1:4" x14ac:dyDescent="0.25">
      <c r="A716" s="19">
        <v>40817</v>
      </c>
      <c r="B716" s="19" t="e">
        <f>VLOOKUP($A716,Config!$B$6:$E$1862,2,FALSE)</f>
        <v>#N/A</v>
      </c>
      <c r="C716" s="19" t="e">
        <f>VLOOKUP($A716,Config!$B$6:$E$1862,3,FALSE)</f>
        <v>#N/A</v>
      </c>
      <c r="D716" s="19" t="e">
        <f>VLOOKUP($A716,Config!$B$6:$E$1862,4,FALSE)</f>
        <v>#N/A</v>
      </c>
    </row>
    <row r="717" spans="1:4" x14ac:dyDescent="0.25">
      <c r="A717" s="19">
        <v>40823</v>
      </c>
      <c r="B717" s="19" t="e">
        <f>VLOOKUP($A717,Config!$B$6:$E$1862,2,FALSE)</f>
        <v>#N/A</v>
      </c>
      <c r="C717" s="19" t="e">
        <f>VLOOKUP($A717,Config!$B$6:$E$1862,3,FALSE)</f>
        <v>#N/A</v>
      </c>
      <c r="D717" s="19" t="e">
        <f>VLOOKUP($A717,Config!$B$6:$E$1862,4,FALSE)</f>
        <v>#N/A</v>
      </c>
    </row>
    <row r="718" spans="1:4" x14ac:dyDescent="0.25">
      <c r="A718" s="19">
        <v>40824</v>
      </c>
      <c r="B718" s="19" t="e">
        <f>VLOOKUP($A718,Config!$B$6:$E$1862,2,FALSE)</f>
        <v>#N/A</v>
      </c>
      <c r="C718" s="19" t="e">
        <f>VLOOKUP($A718,Config!$B$6:$E$1862,3,FALSE)</f>
        <v>#N/A</v>
      </c>
      <c r="D718" s="19" t="e">
        <f>VLOOKUP($A718,Config!$B$6:$E$1862,4,FALSE)</f>
        <v>#N/A</v>
      </c>
    </row>
    <row r="719" spans="1:4" x14ac:dyDescent="0.25">
      <c r="A719" s="19">
        <v>40825</v>
      </c>
      <c r="B719" s="19" t="e">
        <f>VLOOKUP($A719,Config!$B$6:$E$1862,2,FALSE)</f>
        <v>#N/A</v>
      </c>
      <c r="C719" s="19" t="e">
        <f>VLOOKUP($A719,Config!$B$6:$E$1862,3,FALSE)</f>
        <v>#N/A</v>
      </c>
      <c r="D719" s="19" t="e">
        <f>VLOOKUP($A719,Config!$B$6:$E$1862,4,FALSE)</f>
        <v>#N/A</v>
      </c>
    </row>
    <row r="720" spans="1:4" x14ac:dyDescent="0.25">
      <c r="A720" s="19">
        <v>40827</v>
      </c>
      <c r="B720" s="19" t="e">
        <f>VLOOKUP($A720,Config!$B$6:$E$1862,2,FALSE)</f>
        <v>#N/A</v>
      </c>
      <c r="C720" s="19" t="e">
        <f>VLOOKUP($A720,Config!$B$6:$E$1862,3,FALSE)</f>
        <v>#N/A</v>
      </c>
      <c r="D720" s="19" t="e">
        <f>VLOOKUP($A720,Config!$B$6:$E$1862,4,FALSE)</f>
        <v>#N/A</v>
      </c>
    </row>
    <row r="721" spans="1:4" x14ac:dyDescent="0.25">
      <c r="A721" s="19">
        <v>40829</v>
      </c>
      <c r="B721" s="19" t="e">
        <f>VLOOKUP($A721,Config!$B$6:$E$1862,2,FALSE)</f>
        <v>#N/A</v>
      </c>
      <c r="C721" s="19" t="e">
        <f>VLOOKUP($A721,Config!$B$6:$E$1862,3,FALSE)</f>
        <v>#N/A</v>
      </c>
      <c r="D721" s="19" t="e">
        <f>VLOOKUP($A721,Config!$B$6:$E$1862,4,FALSE)</f>
        <v>#N/A</v>
      </c>
    </row>
    <row r="722" spans="1:4" x14ac:dyDescent="0.25">
      <c r="A722" s="19">
        <v>40830</v>
      </c>
      <c r="B722" s="19" t="e">
        <f>VLOOKUP($A722,Config!$B$6:$E$1862,2,FALSE)</f>
        <v>#N/A</v>
      </c>
      <c r="C722" s="19" t="e">
        <f>VLOOKUP($A722,Config!$B$6:$E$1862,3,FALSE)</f>
        <v>#N/A</v>
      </c>
      <c r="D722" s="19" t="e">
        <f>VLOOKUP($A722,Config!$B$6:$E$1862,4,FALSE)</f>
        <v>#N/A</v>
      </c>
    </row>
    <row r="723" spans="1:4" x14ac:dyDescent="0.25">
      <c r="A723" s="19">
        <v>40832</v>
      </c>
      <c r="B723" s="19" t="e">
        <f>VLOOKUP($A723,Config!$B$6:$E$1862,2,FALSE)</f>
        <v>#N/A</v>
      </c>
      <c r="C723" s="19" t="e">
        <f>VLOOKUP($A723,Config!$B$6:$E$1862,3,FALSE)</f>
        <v>#N/A</v>
      </c>
      <c r="D723" s="19" t="e">
        <f>VLOOKUP($A723,Config!$B$6:$E$1862,4,FALSE)</f>
        <v>#N/A</v>
      </c>
    </row>
    <row r="724" spans="1:4" x14ac:dyDescent="0.25">
      <c r="A724" s="19">
        <v>40833</v>
      </c>
      <c r="B724" s="19" t="e">
        <f>VLOOKUP($A724,Config!$B$6:$E$1862,2,FALSE)</f>
        <v>#N/A</v>
      </c>
      <c r="C724" s="19" t="e">
        <f>VLOOKUP($A724,Config!$B$6:$E$1862,3,FALSE)</f>
        <v>#N/A</v>
      </c>
      <c r="D724" s="19" t="e">
        <f>VLOOKUP($A724,Config!$B$6:$E$1862,4,FALSE)</f>
        <v>#N/A</v>
      </c>
    </row>
    <row r="725" spans="1:4" x14ac:dyDescent="0.25">
      <c r="A725" s="19">
        <v>40836</v>
      </c>
      <c r="B725" s="19" t="e">
        <f>VLOOKUP($A725,Config!$B$6:$E$1862,2,FALSE)</f>
        <v>#N/A</v>
      </c>
      <c r="C725" s="19" t="e">
        <f>VLOOKUP($A725,Config!$B$6:$E$1862,3,FALSE)</f>
        <v>#N/A</v>
      </c>
      <c r="D725" s="19" t="e">
        <f>VLOOKUP($A725,Config!$B$6:$E$1862,4,FALSE)</f>
        <v>#N/A</v>
      </c>
    </row>
    <row r="726" spans="1:4" x14ac:dyDescent="0.25">
      <c r="A726" s="19">
        <v>40839</v>
      </c>
      <c r="B726" s="19" t="e">
        <f>VLOOKUP($A726,Config!$B$6:$E$1862,2,FALSE)</f>
        <v>#N/A</v>
      </c>
      <c r="C726" s="19" t="e">
        <f>VLOOKUP($A726,Config!$B$6:$E$1862,3,FALSE)</f>
        <v>#N/A</v>
      </c>
      <c r="D726" s="19" t="e">
        <f>VLOOKUP($A726,Config!$B$6:$E$1862,4,FALSE)</f>
        <v>#N/A</v>
      </c>
    </row>
    <row r="727" spans="1:4" x14ac:dyDescent="0.25">
      <c r="A727" s="19">
        <v>40840</v>
      </c>
      <c r="B727" s="19" t="e">
        <f>VLOOKUP($A727,Config!$B$6:$E$1862,2,FALSE)</f>
        <v>#N/A</v>
      </c>
      <c r="C727" s="19" t="e">
        <f>VLOOKUP($A727,Config!$B$6:$E$1862,3,FALSE)</f>
        <v>#N/A</v>
      </c>
      <c r="D727" s="19" t="e">
        <f>VLOOKUP($A727,Config!$B$6:$E$1862,4,FALSE)</f>
        <v>#N/A</v>
      </c>
    </row>
    <row r="728" spans="1:4" x14ac:dyDescent="0.25">
      <c r="A728" s="19">
        <v>40841</v>
      </c>
      <c r="B728" s="19" t="e">
        <f>VLOOKUP($A728,Config!$B$6:$E$1862,2,FALSE)</f>
        <v>#N/A</v>
      </c>
      <c r="C728" s="19" t="e">
        <f>VLOOKUP($A728,Config!$B$6:$E$1862,3,FALSE)</f>
        <v>#N/A</v>
      </c>
      <c r="D728" s="19" t="e">
        <f>VLOOKUP($A728,Config!$B$6:$E$1862,4,FALSE)</f>
        <v>#N/A</v>
      </c>
    </row>
    <row r="729" spans="1:4" x14ac:dyDescent="0.25">
      <c r="A729" s="19">
        <v>40842</v>
      </c>
      <c r="B729" s="19" t="e">
        <f>VLOOKUP($A729,Config!$B$6:$E$1862,2,FALSE)</f>
        <v>#N/A</v>
      </c>
      <c r="C729" s="19" t="e">
        <f>VLOOKUP($A729,Config!$B$6:$E$1862,3,FALSE)</f>
        <v>#N/A</v>
      </c>
      <c r="D729" s="19" t="e">
        <f>VLOOKUP($A729,Config!$B$6:$E$1862,4,FALSE)</f>
        <v>#N/A</v>
      </c>
    </row>
    <row r="730" spans="1:4" x14ac:dyDescent="0.25">
      <c r="A730" s="19">
        <v>40843</v>
      </c>
      <c r="B730" s="19" t="e">
        <f>VLOOKUP($A730,Config!$B$6:$E$1862,2,FALSE)</f>
        <v>#N/A</v>
      </c>
      <c r="C730" s="19" t="e">
        <f>VLOOKUP($A730,Config!$B$6:$E$1862,3,FALSE)</f>
        <v>#N/A</v>
      </c>
      <c r="D730" s="19" t="e">
        <f>VLOOKUP($A730,Config!$B$6:$E$1862,4,FALSE)</f>
        <v>#N/A</v>
      </c>
    </row>
    <row r="731" spans="1:4" x14ac:dyDescent="0.25">
      <c r="A731" s="19">
        <v>40844</v>
      </c>
      <c r="B731" s="19" t="e">
        <f>VLOOKUP($A731,Config!$B$6:$E$1862,2,FALSE)</f>
        <v>#N/A</v>
      </c>
      <c r="C731" s="19" t="e">
        <f>VLOOKUP($A731,Config!$B$6:$E$1862,3,FALSE)</f>
        <v>#N/A</v>
      </c>
      <c r="D731" s="19" t="e">
        <f>VLOOKUP($A731,Config!$B$6:$E$1862,4,FALSE)</f>
        <v>#N/A</v>
      </c>
    </row>
    <row r="732" spans="1:4" x14ac:dyDescent="0.25">
      <c r="A732" s="19">
        <v>40845</v>
      </c>
      <c r="B732" s="19" t="e">
        <f>VLOOKUP($A732,Config!$B$6:$E$1862,2,FALSE)</f>
        <v>#N/A</v>
      </c>
      <c r="C732" s="19" t="e">
        <f>VLOOKUP($A732,Config!$B$6:$E$1862,3,FALSE)</f>
        <v>#N/A</v>
      </c>
      <c r="D732" s="19" t="e">
        <f>VLOOKUP($A732,Config!$B$6:$E$1862,4,FALSE)</f>
        <v>#N/A</v>
      </c>
    </row>
    <row r="733" spans="1:4" x14ac:dyDescent="0.25">
      <c r="A733" s="19">
        <v>40846</v>
      </c>
      <c r="B733" s="19" t="e">
        <f>VLOOKUP($A733,Config!$B$6:$E$1862,2,FALSE)</f>
        <v>#N/A</v>
      </c>
      <c r="C733" s="19" t="e">
        <f>VLOOKUP($A733,Config!$B$6:$E$1862,3,FALSE)</f>
        <v>#N/A</v>
      </c>
      <c r="D733" s="19" t="e">
        <f>VLOOKUP($A733,Config!$B$6:$E$1862,4,FALSE)</f>
        <v>#N/A</v>
      </c>
    </row>
    <row r="734" spans="1:4" x14ac:dyDescent="0.25">
      <c r="A734" s="19">
        <v>40847</v>
      </c>
      <c r="B734" s="19" t="e">
        <f>VLOOKUP($A734,Config!$B$6:$E$1862,2,FALSE)</f>
        <v>#N/A</v>
      </c>
      <c r="C734" s="19" t="e">
        <f>VLOOKUP($A734,Config!$B$6:$E$1862,3,FALSE)</f>
        <v>#N/A</v>
      </c>
      <c r="D734" s="19" t="e">
        <f>VLOOKUP($A734,Config!$B$6:$E$1862,4,FALSE)</f>
        <v>#N/A</v>
      </c>
    </row>
    <row r="735" spans="1:4" x14ac:dyDescent="0.25">
      <c r="A735" s="19">
        <v>40848</v>
      </c>
      <c r="B735" s="19" t="e">
        <f>VLOOKUP($A735,Config!$B$6:$E$1862,2,FALSE)</f>
        <v>#N/A</v>
      </c>
      <c r="C735" s="19" t="e">
        <f>VLOOKUP($A735,Config!$B$6:$E$1862,3,FALSE)</f>
        <v>#N/A</v>
      </c>
      <c r="D735" s="19" t="e">
        <f>VLOOKUP($A735,Config!$B$6:$E$1862,4,FALSE)</f>
        <v>#N/A</v>
      </c>
    </row>
    <row r="736" spans="1:4" x14ac:dyDescent="0.25">
      <c r="A736" s="19">
        <v>40849</v>
      </c>
      <c r="B736" s="19" t="e">
        <f>VLOOKUP($A736,Config!$B$6:$E$1862,2,FALSE)</f>
        <v>#N/A</v>
      </c>
      <c r="C736" s="19" t="e">
        <f>VLOOKUP($A736,Config!$B$6:$E$1862,3,FALSE)</f>
        <v>#N/A</v>
      </c>
      <c r="D736" s="19" t="e">
        <f>VLOOKUP($A736,Config!$B$6:$E$1862,4,FALSE)</f>
        <v>#N/A</v>
      </c>
    </row>
    <row r="737" spans="1:4" x14ac:dyDescent="0.25">
      <c r="A737" s="19">
        <v>40850</v>
      </c>
      <c r="B737" s="19" t="e">
        <f>VLOOKUP($A737,Config!$B$6:$E$1862,2,FALSE)</f>
        <v>#N/A</v>
      </c>
      <c r="C737" s="19" t="e">
        <f>VLOOKUP($A737,Config!$B$6:$E$1862,3,FALSE)</f>
        <v>#N/A</v>
      </c>
      <c r="D737" s="19" t="e">
        <f>VLOOKUP($A737,Config!$B$6:$E$1862,4,FALSE)</f>
        <v>#N/A</v>
      </c>
    </row>
    <row r="738" spans="1:4" x14ac:dyDescent="0.25">
      <c r="A738" s="19">
        <v>40851</v>
      </c>
      <c r="B738" s="19" t="e">
        <f>VLOOKUP($A738,Config!$B$6:$E$1862,2,FALSE)</f>
        <v>#N/A</v>
      </c>
      <c r="C738" s="19" t="e">
        <f>VLOOKUP($A738,Config!$B$6:$E$1862,3,FALSE)</f>
        <v>#N/A</v>
      </c>
      <c r="D738" s="19" t="e">
        <f>VLOOKUP($A738,Config!$B$6:$E$1862,4,FALSE)</f>
        <v>#N/A</v>
      </c>
    </row>
    <row r="739" spans="1:4" x14ac:dyDescent="0.25">
      <c r="A739" s="19">
        <v>40852</v>
      </c>
      <c r="B739" s="19" t="e">
        <f>VLOOKUP($A739,Config!$B$6:$E$1862,2,FALSE)</f>
        <v>#N/A</v>
      </c>
      <c r="C739" s="19" t="e">
        <f>VLOOKUP($A739,Config!$B$6:$E$1862,3,FALSE)</f>
        <v>#N/A</v>
      </c>
      <c r="D739" s="19" t="e">
        <f>VLOOKUP($A739,Config!$B$6:$E$1862,4,FALSE)</f>
        <v>#N/A</v>
      </c>
    </row>
    <row r="740" spans="1:4" x14ac:dyDescent="0.25">
      <c r="A740" s="19">
        <v>40853</v>
      </c>
      <c r="B740" s="19" t="e">
        <f>VLOOKUP($A740,Config!$B$6:$E$1862,2,FALSE)</f>
        <v>#N/A</v>
      </c>
      <c r="C740" s="19" t="e">
        <f>VLOOKUP($A740,Config!$B$6:$E$1862,3,FALSE)</f>
        <v>#N/A</v>
      </c>
      <c r="D740" s="19" t="e">
        <f>VLOOKUP($A740,Config!$B$6:$E$1862,4,FALSE)</f>
        <v>#N/A</v>
      </c>
    </row>
    <row r="741" spans="1:4" x14ac:dyDescent="0.25">
      <c r="A741" s="19">
        <v>40854</v>
      </c>
      <c r="B741" s="19" t="e">
        <f>VLOOKUP($A741,Config!$B$6:$E$1862,2,FALSE)</f>
        <v>#N/A</v>
      </c>
      <c r="C741" s="19" t="e">
        <f>VLOOKUP($A741,Config!$B$6:$E$1862,3,FALSE)</f>
        <v>#N/A</v>
      </c>
      <c r="D741" s="19" t="e">
        <f>VLOOKUP($A741,Config!$B$6:$E$1862,4,FALSE)</f>
        <v>#N/A</v>
      </c>
    </row>
    <row r="742" spans="1:4" x14ac:dyDescent="0.25">
      <c r="A742" s="19">
        <v>40855</v>
      </c>
      <c r="B742" s="19" t="e">
        <f>VLOOKUP($A742,Config!$B$6:$E$1862,2,FALSE)</f>
        <v>#N/A</v>
      </c>
      <c r="C742" s="19" t="e">
        <f>VLOOKUP($A742,Config!$B$6:$E$1862,3,FALSE)</f>
        <v>#N/A</v>
      </c>
      <c r="D742" s="19" t="e">
        <f>VLOOKUP($A742,Config!$B$6:$E$1862,4,FALSE)</f>
        <v>#N/A</v>
      </c>
    </row>
    <row r="743" spans="1:4" x14ac:dyDescent="0.25">
      <c r="A743" s="19">
        <v>40856</v>
      </c>
      <c r="B743" s="19" t="e">
        <f>VLOOKUP($A743,Config!$B$6:$E$1862,2,FALSE)</f>
        <v>#N/A</v>
      </c>
      <c r="C743" s="19" t="e">
        <f>VLOOKUP($A743,Config!$B$6:$E$1862,3,FALSE)</f>
        <v>#N/A</v>
      </c>
      <c r="D743" s="19" t="e">
        <f>VLOOKUP($A743,Config!$B$6:$E$1862,4,FALSE)</f>
        <v>#N/A</v>
      </c>
    </row>
    <row r="744" spans="1:4" x14ac:dyDescent="0.25">
      <c r="A744" s="19">
        <v>40857</v>
      </c>
      <c r="B744" s="19" t="e">
        <f>VLOOKUP($A744,Config!$B$6:$E$1862,2,FALSE)</f>
        <v>#N/A</v>
      </c>
      <c r="C744" s="19" t="e">
        <f>VLOOKUP($A744,Config!$B$6:$E$1862,3,FALSE)</f>
        <v>#N/A</v>
      </c>
      <c r="D744" s="19" t="e">
        <f>VLOOKUP($A744,Config!$B$6:$E$1862,4,FALSE)</f>
        <v>#N/A</v>
      </c>
    </row>
    <row r="745" spans="1:4" x14ac:dyDescent="0.25">
      <c r="A745" s="19">
        <v>40858</v>
      </c>
      <c r="B745" s="19" t="e">
        <f>VLOOKUP($A745,Config!$B$6:$E$1862,2,FALSE)</f>
        <v>#N/A</v>
      </c>
      <c r="C745" s="19" t="e">
        <f>VLOOKUP($A745,Config!$B$6:$E$1862,3,FALSE)</f>
        <v>#N/A</v>
      </c>
      <c r="D745" s="19" t="e">
        <f>VLOOKUP($A745,Config!$B$6:$E$1862,4,FALSE)</f>
        <v>#N/A</v>
      </c>
    </row>
    <row r="746" spans="1:4" x14ac:dyDescent="0.25">
      <c r="A746" s="19">
        <v>40859</v>
      </c>
      <c r="B746" s="19" t="e">
        <f>VLOOKUP($A746,Config!$B$6:$E$1862,2,FALSE)</f>
        <v>#N/A</v>
      </c>
      <c r="C746" s="19" t="e">
        <f>VLOOKUP($A746,Config!$B$6:$E$1862,3,FALSE)</f>
        <v>#N/A</v>
      </c>
      <c r="D746" s="19" t="e">
        <f>VLOOKUP($A746,Config!$B$6:$E$1862,4,FALSE)</f>
        <v>#N/A</v>
      </c>
    </row>
    <row r="747" spans="1:4" x14ac:dyDescent="0.25">
      <c r="A747" s="19">
        <v>40860</v>
      </c>
      <c r="B747" s="19" t="e">
        <f>VLOOKUP($A747,Config!$B$6:$E$1862,2,FALSE)</f>
        <v>#N/A</v>
      </c>
      <c r="C747" s="19" t="e">
        <f>VLOOKUP($A747,Config!$B$6:$E$1862,3,FALSE)</f>
        <v>#N/A</v>
      </c>
      <c r="D747" s="19" t="e">
        <f>VLOOKUP($A747,Config!$B$6:$E$1862,4,FALSE)</f>
        <v>#N/A</v>
      </c>
    </row>
    <row r="748" spans="1:4" x14ac:dyDescent="0.25">
      <c r="A748" s="19">
        <v>40862</v>
      </c>
      <c r="B748" s="19" t="e">
        <f>VLOOKUP($A748,Config!$B$6:$E$1862,2,FALSE)</f>
        <v>#N/A</v>
      </c>
      <c r="C748" s="19" t="e">
        <f>VLOOKUP($A748,Config!$B$6:$E$1862,3,FALSE)</f>
        <v>#N/A</v>
      </c>
      <c r="D748" s="19" t="e">
        <f>VLOOKUP($A748,Config!$B$6:$E$1862,4,FALSE)</f>
        <v>#N/A</v>
      </c>
    </row>
    <row r="749" spans="1:4" x14ac:dyDescent="0.25">
      <c r="A749" s="19">
        <v>40863</v>
      </c>
      <c r="B749" s="19" t="e">
        <f>VLOOKUP($A749,Config!$B$6:$E$1862,2,FALSE)</f>
        <v>#N/A</v>
      </c>
      <c r="C749" s="19" t="e">
        <f>VLOOKUP($A749,Config!$B$6:$E$1862,3,FALSE)</f>
        <v>#N/A</v>
      </c>
      <c r="D749" s="19" t="e">
        <f>VLOOKUP($A749,Config!$B$6:$E$1862,4,FALSE)</f>
        <v>#N/A</v>
      </c>
    </row>
    <row r="750" spans="1:4" x14ac:dyDescent="0.25">
      <c r="A750" s="19">
        <v>40864</v>
      </c>
      <c r="B750" s="19" t="e">
        <f>VLOOKUP($A750,Config!$B$6:$E$1862,2,FALSE)</f>
        <v>#N/A</v>
      </c>
      <c r="C750" s="19" t="e">
        <f>VLOOKUP($A750,Config!$B$6:$E$1862,3,FALSE)</f>
        <v>#N/A</v>
      </c>
      <c r="D750" s="19" t="e">
        <f>VLOOKUP($A750,Config!$B$6:$E$1862,4,FALSE)</f>
        <v>#N/A</v>
      </c>
    </row>
    <row r="751" spans="1:4" x14ac:dyDescent="0.25">
      <c r="A751" s="19">
        <v>40865</v>
      </c>
      <c r="B751" s="19" t="e">
        <f>VLOOKUP($A751,Config!$B$6:$E$1862,2,FALSE)</f>
        <v>#N/A</v>
      </c>
      <c r="C751" s="19" t="e">
        <f>VLOOKUP($A751,Config!$B$6:$E$1862,3,FALSE)</f>
        <v>#N/A</v>
      </c>
      <c r="D751" s="19" t="e">
        <f>VLOOKUP($A751,Config!$B$6:$E$1862,4,FALSE)</f>
        <v>#N/A</v>
      </c>
    </row>
    <row r="752" spans="1:4" x14ac:dyDescent="0.25">
      <c r="A752" s="19">
        <v>40866</v>
      </c>
      <c r="B752" s="19" t="e">
        <f>VLOOKUP($A752,Config!$B$6:$E$1862,2,FALSE)</f>
        <v>#N/A</v>
      </c>
      <c r="C752" s="19" t="e">
        <f>VLOOKUP($A752,Config!$B$6:$E$1862,3,FALSE)</f>
        <v>#N/A</v>
      </c>
      <c r="D752" s="19" t="e">
        <f>VLOOKUP($A752,Config!$B$6:$E$1862,4,FALSE)</f>
        <v>#N/A</v>
      </c>
    </row>
    <row r="753" spans="1:4" x14ac:dyDescent="0.25">
      <c r="A753" s="19">
        <v>40867</v>
      </c>
      <c r="B753" s="19" t="e">
        <f>VLOOKUP($A753,Config!$B$6:$E$1862,2,FALSE)</f>
        <v>#N/A</v>
      </c>
      <c r="C753" s="19" t="e">
        <f>VLOOKUP($A753,Config!$B$6:$E$1862,3,FALSE)</f>
        <v>#N/A</v>
      </c>
      <c r="D753" s="19" t="e">
        <f>VLOOKUP($A753,Config!$B$6:$E$1862,4,FALSE)</f>
        <v>#N/A</v>
      </c>
    </row>
    <row r="754" spans="1:4" x14ac:dyDescent="0.25">
      <c r="A754" s="19">
        <v>40868</v>
      </c>
      <c r="B754" s="19" t="e">
        <f>VLOOKUP($A754,Config!$B$6:$E$1862,2,FALSE)</f>
        <v>#N/A</v>
      </c>
      <c r="C754" s="19" t="e">
        <f>VLOOKUP($A754,Config!$B$6:$E$1862,3,FALSE)</f>
        <v>#N/A</v>
      </c>
      <c r="D754" s="19" t="e">
        <f>VLOOKUP($A754,Config!$B$6:$E$1862,4,FALSE)</f>
        <v>#N/A</v>
      </c>
    </row>
    <row r="755" spans="1:4" x14ac:dyDescent="0.25">
      <c r="A755" s="19">
        <v>40869</v>
      </c>
      <c r="B755" s="19" t="e">
        <f>VLOOKUP($A755,Config!$B$6:$E$1862,2,FALSE)</f>
        <v>#N/A</v>
      </c>
      <c r="C755" s="19" t="e">
        <f>VLOOKUP($A755,Config!$B$6:$E$1862,3,FALSE)</f>
        <v>#N/A</v>
      </c>
      <c r="D755" s="19" t="e">
        <f>VLOOKUP($A755,Config!$B$6:$E$1862,4,FALSE)</f>
        <v>#N/A</v>
      </c>
    </row>
    <row r="756" spans="1:4" x14ac:dyDescent="0.25">
      <c r="A756" s="19">
        <v>40870</v>
      </c>
      <c r="B756" s="19" t="e">
        <f>VLOOKUP($A756,Config!$B$6:$E$1862,2,FALSE)</f>
        <v>#N/A</v>
      </c>
      <c r="C756" s="19" t="e">
        <f>VLOOKUP($A756,Config!$B$6:$E$1862,3,FALSE)</f>
        <v>#N/A</v>
      </c>
      <c r="D756" s="19" t="e">
        <f>VLOOKUP($A756,Config!$B$6:$E$1862,4,FALSE)</f>
        <v>#N/A</v>
      </c>
    </row>
    <row r="757" spans="1:4" x14ac:dyDescent="0.25">
      <c r="A757" s="19">
        <v>40874</v>
      </c>
      <c r="B757" s="19" t="e">
        <f>VLOOKUP($A757,Config!$B$6:$E$1862,2,FALSE)</f>
        <v>#N/A</v>
      </c>
      <c r="C757" s="19" t="e">
        <f>VLOOKUP($A757,Config!$B$6:$E$1862,3,FALSE)</f>
        <v>#N/A</v>
      </c>
      <c r="D757" s="19" t="e">
        <f>VLOOKUP($A757,Config!$B$6:$E$1862,4,FALSE)</f>
        <v>#N/A</v>
      </c>
    </row>
    <row r="758" spans="1:4" x14ac:dyDescent="0.25">
      <c r="A758" s="19">
        <v>40876</v>
      </c>
      <c r="B758" s="19" t="e">
        <f>VLOOKUP($A758,Config!$B$6:$E$1862,2,FALSE)</f>
        <v>#N/A</v>
      </c>
      <c r="C758" s="19" t="e">
        <f>VLOOKUP($A758,Config!$B$6:$E$1862,3,FALSE)</f>
        <v>#N/A</v>
      </c>
      <c r="D758" s="19" t="e">
        <f>VLOOKUP($A758,Config!$B$6:$E$1862,4,FALSE)</f>
        <v>#N/A</v>
      </c>
    </row>
    <row r="759" spans="1:4" x14ac:dyDescent="0.25">
      <c r="A759" s="19">
        <v>40877</v>
      </c>
      <c r="B759" s="19" t="e">
        <f>VLOOKUP($A759,Config!$B$6:$E$1862,2,FALSE)</f>
        <v>#N/A</v>
      </c>
      <c r="C759" s="19" t="e">
        <f>VLOOKUP($A759,Config!$B$6:$E$1862,3,FALSE)</f>
        <v>#N/A</v>
      </c>
      <c r="D759" s="19" t="e">
        <f>VLOOKUP($A759,Config!$B$6:$E$1862,4,FALSE)</f>
        <v>#N/A</v>
      </c>
    </row>
    <row r="760" spans="1:4" x14ac:dyDescent="0.25">
      <c r="A760" s="19">
        <v>40878</v>
      </c>
      <c r="B760" s="19" t="e">
        <f>VLOOKUP($A760,Config!$B$6:$E$1862,2,FALSE)</f>
        <v>#N/A</v>
      </c>
      <c r="C760" s="19" t="e">
        <f>VLOOKUP($A760,Config!$B$6:$E$1862,3,FALSE)</f>
        <v>#N/A</v>
      </c>
      <c r="D760" s="19" t="e">
        <f>VLOOKUP($A760,Config!$B$6:$E$1862,4,FALSE)</f>
        <v>#N/A</v>
      </c>
    </row>
    <row r="761" spans="1:4" x14ac:dyDescent="0.25">
      <c r="A761" s="19">
        <v>40879</v>
      </c>
      <c r="B761" s="19" t="e">
        <f>VLOOKUP($A761,Config!$B$6:$E$1862,2,FALSE)</f>
        <v>#N/A</v>
      </c>
      <c r="C761" s="19" t="e">
        <f>VLOOKUP($A761,Config!$B$6:$E$1862,3,FALSE)</f>
        <v>#N/A</v>
      </c>
      <c r="D761" s="19" t="e">
        <f>VLOOKUP($A761,Config!$B$6:$E$1862,4,FALSE)</f>
        <v>#N/A</v>
      </c>
    </row>
    <row r="762" spans="1:4" x14ac:dyDescent="0.25">
      <c r="A762" s="19">
        <v>40880</v>
      </c>
      <c r="B762" s="19" t="e">
        <f>VLOOKUP($A762,Config!$B$6:$E$1862,2,FALSE)</f>
        <v>#N/A</v>
      </c>
      <c r="C762" s="19" t="e">
        <f>VLOOKUP($A762,Config!$B$6:$E$1862,3,FALSE)</f>
        <v>#N/A</v>
      </c>
      <c r="D762" s="19" t="e">
        <f>VLOOKUP($A762,Config!$B$6:$E$1862,4,FALSE)</f>
        <v>#N/A</v>
      </c>
    </row>
    <row r="763" spans="1:4" x14ac:dyDescent="0.25">
      <c r="A763" s="19">
        <v>40881</v>
      </c>
      <c r="B763" s="19" t="e">
        <f>VLOOKUP($A763,Config!$B$6:$E$1862,2,FALSE)</f>
        <v>#N/A</v>
      </c>
      <c r="C763" s="19" t="e">
        <f>VLOOKUP($A763,Config!$B$6:$E$1862,3,FALSE)</f>
        <v>#N/A</v>
      </c>
      <c r="D763" s="19" t="e">
        <f>VLOOKUP($A763,Config!$B$6:$E$1862,4,FALSE)</f>
        <v>#N/A</v>
      </c>
    </row>
    <row r="764" spans="1:4" x14ac:dyDescent="0.25">
      <c r="A764" s="19">
        <v>40882</v>
      </c>
      <c r="B764" s="19" t="e">
        <f>VLOOKUP($A764,Config!$B$6:$E$1862,2,FALSE)</f>
        <v>#N/A</v>
      </c>
      <c r="C764" s="19" t="e">
        <f>VLOOKUP($A764,Config!$B$6:$E$1862,3,FALSE)</f>
        <v>#N/A</v>
      </c>
      <c r="D764" s="19" t="e">
        <f>VLOOKUP($A764,Config!$B$6:$E$1862,4,FALSE)</f>
        <v>#N/A</v>
      </c>
    </row>
    <row r="765" spans="1:4" x14ac:dyDescent="0.25">
      <c r="A765" s="19">
        <v>40883</v>
      </c>
      <c r="B765" s="19" t="e">
        <f>VLOOKUP($A765,Config!$B$6:$E$1862,2,FALSE)</f>
        <v>#N/A</v>
      </c>
      <c r="C765" s="19" t="e">
        <f>VLOOKUP($A765,Config!$B$6:$E$1862,3,FALSE)</f>
        <v>#N/A</v>
      </c>
      <c r="D765" s="19" t="e">
        <f>VLOOKUP($A765,Config!$B$6:$E$1862,4,FALSE)</f>
        <v>#N/A</v>
      </c>
    </row>
    <row r="766" spans="1:4" x14ac:dyDescent="0.25">
      <c r="A766" s="19">
        <v>40884</v>
      </c>
      <c r="B766" s="19" t="e">
        <f>VLOOKUP($A766,Config!$B$6:$E$1862,2,FALSE)</f>
        <v>#N/A</v>
      </c>
      <c r="C766" s="19" t="e">
        <f>VLOOKUP($A766,Config!$B$6:$E$1862,3,FALSE)</f>
        <v>#N/A</v>
      </c>
      <c r="D766" s="19" t="e">
        <f>VLOOKUP($A766,Config!$B$6:$E$1862,4,FALSE)</f>
        <v>#N/A</v>
      </c>
    </row>
    <row r="767" spans="1:4" x14ac:dyDescent="0.25">
      <c r="A767" s="19">
        <v>40886</v>
      </c>
      <c r="B767" s="19" t="e">
        <f>VLOOKUP($A767,Config!$B$6:$E$1862,2,FALSE)</f>
        <v>#N/A</v>
      </c>
      <c r="C767" s="19" t="e">
        <f>VLOOKUP($A767,Config!$B$6:$E$1862,3,FALSE)</f>
        <v>#N/A</v>
      </c>
      <c r="D767" s="19" t="e">
        <f>VLOOKUP($A767,Config!$B$6:$E$1862,4,FALSE)</f>
        <v>#N/A</v>
      </c>
    </row>
    <row r="768" spans="1:4" x14ac:dyDescent="0.25">
      <c r="A768" s="19">
        <v>40887</v>
      </c>
      <c r="B768" s="19" t="e">
        <f>VLOOKUP($A768,Config!$B$6:$E$1862,2,FALSE)</f>
        <v>#N/A</v>
      </c>
      <c r="C768" s="19" t="e">
        <f>VLOOKUP($A768,Config!$B$6:$E$1862,3,FALSE)</f>
        <v>#N/A</v>
      </c>
      <c r="D768" s="19" t="e">
        <f>VLOOKUP($A768,Config!$B$6:$E$1862,4,FALSE)</f>
        <v>#N/A</v>
      </c>
    </row>
    <row r="769" spans="1:4" x14ac:dyDescent="0.25">
      <c r="A769" s="19">
        <v>40888</v>
      </c>
      <c r="B769" s="19" t="e">
        <f>VLOOKUP($A769,Config!$B$6:$E$1862,2,FALSE)</f>
        <v>#N/A</v>
      </c>
      <c r="C769" s="19" t="e">
        <f>VLOOKUP($A769,Config!$B$6:$E$1862,3,FALSE)</f>
        <v>#N/A</v>
      </c>
      <c r="D769" s="19" t="e">
        <f>VLOOKUP($A769,Config!$B$6:$E$1862,4,FALSE)</f>
        <v>#N/A</v>
      </c>
    </row>
    <row r="770" spans="1:4" x14ac:dyDescent="0.25">
      <c r="A770" s="19">
        <v>40889</v>
      </c>
      <c r="B770" s="19" t="e">
        <f>VLOOKUP($A770,Config!$B$6:$E$1862,2,FALSE)</f>
        <v>#N/A</v>
      </c>
      <c r="C770" s="19" t="e">
        <f>VLOOKUP($A770,Config!$B$6:$E$1862,3,FALSE)</f>
        <v>#N/A</v>
      </c>
      <c r="D770" s="19" t="e">
        <f>VLOOKUP($A770,Config!$B$6:$E$1862,4,FALSE)</f>
        <v>#N/A</v>
      </c>
    </row>
    <row r="771" spans="1:4" x14ac:dyDescent="0.25">
      <c r="A771" s="19">
        <v>40890</v>
      </c>
      <c r="B771" s="19" t="e">
        <f>VLOOKUP($A771,Config!$B$6:$E$1862,2,FALSE)</f>
        <v>#N/A</v>
      </c>
      <c r="C771" s="19" t="e">
        <f>VLOOKUP($A771,Config!$B$6:$E$1862,3,FALSE)</f>
        <v>#N/A</v>
      </c>
      <c r="D771" s="19" t="e">
        <f>VLOOKUP($A771,Config!$B$6:$E$1862,4,FALSE)</f>
        <v>#N/A</v>
      </c>
    </row>
    <row r="772" spans="1:4" x14ac:dyDescent="0.25">
      <c r="A772" s="19">
        <v>40891</v>
      </c>
      <c r="B772" s="19" t="e">
        <f>VLOOKUP($A772,Config!$B$6:$E$1862,2,FALSE)</f>
        <v>#N/A</v>
      </c>
      <c r="C772" s="19" t="e">
        <f>VLOOKUP($A772,Config!$B$6:$E$1862,3,FALSE)</f>
        <v>#N/A</v>
      </c>
      <c r="D772" s="19" t="e">
        <f>VLOOKUP($A772,Config!$B$6:$E$1862,4,FALSE)</f>
        <v>#N/A</v>
      </c>
    </row>
    <row r="773" spans="1:4" x14ac:dyDescent="0.25">
      <c r="A773" s="19">
        <v>40892</v>
      </c>
      <c r="B773" s="19" t="e">
        <f>VLOOKUP($A773,Config!$B$6:$E$1862,2,FALSE)</f>
        <v>#N/A</v>
      </c>
      <c r="C773" s="19" t="e">
        <f>VLOOKUP($A773,Config!$B$6:$E$1862,3,FALSE)</f>
        <v>#N/A</v>
      </c>
      <c r="D773" s="19" t="e">
        <f>VLOOKUP($A773,Config!$B$6:$E$1862,4,FALSE)</f>
        <v>#N/A</v>
      </c>
    </row>
    <row r="774" spans="1:4" x14ac:dyDescent="0.25">
      <c r="A774" s="19">
        <v>40893</v>
      </c>
      <c r="B774" s="19" t="e">
        <f>VLOOKUP($A774,Config!$B$6:$E$1862,2,FALSE)</f>
        <v>#N/A</v>
      </c>
      <c r="C774" s="19" t="e">
        <f>VLOOKUP($A774,Config!$B$6:$E$1862,3,FALSE)</f>
        <v>#N/A</v>
      </c>
      <c r="D774" s="19" t="e">
        <f>VLOOKUP($A774,Config!$B$6:$E$1862,4,FALSE)</f>
        <v>#N/A</v>
      </c>
    </row>
    <row r="775" spans="1:4" x14ac:dyDescent="0.25">
      <c r="A775" s="19">
        <v>40894</v>
      </c>
      <c r="B775" s="19" t="e">
        <f>VLOOKUP($A775,Config!$B$6:$E$1862,2,FALSE)</f>
        <v>#N/A</v>
      </c>
      <c r="C775" s="19" t="e">
        <f>VLOOKUP($A775,Config!$B$6:$E$1862,3,FALSE)</f>
        <v>#N/A</v>
      </c>
      <c r="D775" s="19" t="e">
        <f>VLOOKUP($A775,Config!$B$6:$E$1862,4,FALSE)</f>
        <v>#N/A</v>
      </c>
    </row>
    <row r="776" spans="1:4" x14ac:dyDescent="0.25">
      <c r="A776" s="19">
        <v>40896</v>
      </c>
      <c r="B776" s="19" t="e">
        <f>VLOOKUP($A776,Config!$B$6:$E$1862,2,FALSE)</f>
        <v>#N/A</v>
      </c>
      <c r="C776" s="19" t="e">
        <f>VLOOKUP($A776,Config!$B$6:$E$1862,3,FALSE)</f>
        <v>#N/A</v>
      </c>
      <c r="D776" s="19" t="e">
        <f>VLOOKUP($A776,Config!$B$6:$E$1862,4,FALSE)</f>
        <v>#N/A</v>
      </c>
    </row>
    <row r="777" spans="1:4" x14ac:dyDescent="0.25">
      <c r="A777" s="19">
        <v>40899</v>
      </c>
      <c r="B777" s="19" t="e">
        <f>VLOOKUP($A777,Config!$B$6:$E$1862,2,FALSE)</f>
        <v>#N/A</v>
      </c>
      <c r="C777" s="19" t="e">
        <f>VLOOKUP($A777,Config!$B$6:$E$1862,3,FALSE)</f>
        <v>#N/A</v>
      </c>
      <c r="D777" s="19" t="e">
        <f>VLOOKUP($A777,Config!$B$6:$E$1862,4,FALSE)</f>
        <v>#N/A</v>
      </c>
    </row>
    <row r="778" spans="1:4" x14ac:dyDescent="0.25">
      <c r="A778" s="19">
        <v>40900</v>
      </c>
      <c r="B778" s="19" t="e">
        <f>VLOOKUP($A778,Config!$B$6:$E$1862,2,FALSE)</f>
        <v>#N/A</v>
      </c>
      <c r="C778" s="19" t="e">
        <f>VLOOKUP($A778,Config!$B$6:$E$1862,3,FALSE)</f>
        <v>#N/A</v>
      </c>
      <c r="D778" s="19" t="e">
        <f>VLOOKUP($A778,Config!$B$6:$E$1862,4,FALSE)</f>
        <v>#N/A</v>
      </c>
    </row>
    <row r="779" spans="1:4" x14ac:dyDescent="0.25">
      <c r="A779" s="19">
        <v>40902</v>
      </c>
      <c r="B779" s="19" t="e">
        <f>VLOOKUP($A779,Config!$B$6:$E$1862,2,FALSE)</f>
        <v>#N/A</v>
      </c>
      <c r="C779" s="19" t="e">
        <f>VLOOKUP($A779,Config!$B$6:$E$1862,3,FALSE)</f>
        <v>#N/A</v>
      </c>
      <c r="D779" s="19" t="e">
        <f>VLOOKUP($A779,Config!$B$6:$E$1862,4,FALSE)</f>
        <v>#N/A</v>
      </c>
    </row>
    <row r="780" spans="1:4" x14ac:dyDescent="0.25">
      <c r="A780" s="19">
        <v>40903</v>
      </c>
      <c r="B780" s="19" t="e">
        <f>VLOOKUP($A780,Config!$B$6:$E$1862,2,FALSE)</f>
        <v>#N/A</v>
      </c>
      <c r="C780" s="19" t="e">
        <f>VLOOKUP($A780,Config!$B$6:$E$1862,3,FALSE)</f>
        <v>#N/A</v>
      </c>
      <c r="D780" s="19" t="e">
        <f>VLOOKUP($A780,Config!$B$6:$E$1862,4,FALSE)</f>
        <v>#N/A</v>
      </c>
    </row>
    <row r="781" spans="1:4" x14ac:dyDescent="0.25">
      <c r="A781" s="19">
        <v>40904</v>
      </c>
      <c r="B781" s="19" t="e">
        <f>VLOOKUP($A781,Config!$B$6:$E$1862,2,FALSE)</f>
        <v>#N/A</v>
      </c>
      <c r="C781" s="19" t="e">
        <f>VLOOKUP($A781,Config!$B$6:$E$1862,3,FALSE)</f>
        <v>#N/A</v>
      </c>
      <c r="D781" s="19" t="e">
        <f>VLOOKUP($A781,Config!$B$6:$E$1862,4,FALSE)</f>
        <v>#N/A</v>
      </c>
    </row>
    <row r="782" spans="1:4" x14ac:dyDescent="0.25">
      <c r="A782" s="19">
        <v>40905</v>
      </c>
      <c r="B782" s="19" t="e">
        <f>VLOOKUP($A782,Config!$B$6:$E$1862,2,FALSE)</f>
        <v>#N/A</v>
      </c>
      <c r="C782" s="19" t="e">
        <f>VLOOKUP($A782,Config!$B$6:$E$1862,3,FALSE)</f>
        <v>#N/A</v>
      </c>
      <c r="D782" s="19" t="e">
        <f>VLOOKUP($A782,Config!$B$6:$E$1862,4,FALSE)</f>
        <v>#N/A</v>
      </c>
    </row>
    <row r="783" spans="1:4" x14ac:dyDescent="0.25">
      <c r="A783" s="19">
        <v>40906</v>
      </c>
      <c r="B783" s="19" t="e">
        <f>VLOOKUP($A783,Config!$B$6:$E$1862,2,FALSE)</f>
        <v>#N/A</v>
      </c>
      <c r="C783" s="19" t="e">
        <f>VLOOKUP($A783,Config!$B$6:$E$1862,3,FALSE)</f>
        <v>#N/A</v>
      </c>
      <c r="D783" s="19" t="e">
        <f>VLOOKUP($A783,Config!$B$6:$E$1862,4,FALSE)</f>
        <v>#N/A</v>
      </c>
    </row>
    <row r="784" spans="1:4" x14ac:dyDescent="0.25">
      <c r="A784" s="19">
        <v>40907</v>
      </c>
      <c r="B784" s="19" t="e">
        <f>VLOOKUP($A784,Config!$B$6:$E$1862,2,FALSE)</f>
        <v>#N/A</v>
      </c>
      <c r="C784" s="19" t="e">
        <f>VLOOKUP($A784,Config!$B$6:$E$1862,3,FALSE)</f>
        <v>#N/A</v>
      </c>
      <c r="D784" s="19" t="e">
        <f>VLOOKUP($A784,Config!$B$6:$E$1862,4,FALSE)</f>
        <v>#N/A</v>
      </c>
    </row>
    <row r="785" spans="1:4" x14ac:dyDescent="0.25">
      <c r="A785" s="19">
        <v>40908</v>
      </c>
      <c r="B785" s="19" t="e">
        <f>VLOOKUP($A785,Config!$B$6:$E$1862,2,FALSE)</f>
        <v>#N/A</v>
      </c>
      <c r="C785" s="19" t="e">
        <f>VLOOKUP($A785,Config!$B$6:$E$1862,3,FALSE)</f>
        <v>#N/A</v>
      </c>
      <c r="D785" s="19" t="e">
        <f>VLOOKUP($A785,Config!$B$6:$E$1862,4,FALSE)</f>
        <v>#N/A</v>
      </c>
    </row>
    <row r="786" spans="1:4" x14ac:dyDescent="0.25">
      <c r="A786" s="19">
        <v>40909</v>
      </c>
      <c r="B786" s="19" t="e">
        <f>VLOOKUP($A786,Config!$B$6:$E$1862,2,FALSE)</f>
        <v>#N/A</v>
      </c>
      <c r="C786" s="19" t="e">
        <f>VLOOKUP($A786,Config!$B$6:$E$1862,3,FALSE)</f>
        <v>#N/A</v>
      </c>
      <c r="D786" s="19" t="e">
        <f>VLOOKUP($A786,Config!$B$6:$E$1862,4,FALSE)</f>
        <v>#N/A</v>
      </c>
    </row>
    <row r="787" spans="1:4" x14ac:dyDescent="0.25">
      <c r="A787" s="19">
        <v>40910</v>
      </c>
      <c r="B787" s="19" t="e">
        <f>VLOOKUP($A787,Config!$B$6:$E$1862,2,FALSE)</f>
        <v>#N/A</v>
      </c>
      <c r="C787" s="19" t="e">
        <f>VLOOKUP($A787,Config!$B$6:$E$1862,3,FALSE)</f>
        <v>#N/A</v>
      </c>
      <c r="D787" s="19" t="e">
        <f>VLOOKUP($A787,Config!$B$6:$E$1862,4,FALSE)</f>
        <v>#N/A</v>
      </c>
    </row>
    <row r="788" spans="1:4" x14ac:dyDescent="0.25">
      <c r="A788" s="19">
        <v>40911</v>
      </c>
      <c r="B788" s="19" t="e">
        <f>VLOOKUP($A788,Config!$B$6:$E$1862,2,FALSE)</f>
        <v>#N/A</v>
      </c>
      <c r="C788" s="19" t="e">
        <f>VLOOKUP($A788,Config!$B$6:$E$1862,3,FALSE)</f>
        <v>#N/A</v>
      </c>
      <c r="D788" s="19" t="e">
        <f>VLOOKUP($A788,Config!$B$6:$E$1862,4,FALSE)</f>
        <v>#N/A</v>
      </c>
    </row>
    <row r="789" spans="1:4" x14ac:dyDescent="0.25">
      <c r="A789" s="19">
        <v>40912</v>
      </c>
      <c r="B789" s="19" t="e">
        <f>VLOOKUP($A789,Config!$B$6:$E$1862,2,FALSE)</f>
        <v>#N/A</v>
      </c>
      <c r="C789" s="19" t="e">
        <f>VLOOKUP($A789,Config!$B$6:$E$1862,3,FALSE)</f>
        <v>#N/A</v>
      </c>
      <c r="D789" s="19" t="e">
        <f>VLOOKUP($A789,Config!$B$6:$E$1862,4,FALSE)</f>
        <v>#N/A</v>
      </c>
    </row>
    <row r="790" spans="1:4" x14ac:dyDescent="0.25">
      <c r="A790" s="19">
        <v>40913</v>
      </c>
      <c r="B790" s="19" t="e">
        <f>VLOOKUP($A790,Config!$B$6:$E$1862,2,FALSE)</f>
        <v>#N/A</v>
      </c>
      <c r="C790" s="19" t="e">
        <f>VLOOKUP($A790,Config!$B$6:$E$1862,3,FALSE)</f>
        <v>#N/A</v>
      </c>
      <c r="D790" s="19" t="e">
        <f>VLOOKUP($A790,Config!$B$6:$E$1862,4,FALSE)</f>
        <v>#N/A</v>
      </c>
    </row>
    <row r="791" spans="1:4" x14ac:dyDescent="0.25">
      <c r="A791" s="19">
        <v>40914</v>
      </c>
      <c r="B791" s="19" t="e">
        <f>VLOOKUP($A791,Config!$B$6:$E$1862,2,FALSE)</f>
        <v>#N/A</v>
      </c>
      <c r="C791" s="19" t="e">
        <f>VLOOKUP($A791,Config!$B$6:$E$1862,3,FALSE)</f>
        <v>#N/A</v>
      </c>
      <c r="D791" s="19" t="e">
        <f>VLOOKUP($A791,Config!$B$6:$E$1862,4,FALSE)</f>
        <v>#N/A</v>
      </c>
    </row>
    <row r="792" spans="1:4" x14ac:dyDescent="0.25">
      <c r="A792" s="19">
        <v>40915</v>
      </c>
      <c r="B792" s="19" t="e">
        <f>VLOOKUP($A792,Config!$B$6:$E$1862,2,FALSE)</f>
        <v>#N/A</v>
      </c>
      <c r="C792" s="19" t="e">
        <f>VLOOKUP($A792,Config!$B$6:$E$1862,3,FALSE)</f>
        <v>#N/A</v>
      </c>
      <c r="D792" s="19" t="e">
        <f>VLOOKUP($A792,Config!$B$6:$E$1862,4,FALSE)</f>
        <v>#N/A</v>
      </c>
    </row>
    <row r="793" spans="1:4" x14ac:dyDescent="0.25">
      <c r="A793" s="19">
        <v>40916</v>
      </c>
      <c r="B793" s="19" t="e">
        <f>VLOOKUP($A793,Config!$B$6:$E$1862,2,FALSE)</f>
        <v>#N/A</v>
      </c>
      <c r="C793" s="19" t="e">
        <f>VLOOKUP($A793,Config!$B$6:$E$1862,3,FALSE)</f>
        <v>#N/A</v>
      </c>
      <c r="D793" s="19" t="e">
        <f>VLOOKUP($A793,Config!$B$6:$E$1862,4,FALSE)</f>
        <v>#N/A</v>
      </c>
    </row>
    <row r="794" spans="1:4" x14ac:dyDescent="0.25">
      <c r="A794" s="19">
        <v>40918</v>
      </c>
      <c r="B794" s="19" t="e">
        <f>VLOOKUP($A794,Config!$B$6:$E$1862,2,FALSE)</f>
        <v>#N/A</v>
      </c>
      <c r="C794" s="19" t="e">
        <f>VLOOKUP($A794,Config!$B$6:$E$1862,3,FALSE)</f>
        <v>#N/A</v>
      </c>
      <c r="D794" s="19" t="e">
        <f>VLOOKUP($A794,Config!$B$6:$E$1862,4,FALSE)</f>
        <v>#N/A</v>
      </c>
    </row>
    <row r="795" spans="1:4" x14ac:dyDescent="0.25">
      <c r="A795" s="19">
        <v>40919</v>
      </c>
      <c r="B795" s="19" t="e">
        <f>VLOOKUP($A795,Config!$B$6:$E$1862,2,FALSE)</f>
        <v>#N/A</v>
      </c>
      <c r="C795" s="19" t="e">
        <f>VLOOKUP($A795,Config!$B$6:$E$1862,3,FALSE)</f>
        <v>#N/A</v>
      </c>
      <c r="D795" s="19" t="e">
        <f>VLOOKUP($A795,Config!$B$6:$E$1862,4,FALSE)</f>
        <v>#N/A</v>
      </c>
    </row>
    <row r="796" spans="1:4" x14ac:dyDescent="0.25">
      <c r="A796" s="19">
        <v>40920</v>
      </c>
      <c r="B796" s="19" t="e">
        <f>VLOOKUP($A796,Config!$B$6:$E$1862,2,FALSE)</f>
        <v>#N/A</v>
      </c>
      <c r="C796" s="19" t="e">
        <f>VLOOKUP($A796,Config!$B$6:$E$1862,3,FALSE)</f>
        <v>#N/A</v>
      </c>
      <c r="D796" s="19" t="e">
        <f>VLOOKUP($A796,Config!$B$6:$E$1862,4,FALSE)</f>
        <v>#N/A</v>
      </c>
    </row>
    <row r="797" spans="1:4" x14ac:dyDescent="0.25">
      <c r="A797" s="19">
        <v>40921</v>
      </c>
      <c r="B797" s="19" t="e">
        <f>VLOOKUP($A797,Config!$B$6:$E$1862,2,FALSE)</f>
        <v>#N/A</v>
      </c>
      <c r="C797" s="19" t="e">
        <f>VLOOKUP($A797,Config!$B$6:$E$1862,3,FALSE)</f>
        <v>#N/A</v>
      </c>
      <c r="D797" s="19" t="e">
        <f>VLOOKUP($A797,Config!$B$6:$E$1862,4,FALSE)</f>
        <v>#N/A</v>
      </c>
    </row>
    <row r="798" spans="1:4" x14ac:dyDescent="0.25">
      <c r="A798" s="19">
        <v>40922</v>
      </c>
      <c r="B798" s="19" t="e">
        <f>VLOOKUP($A798,Config!$B$6:$E$1862,2,FALSE)</f>
        <v>#N/A</v>
      </c>
      <c r="C798" s="19" t="e">
        <f>VLOOKUP($A798,Config!$B$6:$E$1862,3,FALSE)</f>
        <v>#N/A</v>
      </c>
      <c r="D798" s="19" t="e">
        <f>VLOOKUP($A798,Config!$B$6:$E$1862,4,FALSE)</f>
        <v>#N/A</v>
      </c>
    </row>
    <row r="799" spans="1:4" x14ac:dyDescent="0.25">
      <c r="A799" s="19">
        <v>40923</v>
      </c>
      <c r="B799" s="19" t="e">
        <f>VLOOKUP($A799,Config!$B$6:$E$1862,2,FALSE)</f>
        <v>#N/A</v>
      </c>
      <c r="C799" s="19" t="e">
        <f>VLOOKUP($A799,Config!$B$6:$E$1862,3,FALSE)</f>
        <v>#N/A</v>
      </c>
      <c r="D799" s="19" t="e">
        <f>VLOOKUP($A799,Config!$B$6:$E$1862,4,FALSE)</f>
        <v>#N/A</v>
      </c>
    </row>
    <row r="800" spans="1:4" x14ac:dyDescent="0.25">
      <c r="A800" s="19">
        <v>40924</v>
      </c>
      <c r="B800" s="19" t="e">
        <f>VLOOKUP($A800,Config!$B$6:$E$1862,2,FALSE)</f>
        <v>#N/A</v>
      </c>
      <c r="C800" s="19" t="e">
        <f>VLOOKUP($A800,Config!$B$6:$E$1862,3,FALSE)</f>
        <v>#N/A</v>
      </c>
      <c r="D800" s="19" t="e">
        <f>VLOOKUP($A800,Config!$B$6:$E$1862,4,FALSE)</f>
        <v>#N/A</v>
      </c>
    </row>
    <row r="801" spans="1:4" x14ac:dyDescent="0.25">
      <c r="A801" s="19">
        <v>40928</v>
      </c>
      <c r="B801" s="19" t="e">
        <f>VLOOKUP($A801,Config!$B$6:$E$1862,2,FALSE)</f>
        <v>#N/A</v>
      </c>
      <c r="C801" s="19" t="e">
        <f>VLOOKUP($A801,Config!$B$6:$E$1862,3,FALSE)</f>
        <v>#N/A</v>
      </c>
      <c r="D801" s="19" t="e">
        <f>VLOOKUP($A801,Config!$B$6:$E$1862,4,FALSE)</f>
        <v>#N/A</v>
      </c>
    </row>
    <row r="802" spans="1:4" x14ac:dyDescent="0.25">
      <c r="A802" s="19">
        <v>40929</v>
      </c>
      <c r="B802" s="19" t="e">
        <f>VLOOKUP($A802,Config!$B$6:$E$1862,2,FALSE)</f>
        <v>#N/A</v>
      </c>
      <c r="C802" s="19" t="e">
        <f>VLOOKUP($A802,Config!$B$6:$E$1862,3,FALSE)</f>
        <v>#N/A</v>
      </c>
      <c r="D802" s="19" t="e">
        <f>VLOOKUP($A802,Config!$B$6:$E$1862,4,FALSE)</f>
        <v>#N/A</v>
      </c>
    </row>
    <row r="803" spans="1:4" x14ac:dyDescent="0.25">
      <c r="A803" s="19">
        <v>40930</v>
      </c>
      <c r="B803" s="19" t="e">
        <f>VLOOKUP($A803,Config!$B$6:$E$1862,2,FALSE)</f>
        <v>#N/A</v>
      </c>
      <c r="C803" s="19" t="e">
        <f>VLOOKUP($A803,Config!$B$6:$E$1862,3,FALSE)</f>
        <v>#N/A</v>
      </c>
      <c r="D803" s="19" t="e">
        <f>VLOOKUP($A803,Config!$B$6:$E$1862,4,FALSE)</f>
        <v>#N/A</v>
      </c>
    </row>
    <row r="804" spans="1:4" x14ac:dyDescent="0.25">
      <c r="A804" s="19">
        <v>40931</v>
      </c>
      <c r="B804" s="19" t="e">
        <f>VLOOKUP($A804,Config!$B$6:$E$1862,2,FALSE)</f>
        <v>#N/A</v>
      </c>
      <c r="C804" s="19" t="e">
        <f>VLOOKUP($A804,Config!$B$6:$E$1862,3,FALSE)</f>
        <v>#N/A</v>
      </c>
      <c r="D804" s="19" t="e">
        <f>VLOOKUP($A804,Config!$B$6:$E$1862,4,FALSE)</f>
        <v>#N/A</v>
      </c>
    </row>
    <row r="805" spans="1:4" x14ac:dyDescent="0.25">
      <c r="A805" s="19">
        <v>40932</v>
      </c>
      <c r="B805" s="19" t="e">
        <f>VLOOKUP($A805,Config!$B$6:$E$1862,2,FALSE)</f>
        <v>#N/A</v>
      </c>
      <c r="C805" s="19" t="e">
        <f>VLOOKUP($A805,Config!$B$6:$E$1862,3,FALSE)</f>
        <v>#N/A</v>
      </c>
      <c r="D805" s="19" t="e">
        <f>VLOOKUP($A805,Config!$B$6:$E$1862,4,FALSE)</f>
        <v>#N/A</v>
      </c>
    </row>
    <row r="806" spans="1:4" x14ac:dyDescent="0.25">
      <c r="A806" s="19">
        <v>40933</v>
      </c>
      <c r="B806" s="19" t="e">
        <f>VLOOKUP($A806,Config!$B$6:$E$1862,2,FALSE)</f>
        <v>#N/A</v>
      </c>
      <c r="C806" s="19" t="e">
        <f>VLOOKUP($A806,Config!$B$6:$E$1862,3,FALSE)</f>
        <v>#N/A</v>
      </c>
      <c r="D806" s="19" t="e">
        <f>VLOOKUP($A806,Config!$B$6:$E$1862,4,FALSE)</f>
        <v>#N/A</v>
      </c>
    </row>
    <row r="807" spans="1:4" x14ac:dyDescent="0.25">
      <c r="A807" s="19">
        <v>40934</v>
      </c>
      <c r="B807" s="19" t="e">
        <f>VLOOKUP($A807,Config!$B$6:$E$1862,2,FALSE)</f>
        <v>#N/A</v>
      </c>
      <c r="C807" s="19" t="e">
        <f>VLOOKUP($A807,Config!$B$6:$E$1862,3,FALSE)</f>
        <v>#N/A</v>
      </c>
      <c r="D807" s="19" t="e">
        <f>VLOOKUP($A807,Config!$B$6:$E$1862,4,FALSE)</f>
        <v>#N/A</v>
      </c>
    </row>
    <row r="808" spans="1:4" x14ac:dyDescent="0.25">
      <c r="A808" s="19">
        <v>40935</v>
      </c>
      <c r="B808" s="19" t="e">
        <f>VLOOKUP($A808,Config!$B$6:$E$1862,2,FALSE)</f>
        <v>#N/A</v>
      </c>
      <c r="C808" s="19" t="e">
        <f>VLOOKUP($A808,Config!$B$6:$E$1862,3,FALSE)</f>
        <v>#N/A</v>
      </c>
      <c r="D808" s="19" t="e">
        <f>VLOOKUP($A808,Config!$B$6:$E$1862,4,FALSE)</f>
        <v>#N/A</v>
      </c>
    </row>
    <row r="809" spans="1:4" x14ac:dyDescent="0.25">
      <c r="A809" s="19">
        <v>40936</v>
      </c>
      <c r="B809" s="19" t="e">
        <f>VLOOKUP($A809,Config!$B$6:$E$1862,2,FALSE)</f>
        <v>#N/A</v>
      </c>
      <c r="C809" s="19" t="e">
        <f>VLOOKUP($A809,Config!$B$6:$E$1862,3,FALSE)</f>
        <v>#N/A</v>
      </c>
      <c r="D809" s="19" t="e">
        <f>VLOOKUP($A809,Config!$B$6:$E$1862,4,FALSE)</f>
        <v>#N/A</v>
      </c>
    </row>
    <row r="810" spans="1:4" x14ac:dyDescent="0.25">
      <c r="A810" s="19">
        <v>40937</v>
      </c>
      <c r="B810" s="19" t="e">
        <f>VLOOKUP($A810,Config!$B$6:$E$1862,2,FALSE)</f>
        <v>#N/A</v>
      </c>
      <c r="C810" s="19" t="e">
        <f>VLOOKUP($A810,Config!$B$6:$E$1862,3,FALSE)</f>
        <v>#N/A</v>
      </c>
      <c r="D810" s="19" t="e">
        <f>VLOOKUP($A810,Config!$B$6:$E$1862,4,FALSE)</f>
        <v>#N/A</v>
      </c>
    </row>
    <row r="811" spans="1:4" x14ac:dyDescent="0.25">
      <c r="A811" s="19">
        <v>40938</v>
      </c>
      <c r="B811" s="19" t="e">
        <f>VLOOKUP($A811,Config!$B$6:$E$1862,2,FALSE)</f>
        <v>#N/A</v>
      </c>
      <c r="C811" s="19" t="e">
        <f>VLOOKUP($A811,Config!$B$6:$E$1862,3,FALSE)</f>
        <v>#N/A</v>
      </c>
      <c r="D811" s="19" t="e">
        <f>VLOOKUP($A811,Config!$B$6:$E$1862,4,FALSE)</f>
        <v>#N/A</v>
      </c>
    </row>
    <row r="812" spans="1:4" x14ac:dyDescent="0.25">
      <c r="A812" s="19">
        <v>40939</v>
      </c>
      <c r="B812" s="19" t="e">
        <f>VLOOKUP($A812,Config!$B$6:$E$1862,2,FALSE)</f>
        <v>#N/A</v>
      </c>
      <c r="C812" s="19" t="e">
        <f>VLOOKUP($A812,Config!$B$6:$E$1862,3,FALSE)</f>
        <v>#N/A</v>
      </c>
      <c r="D812" s="19" t="e">
        <f>VLOOKUP($A812,Config!$B$6:$E$1862,4,FALSE)</f>
        <v>#N/A</v>
      </c>
    </row>
    <row r="813" spans="1:4" x14ac:dyDescent="0.25">
      <c r="A813" s="19">
        <v>40940</v>
      </c>
      <c r="B813" s="19" t="e">
        <f>VLOOKUP($A813,Config!$B$6:$E$1862,2,FALSE)</f>
        <v>#N/A</v>
      </c>
      <c r="C813" s="19" t="e">
        <f>VLOOKUP($A813,Config!$B$6:$E$1862,3,FALSE)</f>
        <v>#N/A</v>
      </c>
      <c r="D813" s="19" t="e">
        <f>VLOOKUP($A813,Config!$B$6:$E$1862,4,FALSE)</f>
        <v>#N/A</v>
      </c>
    </row>
    <row r="814" spans="1:4" x14ac:dyDescent="0.25">
      <c r="A814" s="19">
        <v>40941</v>
      </c>
      <c r="B814" s="19" t="e">
        <f>VLOOKUP($A814,Config!$B$6:$E$1862,2,FALSE)</f>
        <v>#N/A</v>
      </c>
      <c r="C814" s="19" t="e">
        <f>VLOOKUP($A814,Config!$B$6:$E$1862,3,FALSE)</f>
        <v>#N/A</v>
      </c>
      <c r="D814" s="19" t="e">
        <f>VLOOKUP($A814,Config!$B$6:$E$1862,4,FALSE)</f>
        <v>#N/A</v>
      </c>
    </row>
    <row r="815" spans="1:4" x14ac:dyDescent="0.25">
      <c r="A815" s="19">
        <v>40942</v>
      </c>
      <c r="B815" s="19" t="e">
        <f>VLOOKUP($A815,Config!$B$6:$E$1862,2,FALSE)</f>
        <v>#N/A</v>
      </c>
      <c r="C815" s="19" t="e">
        <f>VLOOKUP($A815,Config!$B$6:$E$1862,3,FALSE)</f>
        <v>#N/A</v>
      </c>
      <c r="D815" s="19" t="e">
        <f>VLOOKUP($A815,Config!$B$6:$E$1862,4,FALSE)</f>
        <v>#N/A</v>
      </c>
    </row>
    <row r="816" spans="1:4" x14ac:dyDescent="0.25">
      <c r="A816" s="19">
        <v>40943</v>
      </c>
      <c r="B816" s="19" t="e">
        <f>VLOOKUP($A816,Config!$B$6:$E$1862,2,FALSE)</f>
        <v>#N/A</v>
      </c>
      <c r="C816" s="19" t="e">
        <f>VLOOKUP($A816,Config!$B$6:$E$1862,3,FALSE)</f>
        <v>#N/A</v>
      </c>
      <c r="D816" s="19" t="e">
        <f>VLOOKUP($A816,Config!$B$6:$E$1862,4,FALSE)</f>
        <v>#N/A</v>
      </c>
    </row>
    <row r="817" spans="1:4" x14ac:dyDescent="0.25">
      <c r="A817" s="19">
        <v>40944</v>
      </c>
      <c r="B817" s="19" t="e">
        <f>VLOOKUP($A817,Config!$B$6:$E$1862,2,FALSE)</f>
        <v>#N/A</v>
      </c>
      <c r="C817" s="19" t="e">
        <f>VLOOKUP($A817,Config!$B$6:$E$1862,3,FALSE)</f>
        <v>#N/A</v>
      </c>
      <c r="D817" s="19" t="e">
        <f>VLOOKUP($A817,Config!$B$6:$E$1862,4,FALSE)</f>
        <v>#N/A</v>
      </c>
    </row>
    <row r="818" spans="1:4" x14ac:dyDescent="0.25">
      <c r="A818" s="19">
        <v>40945</v>
      </c>
      <c r="B818" s="19" t="e">
        <f>VLOOKUP($A818,Config!$B$6:$E$1862,2,FALSE)</f>
        <v>#N/A</v>
      </c>
      <c r="C818" s="19" t="e">
        <f>VLOOKUP($A818,Config!$B$6:$E$1862,3,FALSE)</f>
        <v>#N/A</v>
      </c>
      <c r="D818" s="19" t="e">
        <f>VLOOKUP($A818,Config!$B$6:$E$1862,4,FALSE)</f>
        <v>#N/A</v>
      </c>
    </row>
    <row r="819" spans="1:4" x14ac:dyDescent="0.25">
      <c r="A819" s="19">
        <v>40946</v>
      </c>
      <c r="B819" s="19" t="e">
        <f>VLOOKUP($A819,Config!$B$6:$E$1862,2,FALSE)</f>
        <v>#N/A</v>
      </c>
      <c r="C819" s="19" t="e">
        <f>VLOOKUP($A819,Config!$B$6:$E$1862,3,FALSE)</f>
        <v>#N/A</v>
      </c>
      <c r="D819" s="19" t="e">
        <f>VLOOKUP($A819,Config!$B$6:$E$1862,4,FALSE)</f>
        <v>#N/A</v>
      </c>
    </row>
    <row r="820" spans="1:4" x14ac:dyDescent="0.25">
      <c r="A820" s="19">
        <v>40947</v>
      </c>
      <c r="B820" s="19" t="e">
        <f>VLOOKUP($A820,Config!$B$6:$E$1862,2,FALSE)</f>
        <v>#N/A</v>
      </c>
      <c r="C820" s="19" t="e">
        <f>VLOOKUP($A820,Config!$B$6:$E$1862,3,FALSE)</f>
        <v>#N/A</v>
      </c>
      <c r="D820" s="19" t="e">
        <f>VLOOKUP($A820,Config!$B$6:$E$1862,4,FALSE)</f>
        <v>#N/A</v>
      </c>
    </row>
    <row r="821" spans="1:4" x14ac:dyDescent="0.25">
      <c r="A821" s="19">
        <v>40948</v>
      </c>
      <c r="B821" s="19" t="e">
        <f>VLOOKUP($A821,Config!$B$6:$E$1862,2,FALSE)</f>
        <v>#N/A</v>
      </c>
      <c r="C821" s="19" t="e">
        <f>VLOOKUP($A821,Config!$B$6:$E$1862,3,FALSE)</f>
        <v>#N/A</v>
      </c>
      <c r="D821" s="19" t="e">
        <f>VLOOKUP($A821,Config!$B$6:$E$1862,4,FALSE)</f>
        <v>#N/A</v>
      </c>
    </row>
    <row r="822" spans="1:4" x14ac:dyDescent="0.25">
      <c r="A822" s="19">
        <v>40949</v>
      </c>
      <c r="B822" s="19" t="e">
        <f>VLOOKUP($A822,Config!$B$6:$E$1862,2,FALSE)</f>
        <v>#N/A</v>
      </c>
      <c r="C822" s="19" t="e">
        <f>VLOOKUP($A822,Config!$B$6:$E$1862,3,FALSE)</f>
        <v>#N/A</v>
      </c>
      <c r="D822" s="19" t="e">
        <f>VLOOKUP($A822,Config!$B$6:$E$1862,4,FALSE)</f>
        <v>#N/A</v>
      </c>
    </row>
    <row r="823" spans="1:4" x14ac:dyDescent="0.25">
      <c r="A823" s="19">
        <v>40950</v>
      </c>
      <c r="B823" s="19" t="e">
        <f>VLOOKUP($A823,Config!$B$6:$E$1862,2,FALSE)</f>
        <v>#N/A</v>
      </c>
      <c r="C823" s="19" t="e">
        <f>VLOOKUP($A823,Config!$B$6:$E$1862,3,FALSE)</f>
        <v>#N/A</v>
      </c>
      <c r="D823" s="19" t="e">
        <f>VLOOKUP($A823,Config!$B$6:$E$1862,4,FALSE)</f>
        <v>#N/A</v>
      </c>
    </row>
    <row r="824" spans="1:4" x14ac:dyDescent="0.25">
      <c r="A824" s="19">
        <v>40951</v>
      </c>
      <c r="B824" s="19" t="e">
        <f>VLOOKUP($A824,Config!$B$6:$E$1862,2,FALSE)</f>
        <v>#N/A</v>
      </c>
      <c r="C824" s="19" t="e">
        <f>VLOOKUP($A824,Config!$B$6:$E$1862,3,FALSE)</f>
        <v>#N/A</v>
      </c>
      <c r="D824" s="19" t="e">
        <f>VLOOKUP($A824,Config!$B$6:$E$1862,4,FALSE)</f>
        <v>#N/A</v>
      </c>
    </row>
    <row r="825" spans="1:4" x14ac:dyDescent="0.25">
      <c r="A825" s="19">
        <v>40952</v>
      </c>
      <c r="B825" s="19" t="e">
        <f>VLOOKUP($A825,Config!$B$6:$E$1862,2,FALSE)</f>
        <v>#N/A</v>
      </c>
      <c r="C825" s="19" t="e">
        <f>VLOOKUP($A825,Config!$B$6:$E$1862,3,FALSE)</f>
        <v>#N/A</v>
      </c>
      <c r="D825" s="19" t="e">
        <f>VLOOKUP($A825,Config!$B$6:$E$1862,4,FALSE)</f>
        <v>#N/A</v>
      </c>
    </row>
    <row r="826" spans="1:4" x14ac:dyDescent="0.25">
      <c r="A826" s="19">
        <v>40953</v>
      </c>
      <c r="B826" s="19" t="e">
        <f>VLOOKUP($A826,Config!$B$6:$E$1862,2,FALSE)</f>
        <v>#N/A</v>
      </c>
      <c r="C826" s="19" t="e">
        <f>VLOOKUP($A826,Config!$B$6:$E$1862,3,FALSE)</f>
        <v>#N/A</v>
      </c>
      <c r="D826" s="19" t="e">
        <f>VLOOKUP($A826,Config!$B$6:$E$1862,4,FALSE)</f>
        <v>#N/A</v>
      </c>
    </row>
    <row r="827" spans="1:4" x14ac:dyDescent="0.25">
      <c r="A827" s="19">
        <v>40954</v>
      </c>
      <c r="B827" s="19" t="e">
        <f>VLOOKUP($A827,Config!$B$6:$E$1862,2,FALSE)</f>
        <v>#N/A</v>
      </c>
      <c r="C827" s="19" t="e">
        <f>VLOOKUP($A827,Config!$B$6:$E$1862,3,FALSE)</f>
        <v>#N/A</v>
      </c>
      <c r="D827" s="19" t="e">
        <f>VLOOKUP($A827,Config!$B$6:$E$1862,4,FALSE)</f>
        <v>#N/A</v>
      </c>
    </row>
    <row r="828" spans="1:4" x14ac:dyDescent="0.25">
      <c r="A828" s="19">
        <v>40955</v>
      </c>
      <c r="B828" s="19" t="e">
        <f>VLOOKUP($A828,Config!$B$6:$E$1862,2,FALSE)</f>
        <v>#N/A</v>
      </c>
      <c r="C828" s="19" t="e">
        <f>VLOOKUP($A828,Config!$B$6:$E$1862,3,FALSE)</f>
        <v>#N/A</v>
      </c>
      <c r="D828" s="19" t="e">
        <f>VLOOKUP($A828,Config!$B$6:$E$1862,4,FALSE)</f>
        <v>#N/A</v>
      </c>
    </row>
    <row r="829" spans="1:4" x14ac:dyDescent="0.25">
      <c r="A829" s="19">
        <v>40956</v>
      </c>
      <c r="B829" s="19" t="e">
        <f>VLOOKUP($A829,Config!$B$6:$E$1862,2,FALSE)</f>
        <v>#N/A</v>
      </c>
      <c r="C829" s="19" t="e">
        <f>VLOOKUP($A829,Config!$B$6:$E$1862,3,FALSE)</f>
        <v>#N/A</v>
      </c>
      <c r="D829" s="19" t="e">
        <f>VLOOKUP($A829,Config!$B$6:$E$1862,4,FALSE)</f>
        <v>#N/A</v>
      </c>
    </row>
    <row r="830" spans="1:4" x14ac:dyDescent="0.25">
      <c r="A830" s="19">
        <v>40957</v>
      </c>
      <c r="B830" s="19" t="e">
        <f>VLOOKUP($A830,Config!$B$6:$E$1862,2,FALSE)</f>
        <v>#N/A</v>
      </c>
      <c r="C830" s="19" t="e">
        <f>VLOOKUP($A830,Config!$B$6:$E$1862,3,FALSE)</f>
        <v>#N/A</v>
      </c>
      <c r="D830" s="19" t="e">
        <f>VLOOKUP($A830,Config!$B$6:$E$1862,4,FALSE)</f>
        <v>#N/A</v>
      </c>
    </row>
    <row r="831" spans="1:4" x14ac:dyDescent="0.25">
      <c r="A831" s="19">
        <v>40958</v>
      </c>
      <c r="B831" s="19" t="e">
        <f>VLOOKUP($A831,Config!$B$6:$E$1862,2,FALSE)</f>
        <v>#N/A</v>
      </c>
      <c r="C831" s="19" t="e">
        <f>VLOOKUP($A831,Config!$B$6:$E$1862,3,FALSE)</f>
        <v>#N/A</v>
      </c>
      <c r="D831" s="19" t="e">
        <f>VLOOKUP($A831,Config!$B$6:$E$1862,4,FALSE)</f>
        <v>#N/A</v>
      </c>
    </row>
    <row r="832" spans="1:4" x14ac:dyDescent="0.25">
      <c r="A832" s="19">
        <v>40960</v>
      </c>
      <c r="B832" s="19" t="e">
        <f>VLOOKUP($A832,Config!$B$6:$E$1862,2,FALSE)</f>
        <v>#N/A</v>
      </c>
      <c r="C832" s="19" t="e">
        <f>VLOOKUP($A832,Config!$B$6:$E$1862,3,FALSE)</f>
        <v>#N/A</v>
      </c>
      <c r="D832" s="19" t="e">
        <f>VLOOKUP($A832,Config!$B$6:$E$1862,4,FALSE)</f>
        <v>#N/A</v>
      </c>
    </row>
    <row r="833" spans="1:4" x14ac:dyDescent="0.25">
      <c r="A833" s="19">
        <v>40961</v>
      </c>
      <c r="B833" s="19" t="e">
        <f>VLOOKUP($A833,Config!$B$6:$E$1862,2,FALSE)</f>
        <v>#N/A</v>
      </c>
      <c r="C833" s="19" t="e">
        <f>VLOOKUP($A833,Config!$B$6:$E$1862,3,FALSE)</f>
        <v>#N/A</v>
      </c>
      <c r="D833" s="19" t="e">
        <f>VLOOKUP($A833,Config!$B$6:$E$1862,4,FALSE)</f>
        <v>#N/A</v>
      </c>
    </row>
    <row r="834" spans="1:4" x14ac:dyDescent="0.25">
      <c r="A834" s="19">
        <v>40962</v>
      </c>
      <c r="B834" s="19" t="e">
        <f>VLOOKUP($A834,Config!$B$6:$E$1862,2,FALSE)</f>
        <v>#N/A</v>
      </c>
      <c r="C834" s="19" t="e">
        <f>VLOOKUP($A834,Config!$B$6:$E$1862,3,FALSE)</f>
        <v>#N/A</v>
      </c>
      <c r="D834" s="19" t="e">
        <f>VLOOKUP($A834,Config!$B$6:$E$1862,4,FALSE)</f>
        <v>#N/A</v>
      </c>
    </row>
    <row r="835" spans="1:4" x14ac:dyDescent="0.25">
      <c r="A835" s="19">
        <v>40963</v>
      </c>
      <c r="B835" s="19" t="e">
        <f>VLOOKUP($A835,Config!$B$6:$E$1862,2,FALSE)</f>
        <v>#N/A</v>
      </c>
      <c r="C835" s="19" t="e">
        <f>VLOOKUP($A835,Config!$B$6:$E$1862,3,FALSE)</f>
        <v>#N/A</v>
      </c>
      <c r="D835" s="19" t="e">
        <f>VLOOKUP($A835,Config!$B$6:$E$1862,4,FALSE)</f>
        <v>#N/A</v>
      </c>
    </row>
    <row r="836" spans="1:4" x14ac:dyDescent="0.25">
      <c r="A836" s="19">
        <v>40964</v>
      </c>
      <c r="B836" s="19" t="e">
        <f>VLOOKUP($A836,Config!$B$6:$E$1862,2,FALSE)</f>
        <v>#N/A</v>
      </c>
      <c r="C836" s="19" t="e">
        <f>VLOOKUP($A836,Config!$B$6:$E$1862,3,FALSE)</f>
        <v>#N/A</v>
      </c>
      <c r="D836" s="19" t="e">
        <f>VLOOKUP($A836,Config!$B$6:$E$1862,4,FALSE)</f>
        <v>#N/A</v>
      </c>
    </row>
    <row r="837" spans="1:4" x14ac:dyDescent="0.25">
      <c r="A837" s="19">
        <v>40965</v>
      </c>
      <c r="B837" s="19" t="e">
        <f>VLOOKUP($A837,Config!$B$6:$E$1862,2,FALSE)</f>
        <v>#N/A</v>
      </c>
      <c r="C837" s="19" t="e">
        <f>VLOOKUP($A837,Config!$B$6:$E$1862,3,FALSE)</f>
        <v>#N/A</v>
      </c>
      <c r="D837" s="19" t="e">
        <f>VLOOKUP($A837,Config!$B$6:$E$1862,4,FALSE)</f>
        <v>#N/A</v>
      </c>
    </row>
    <row r="838" spans="1:4" x14ac:dyDescent="0.25">
      <c r="A838" s="19">
        <v>40967</v>
      </c>
      <c r="B838" s="19" t="e">
        <f>VLOOKUP($A838,Config!$B$6:$E$1862,2,FALSE)</f>
        <v>#N/A</v>
      </c>
      <c r="C838" s="19" t="e">
        <f>VLOOKUP($A838,Config!$B$6:$E$1862,3,FALSE)</f>
        <v>#N/A</v>
      </c>
      <c r="D838" s="19" t="e">
        <f>VLOOKUP($A838,Config!$B$6:$E$1862,4,FALSE)</f>
        <v>#N/A</v>
      </c>
    </row>
    <row r="839" spans="1:4" x14ac:dyDescent="0.25">
      <c r="A839" s="19">
        <v>40968</v>
      </c>
      <c r="B839" s="19" t="e">
        <f>VLOOKUP($A839,Config!$B$6:$E$1862,2,FALSE)</f>
        <v>#N/A</v>
      </c>
      <c r="C839" s="19" t="e">
        <f>VLOOKUP($A839,Config!$B$6:$E$1862,3,FALSE)</f>
        <v>#N/A</v>
      </c>
      <c r="D839" s="19" t="e">
        <f>VLOOKUP($A839,Config!$B$6:$E$1862,4,FALSE)</f>
        <v>#N/A</v>
      </c>
    </row>
    <row r="840" spans="1:4" x14ac:dyDescent="0.25">
      <c r="A840" s="19">
        <v>40969</v>
      </c>
      <c r="B840" s="19" t="e">
        <f>VLOOKUP($A840,Config!$B$6:$E$1862,2,FALSE)</f>
        <v>#N/A</v>
      </c>
      <c r="C840" s="19" t="e">
        <f>VLOOKUP($A840,Config!$B$6:$E$1862,3,FALSE)</f>
        <v>#N/A</v>
      </c>
      <c r="D840" s="19" t="e">
        <f>VLOOKUP($A840,Config!$B$6:$E$1862,4,FALSE)</f>
        <v>#N/A</v>
      </c>
    </row>
    <row r="841" spans="1:4" x14ac:dyDescent="0.25">
      <c r="A841" s="19">
        <v>40970</v>
      </c>
      <c r="B841" s="19" t="e">
        <f>VLOOKUP($A841,Config!$B$6:$E$1862,2,FALSE)</f>
        <v>#N/A</v>
      </c>
      <c r="C841" s="19" t="e">
        <f>VLOOKUP($A841,Config!$B$6:$E$1862,3,FALSE)</f>
        <v>#N/A</v>
      </c>
      <c r="D841" s="19" t="e">
        <f>VLOOKUP($A841,Config!$B$6:$E$1862,4,FALSE)</f>
        <v>#N/A</v>
      </c>
    </row>
    <row r="842" spans="1:4" x14ac:dyDescent="0.25">
      <c r="A842" s="19">
        <v>40972</v>
      </c>
      <c r="B842" s="19" t="e">
        <f>VLOOKUP($A842,Config!$B$6:$E$1862,2,FALSE)</f>
        <v>#N/A</v>
      </c>
      <c r="C842" s="19" t="e">
        <f>VLOOKUP($A842,Config!$B$6:$E$1862,3,FALSE)</f>
        <v>#N/A</v>
      </c>
      <c r="D842" s="19" t="e">
        <f>VLOOKUP($A842,Config!$B$6:$E$1862,4,FALSE)</f>
        <v>#N/A</v>
      </c>
    </row>
    <row r="843" spans="1:4" x14ac:dyDescent="0.25">
      <c r="A843" s="19">
        <v>40973</v>
      </c>
      <c r="B843" s="19" t="e">
        <f>VLOOKUP($A843,Config!$B$6:$E$1862,2,FALSE)</f>
        <v>#N/A</v>
      </c>
      <c r="C843" s="19" t="e">
        <f>VLOOKUP($A843,Config!$B$6:$E$1862,3,FALSE)</f>
        <v>#N/A</v>
      </c>
      <c r="D843" s="19" t="e">
        <f>VLOOKUP($A843,Config!$B$6:$E$1862,4,FALSE)</f>
        <v>#N/A</v>
      </c>
    </row>
    <row r="844" spans="1:4" x14ac:dyDescent="0.25">
      <c r="A844" s="19">
        <v>40976</v>
      </c>
      <c r="B844" s="19" t="e">
        <f>VLOOKUP($A844,Config!$B$6:$E$1862,2,FALSE)</f>
        <v>#N/A</v>
      </c>
      <c r="C844" s="19" t="e">
        <f>VLOOKUP($A844,Config!$B$6:$E$1862,3,FALSE)</f>
        <v>#N/A</v>
      </c>
      <c r="D844" s="19" t="e">
        <f>VLOOKUP($A844,Config!$B$6:$E$1862,4,FALSE)</f>
        <v>#N/A</v>
      </c>
    </row>
    <row r="845" spans="1:4" x14ac:dyDescent="0.25">
      <c r="A845" s="19">
        <v>40977</v>
      </c>
      <c r="B845" s="19" t="e">
        <f>VLOOKUP($A845,Config!$B$6:$E$1862,2,FALSE)</f>
        <v>#N/A</v>
      </c>
      <c r="C845" s="19" t="e">
        <f>VLOOKUP($A845,Config!$B$6:$E$1862,3,FALSE)</f>
        <v>#N/A</v>
      </c>
      <c r="D845" s="19" t="e">
        <f>VLOOKUP($A845,Config!$B$6:$E$1862,4,FALSE)</f>
        <v>#N/A</v>
      </c>
    </row>
    <row r="846" spans="1:4" x14ac:dyDescent="0.25">
      <c r="A846" s="19">
        <v>40978</v>
      </c>
      <c r="B846" s="19" t="e">
        <f>VLOOKUP($A846,Config!$B$6:$E$1862,2,FALSE)</f>
        <v>#N/A</v>
      </c>
      <c r="C846" s="19" t="e">
        <f>VLOOKUP($A846,Config!$B$6:$E$1862,3,FALSE)</f>
        <v>#N/A</v>
      </c>
      <c r="D846" s="19" t="e">
        <f>VLOOKUP($A846,Config!$B$6:$E$1862,4,FALSE)</f>
        <v>#N/A</v>
      </c>
    </row>
    <row r="847" spans="1:4" x14ac:dyDescent="0.25">
      <c r="A847" s="19">
        <v>40979</v>
      </c>
      <c r="B847" s="19" t="e">
        <f>VLOOKUP($A847,Config!$B$6:$E$1862,2,FALSE)</f>
        <v>#N/A</v>
      </c>
      <c r="C847" s="19" t="e">
        <f>VLOOKUP($A847,Config!$B$6:$E$1862,3,FALSE)</f>
        <v>#N/A</v>
      </c>
      <c r="D847" s="19" t="e">
        <f>VLOOKUP($A847,Config!$B$6:$E$1862,4,FALSE)</f>
        <v>#N/A</v>
      </c>
    </row>
    <row r="848" spans="1:4" x14ac:dyDescent="0.25">
      <c r="A848" s="19">
        <v>40980</v>
      </c>
      <c r="B848" s="19" t="e">
        <f>VLOOKUP($A848,Config!$B$6:$E$1862,2,FALSE)</f>
        <v>#N/A</v>
      </c>
      <c r="C848" s="19" t="e">
        <f>VLOOKUP($A848,Config!$B$6:$E$1862,3,FALSE)</f>
        <v>#N/A</v>
      </c>
      <c r="D848" s="19" t="e">
        <f>VLOOKUP($A848,Config!$B$6:$E$1862,4,FALSE)</f>
        <v>#N/A</v>
      </c>
    </row>
    <row r="849" spans="1:4" x14ac:dyDescent="0.25">
      <c r="A849" s="19">
        <v>40981</v>
      </c>
      <c r="B849" s="19" t="e">
        <f>VLOOKUP($A849,Config!$B$6:$E$1862,2,FALSE)</f>
        <v>#N/A</v>
      </c>
      <c r="C849" s="19" t="e">
        <f>VLOOKUP($A849,Config!$B$6:$E$1862,3,FALSE)</f>
        <v>#N/A</v>
      </c>
      <c r="D849" s="19" t="e">
        <f>VLOOKUP($A849,Config!$B$6:$E$1862,4,FALSE)</f>
        <v>#N/A</v>
      </c>
    </row>
    <row r="850" spans="1:4" x14ac:dyDescent="0.25">
      <c r="A850" s="19">
        <v>40982</v>
      </c>
      <c r="B850" s="19" t="e">
        <f>VLOOKUP($A850,Config!$B$6:$E$1862,2,FALSE)</f>
        <v>#N/A</v>
      </c>
      <c r="C850" s="19" t="e">
        <f>VLOOKUP($A850,Config!$B$6:$E$1862,3,FALSE)</f>
        <v>#N/A</v>
      </c>
      <c r="D850" s="19" t="e">
        <f>VLOOKUP($A850,Config!$B$6:$E$1862,4,FALSE)</f>
        <v>#N/A</v>
      </c>
    </row>
    <row r="851" spans="1:4" x14ac:dyDescent="0.25">
      <c r="A851" s="19">
        <v>40985</v>
      </c>
      <c r="B851" s="19" t="e">
        <f>VLOOKUP($A851,Config!$B$6:$E$1862,2,FALSE)</f>
        <v>#N/A</v>
      </c>
      <c r="C851" s="19" t="e">
        <f>VLOOKUP($A851,Config!$B$6:$E$1862,3,FALSE)</f>
        <v>#N/A</v>
      </c>
      <c r="D851" s="19" t="e">
        <f>VLOOKUP($A851,Config!$B$6:$E$1862,4,FALSE)</f>
        <v>#N/A</v>
      </c>
    </row>
    <row r="852" spans="1:4" x14ac:dyDescent="0.25">
      <c r="A852" s="19">
        <v>40993</v>
      </c>
      <c r="B852" s="19">
        <f>VLOOKUP($A852,Config!$B$6:$E$1862,2,FALSE)</f>
        <v>0</v>
      </c>
      <c r="C852" s="19" t="str">
        <f>VLOOKUP($A852,Config!$B$6:$E$1862,3,FALSE)</f>
        <v>Missing</v>
      </c>
      <c r="D852" s="19" t="str">
        <f>VLOOKUP($A852,Config!$B$6:$E$1862,4,FALSE)</f>
        <v>Mary</v>
      </c>
    </row>
    <row r="853" spans="1:4" x14ac:dyDescent="0.25">
      <c r="A853" s="19">
        <v>41000</v>
      </c>
      <c r="B853" s="19" t="e">
        <f>VLOOKUP($A853,Config!$B$6:$E$1862,2,FALSE)</f>
        <v>#N/A</v>
      </c>
      <c r="C853" s="19" t="e">
        <f>VLOOKUP($A853,Config!$B$6:$E$1862,3,FALSE)</f>
        <v>#N/A</v>
      </c>
      <c r="D853" s="19" t="e">
        <f>VLOOKUP($A853,Config!$B$6:$E$1862,4,FALSE)</f>
        <v>#N/A</v>
      </c>
    </row>
    <row r="854" spans="1:4" x14ac:dyDescent="0.25">
      <c r="A854" s="19">
        <v>41001</v>
      </c>
      <c r="B854" s="19" t="e">
        <f>VLOOKUP($A854,Config!$B$6:$E$1862,2,FALSE)</f>
        <v>#N/A</v>
      </c>
      <c r="C854" s="19" t="e">
        <f>VLOOKUP($A854,Config!$B$6:$E$1862,3,FALSE)</f>
        <v>#N/A</v>
      </c>
      <c r="D854" s="19" t="e">
        <f>VLOOKUP($A854,Config!$B$6:$E$1862,4,FALSE)</f>
        <v>#N/A</v>
      </c>
    </row>
    <row r="855" spans="1:4" x14ac:dyDescent="0.25">
      <c r="A855" s="19">
        <v>41002</v>
      </c>
      <c r="B855" s="19" t="e">
        <f>VLOOKUP($A855,Config!$B$6:$E$1862,2,FALSE)</f>
        <v>#N/A</v>
      </c>
      <c r="C855" s="19" t="e">
        <f>VLOOKUP($A855,Config!$B$6:$E$1862,3,FALSE)</f>
        <v>#N/A</v>
      </c>
      <c r="D855" s="19" t="e">
        <f>VLOOKUP($A855,Config!$B$6:$E$1862,4,FALSE)</f>
        <v>#N/A</v>
      </c>
    </row>
    <row r="856" spans="1:4" x14ac:dyDescent="0.25">
      <c r="A856" s="19">
        <v>41003</v>
      </c>
      <c r="B856" s="19" t="e">
        <f>VLOOKUP($A856,Config!$B$6:$E$1862,2,FALSE)</f>
        <v>#N/A</v>
      </c>
      <c r="C856" s="19" t="e">
        <f>VLOOKUP($A856,Config!$B$6:$E$1862,3,FALSE)</f>
        <v>#N/A</v>
      </c>
      <c r="D856" s="19" t="e">
        <f>VLOOKUP($A856,Config!$B$6:$E$1862,4,FALSE)</f>
        <v>#N/A</v>
      </c>
    </row>
    <row r="857" spans="1:4" x14ac:dyDescent="0.25">
      <c r="A857" s="19">
        <v>41004</v>
      </c>
      <c r="B857" s="19" t="e">
        <f>VLOOKUP($A857,Config!$B$6:$E$1862,2,FALSE)</f>
        <v>#N/A</v>
      </c>
      <c r="C857" s="19" t="e">
        <f>VLOOKUP($A857,Config!$B$6:$E$1862,3,FALSE)</f>
        <v>#N/A</v>
      </c>
      <c r="D857" s="19" t="e">
        <f>VLOOKUP($A857,Config!$B$6:$E$1862,4,FALSE)</f>
        <v>#N/A</v>
      </c>
    </row>
    <row r="858" spans="1:4" x14ac:dyDescent="0.25">
      <c r="A858" s="19">
        <v>41005</v>
      </c>
      <c r="B858" s="19" t="e">
        <f>VLOOKUP($A858,Config!$B$6:$E$1862,2,FALSE)</f>
        <v>#N/A</v>
      </c>
      <c r="C858" s="19" t="e">
        <f>VLOOKUP($A858,Config!$B$6:$E$1862,3,FALSE)</f>
        <v>#N/A</v>
      </c>
      <c r="D858" s="19" t="e">
        <f>VLOOKUP($A858,Config!$B$6:$E$1862,4,FALSE)</f>
        <v>#N/A</v>
      </c>
    </row>
    <row r="859" spans="1:4" x14ac:dyDescent="0.25">
      <c r="A859" s="19">
        <v>41006</v>
      </c>
      <c r="B859" s="19" t="e">
        <f>VLOOKUP($A859,Config!$B$6:$E$1862,2,FALSE)</f>
        <v>#N/A</v>
      </c>
      <c r="C859" s="19" t="e">
        <f>VLOOKUP($A859,Config!$B$6:$E$1862,3,FALSE)</f>
        <v>#N/A</v>
      </c>
      <c r="D859" s="19" t="e">
        <f>VLOOKUP($A859,Config!$B$6:$E$1862,4,FALSE)</f>
        <v>#N/A</v>
      </c>
    </row>
    <row r="860" spans="1:4" x14ac:dyDescent="0.25">
      <c r="A860" s="19">
        <v>41007</v>
      </c>
      <c r="B860" s="19" t="e">
        <f>VLOOKUP($A860,Config!$B$6:$E$1862,2,FALSE)</f>
        <v>#N/A</v>
      </c>
      <c r="C860" s="19" t="e">
        <f>VLOOKUP($A860,Config!$B$6:$E$1862,3,FALSE)</f>
        <v>#N/A</v>
      </c>
      <c r="D860" s="19" t="e">
        <f>VLOOKUP($A860,Config!$B$6:$E$1862,4,FALSE)</f>
        <v>#N/A</v>
      </c>
    </row>
    <row r="861" spans="1:4" x14ac:dyDescent="0.25">
      <c r="A861" s="19">
        <v>41008</v>
      </c>
      <c r="B861" s="19" t="e">
        <f>VLOOKUP($A861,Config!$B$6:$E$1862,2,FALSE)</f>
        <v>#N/A</v>
      </c>
      <c r="C861" s="19" t="e">
        <f>VLOOKUP($A861,Config!$B$6:$E$1862,3,FALSE)</f>
        <v>#N/A</v>
      </c>
      <c r="D861" s="19" t="e">
        <f>VLOOKUP($A861,Config!$B$6:$E$1862,4,FALSE)</f>
        <v>#N/A</v>
      </c>
    </row>
    <row r="862" spans="1:4" x14ac:dyDescent="0.25">
      <c r="A862" s="19">
        <v>41009</v>
      </c>
      <c r="B862" s="19" t="e">
        <f>VLOOKUP($A862,Config!$B$6:$E$1862,2,FALSE)</f>
        <v>#N/A</v>
      </c>
      <c r="C862" s="19" t="e">
        <f>VLOOKUP($A862,Config!$B$6:$E$1862,3,FALSE)</f>
        <v>#N/A</v>
      </c>
      <c r="D862" s="19" t="e">
        <f>VLOOKUP($A862,Config!$B$6:$E$1862,4,FALSE)</f>
        <v>#N/A</v>
      </c>
    </row>
    <row r="863" spans="1:4" x14ac:dyDescent="0.25">
      <c r="A863" s="19">
        <v>41010</v>
      </c>
      <c r="B863" s="19" t="e">
        <f>VLOOKUP($A863,Config!$B$6:$E$1862,2,FALSE)</f>
        <v>#N/A</v>
      </c>
      <c r="C863" s="19" t="e">
        <f>VLOOKUP($A863,Config!$B$6:$E$1862,3,FALSE)</f>
        <v>#N/A</v>
      </c>
      <c r="D863" s="19" t="e">
        <f>VLOOKUP($A863,Config!$B$6:$E$1862,4,FALSE)</f>
        <v>#N/A</v>
      </c>
    </row>
    <row r="864" spans="1:4" x14ac:dyDescent="0.25">
      <c r="A864" s="19">
        <v>41011</v>
      </c>
      <c r="B864" s="19" t="e">
        <f>VLOOKUP($A864,Config!$B$6:$E$1862,2,FALSE)</f>
        <v>#N/A</v>
      </c>
      <c r="C864" s="19" t="e">
        <f>VLOOKUP($A864,Config!$B$6:$E$1862,3,FALSE)</f>
        <v>#N/A</v>
      </c>
      <c r="D864" s="19" t="e">
        <f>VLOOKUP($A864,Config!$B$6:$E$1862,4,FALSE)</f>
        <v>#N/A</v>
      </c>
    </row>
    <row r="865" spans="1:4" x14ac:dyDescent="0.25">
      <c r="A865" s="19">
        <v>41012</v>
      </c>
      <c r="B865" s="19" t="e">
        <f>VLOOKUP($A865,Config!$B$6:$E$1862,2,FALSE)</f>
        <v>#N/A</v>
      </c>
      <c r="C865" s="19" t="e">
        <f>VLOOKUP($A865,Config!$B$6:$E$1862,3,FALSE)</f>
        <v>#N/A</v>
      </c>
      <c r="D865" s="19" t="e">
        <f>VLOOKUP($A865,Config!$B$6:$E$1862,4,FALSE)</f>
        <v>#N/A</v>
      </c>
    </row>
    <row r="866" spans="1:4" x14ac:dyDescent="0.25">
      <c r="A866" s="19">
        <v>41013</v>
      </c>
      <c r="B866" s="19" t="e">
        <f>VLOOKUP($A866,Config!$B$6:$E$1862,2,FALSE)</f>
        <v>#N/A</v>
      </c>
      <c r="C866" s="19" t="e">
        <f>VLOOKUP($A866,Config!$B$6:$E$1862,3,FALSE)</f>
        <v>#N/A</v>
      </c>
      <c r="D866" s="19" t="e">
        <f>VLOOKUP($A866,Config!$B$6:$E$1862,4,FALSE)</f>
        <v>#N/A</v>
      </c>
    </row>
    <row r="867" spans="1:4" x14ac:dyDescent="0.25">
      <c r="A867" s="19">
        <v>41014</v>
      </c>
      <c r="B867" s="19" t="e">
        <f>VLOOKUP($A867,Config!$B$6:$E$1862,2,FALSE)</f>
        <v>#N/A</v>
      </c>
      <c r="C867" s="19" t="e">
        <f>VLOOKUP($A867,Config!$B$6:$E$1862,3,FALSE)</f>
        <v>#N/A</v>
      </c>
      <c r="D867" s="19" t="e">
        <f>VLOOKUP($A867,Config!$B$6:$E$1862,4,FALSE)</f>
        <v>#N/A</v>
      </c>
    </row>
    <row r="868" spans="1:4" x14ac:dyDescent="0.25">
      <c r="A868" s="19">
        <v>41015</v>
      </c>
      <c r="B868" s="19" t="e">
        <f>VLOOKUP($A868,Config!$B$6:$E$1862,2,FALSE)</f>
        <v>#N/A</v>
      </c>
      <c r="C868" s="19" t="e">
        <f>VLOOKUP($A868,Config!$B$6:$E$1862,3,FALSE)</f>
        <v>#N/A</v>
      </c>
      <c r="D868" s="19" t="e">
        <f>VLOOKUP($A868,Config!$B$6:$E$1862,4,FALSE)</f>
        <v>#N/A</v>
      </c>
    </row>
    <row r="869" spans="1:4" x14ac:dyDescent="0.25">
      <c r="A869" s="19">
        <v>41016</v>
      </c>
      <c r="B869" s="19" t="e">
        <f>VLOOKUP($A869,Config!$B$6:$E$1862,2,FALSE)</f>
        <v>#N/A</v>
      </c>
      <c r="C869" s="19" t="e">
        <f>VLOOKUP($A869,Config!$B$6:$E$1862,3,FALSE)</f>
        <v>#N/A</v>
      </c>
      <c r="D869" s="19" t="e">
        <f>VLOOKUP($A869,Config!$B$6:$E$1862,4,FALSE)</f>
        <v>#N/A</v>
      </c>
    </row>
    <row r="870" spans="1:4" x14ac:dyDescent="0.25">
      <c r="A870" s="19">
        <v>41017</v>
      </c>
      <c r="B870" s="19" t="e">
        <f>VLOOKUP($A870,Config!$B$6:$E$1862,2,FALSE)</f>
        <v>#N/A</v>
      </c>
      <c r="C870" s="19" t="e">
        <f>VLOOKUP($A870,Config!$B$6:$E$1862,3,FALSE)</f>
        <v>#N/A</v>
      </c>
      <c r="D870" s="19" t="e">
        <f>VLOOKUP($A870,Config!$B$6:$E$1862,4,FALSE)</f>
        <v>#N/A</v>
      </c>
    </row>
    <row r="871" spans="1:4" x14ac:dyDescent="0.25">
      <c r="A871" s="19">
        <v>41018</v>
      </c>
      <c r="B871" s="19" t="e">
        <f>VLOOKUP($A871,Config!$B$6:$E$1862,2,FALSE)</f>
        <v>#N/A</v>
      </c>
      <c r="C871" s="19" t="e">
        <f>VLOOKUP($A871,Config!$B$6:$E$1862,3,FALSE)</f>
        <v>#N/A</v>
      </c>
      <c r="D871" s="19" t="e">
        <f>VLOOKUP($A871,Config!$B$6:$E$1862,4,FALSE)</f>
        <v>#N/A</v>
      </c>
    </row>
    <row r="872" spans="1:4" x14ac:dyDescent="0.25">
      <c r="A872" s="19">
        <v>41019</v>
      </c>
      <c r="B872" s="19" t="e">
        <f>VLOOKUP($A872,Config!$B$6:$E$1862,2,FALSE)</f>
        <v>#N/A</v>
      </c>
      <c r="C872" s="19" t="e">
        <f>VLOOKUP($A872,Config!$B$6:$E$1862,3,FALSE)</f>
        <v>#N/A</v>
      </c>
      <c r="D872" s="19" t="e">
        <f>VLOOKUP($A872,Config!$B$6:$E$1862,4,FALSE)</f>
        <v>#N/A</v>
      </c>
    </row>
    <row r="873" spans="1:4" x14ac:dyDescent="0.25">
      <c r="A873" s="19">
        <v>41020</v>
      </c>
      <c r="B873" s="19" t="e">
        <f>VLOOKUP($A873,Config!$B$6:$E$1862,2,FALSE)</f>
        <v>#N/A</v>
      </c>
      <c r="C873" s="19" t="e">
        <f>VLOOKUP($A873,Config!$B$6:$E$1862,3,FALSE)</f>
        <v>#N/A</v>
      </c>
      <c r="D873" s="19" t="e">
        <f>VLOOKUP($A873,Config!$B$6:$E$1862,4,FALSE)</f>
        <v>#N/A</v>
      </c>
    </row>
    <row r="874" spans="1:4" x14ac:dyDescent="0.25">
      <c r="A874" s="19">
        <v>41021</v>
      </c>
      <c r="B874" s="19" t="e">
        <f>VLOOKUP($A874,Config!$B$6:$E$1862,2,FALSE)</f>
        <v>#N/A</v>
      </c>
      <c r="C874" s="19" t="e">
        <f>VLOOKUP($A874,Config!$B$6:$E$1862,3,FALSE)</f>
        <v>#N/A</v>
      </c>
      <c r="D874" s="19" t="e">
        <f>VLOOKUP($A874,Config!$B$6:$E$1862,4,FALSE)</f>
        <v>#N/A</v>
      </c>
    </row>
    <row r="875" spans="1:4" x14ac:dyDescent="0.25">
      <c r="A875" s="19">
        <v>41022</v>
      </c>
      <c r="B875" s="19" t="e">
        <f>VLOOKUP($A875,Config!$B$6:$E$1862,2,FALSE)</f>
        <v>#N/A</v>
      </c>
      <c r="C875" s="19" t="e">
        <f>VLOOKUP($A875,Config!$B$6:$E$1862,3,FALSE)</f>
        <v>#N/A</v>
      </c>
      <c r="D875" s="19" t="e">
        <f>VLOOKUP($A875,Config!$B$6:$E$1862,4,FALSE)</f>
        <v>#N/A</v>
      </c>
    </row>
    <row r="876" spans="1:4" x14ac:dyDescent="0.25">
      <c r="A876" s="19">
        <v>41023</v>
      </c>
      <c r="B876" s="19" t="e">
        <f>VLOOKUP($A876,Config!$B$6:$E$1862,2,FALSE)</f>
        <v>#N/A</v>
      </c>
      <c r="C876" s="19" t="e">
        <f>VLOOKUP($A876,Config!$B$6:$E$1862,3,FALSE)</f>
        <v>#N/A</v>
      </c>
      <c r="D876" s="19" t="e">
        <f>VLOOKUP($A876,Config!$B$6:$E$1862,4,FALSE)</f>
        <v>#N/A</v>
      </c>
    </row>
    <row r="877" spans="1:4" x14ac:dyDescent="0.25">
      <c r="A877" s="19">
        <v>41024</v>
      </c>
      <c r="B877" s="19" t="e">
        <f>VLOOKUP($A877,Config!$B$6:$E$1862,2,FALSE)</f>
        <v>#N/A</v>
      </c>
      <c r="C877" s="19" t="e">
        <f>VLOOKUP($A877,Config!$B$6:$E$1862,3,FALSE)</f>
        <v>#N/A</v>
      </c>
      <c r="D877" s="19" t="e">
        <f>VLOOKUP($A877,Config!$B$6:$E$1862,4,FALSE)</f>
        <v>#N/A</v>
      </c>
    </row>
    <row r="878" spans="1:4" x14ac:dyDescent="0.25">
      <c r="A878" s="19">
        <v>41025</v>
      </c>
      <c r="B878" s="19" t="e">
        <f>VLOOKUP($A878,Config!$B$6:$E$1862,2,FALSE)</f>
        <v>#N/A</v>
      </c>
      <c r="C878" s="19" t="e">
        <f>VLOOKUP($A878,Config!$B$6:$E$1862,3,FALSE)</f>
        <v>#N/A</v>
      </c>
      <c r="D878" s="19" t="e">
        <f>VLOOKUP($A878,Config!$B$6:$E$1862,4,FALSE)</f>
        <v>#N/A</v>
      </c>
    </row>
    <row r="879" spans="1:4" x14ac:dyDescent="0.25">
      <c r="A879" s="19">
        <v>41026</v>
      </c>
      <c r="B879" s="19" t="e">
        <f>VLOOKUP($A879,Config!$B$6:$E$1862,2,FALSE)</f>
        <v>#N/A</v>
      </c>
      <c r="C879" s="19" t="e">
        <f>VLOOKUP($A879,Config!$B$6:$E$1862,3,FALSE)</f>
        <v>#N/A</v>
      </c>
      <c r="D879" s="19" t="e">
        <f>VLOOKUP($A879,Config!$B$6:$E$1862,4,FALSE)</f>
        <v>#N/A</v>
      </c>
    </row>
    <row r="880" spans="1:4" x14ac:dyDescent="0.25">
      <c r="A880" s="19">
        <v>41027</v>
      </c>
      <c r="B880" s="19" t="e">
        <f>VLOOKUP($A880,Config!$B$6:$E$1862,2,FALSE)</f>
        <v>#N/A</v>
      </c>
      <c r="C880" s="19" t="e">
        <f>VLOOKUP($A880,Config!$B$6:$E$1862,3,FALSE)</f>
        <v>#N/A</v>
      </c>
      <c r="D880" s="19" t="e">
        <f>VLOOKUP($A880,Config!$B$6:$E$1862,4,FALSE)</f>
        <v>#N/A</v>
      </c>
    </row>
    <row r="881" spans="1:4" x14ac:dyDescent="0.25">
      <c r="A881" s="19">
        <v>41028</v>
      </c>
      <c r="B881" s="19" t="e">
        <f>VLOOKUP($A881,Config!$B$6:$E$1862,2,FALSE)</f>
        <v>#N/A</v>
      </c>
      <c r="C881" s="19" t="e">
        <f>VLOOKUP($A881,Config!$B$6:$E$1862,3,FALSE)</f>
        <v>#N/A</v>
      </c>
      <c r="D881" s="19" t="e">
        <f>VLOOKUP($A881,Config!$B$6:$E$1862,4,FALSE)</f>
        <v>#N/A</v>
      </c>
    </row>
    <row r="882" spans="1:4" x14ac:dyDescent="0.25">
      <c r="A882" s="19">
        <v>41029</v>
      </c>
      <c r="B882" s="19" t="e">
        <f>VLOOKUP($A882,Config!$B$6:$E$1862,2,FALSE)</f>
        <v>#N/A</v>
      </c>
      <c r="C882" s="19" t="e">
        <f>VLOOKUP($A882,Config!$B$6:$E$1862,3,FALSE)</f>
        <v>#N/A</v>
      </c>
      <c r="D882" s="19" t="e">
        <f>VLOOKUP($A882,Config!$B$6:$E$1862,4,FALSE)</f>
        <v>#N/A</v>
      </c>
    </row>
    <row r="883" spans="1:4" x14ac:dyDescent="0.25">
      <c r="A883" s="19">
        <v>41030</v>
      </c>
      <c r="B883" s="19" t="e">
        <f>VLOOKUP($A883,Config!$B$6:$E$1862,2,FALSE)</f>
        <v>#N/A</v>
      </c>
      <c r="C883" s="19" t="e">
        <f>VLOOKUP($A883,Config!$B$6:$E$1862,3,FALSE)</f>
        <v>#N/A</v>
      </c>
      <c r="D883" s="19" t="e">
        <f>VLOOKUP($A883,Config!$B$6:$E$1862,4,FALSE)</f>
        <v>#N/A</v>
      </c>
    </row>
    <row r="884" spans="1:4" x14ac:dyDescent="0.25">
      <c r="A884" s="19">
        <v>41031</v>
      </c>
      <c r="B884" s="19" t="e">
        <f>VLOOKUP($A884,Config!$B$6:$E$1862,2,FALSE)</f>
        <v>#N/A</v>
      </c>
      <c r="C884" s="19" t="e">
        <f>VLOOKUP($A884,Config!$B$6:$E$1862,3,FALSE)</f>
        <v>#N/A</v>
      </c>
      <c r="D884" s="19" t="e">
        <f>VLOOKUP($A884,Config!$B$6:$E$1862,4,FALSE)</f>
        <v>#N/A</v>
      </c>
    </row>
    <row r="885" spans="1:4" x14ac:dyDescent="0.25">
      <c r="A885" s="19">
        <v>41032</v>
      </c>
      <c r="B885" s="19" t="e">
        <f>VLOOKUP($A885,Config!$B$6:$E$1862,2,FALSE)</f>
        <v>#N/A</v>
      </c>
      <c r="C885" s="19" t="e">
        <f>VLOOKUP($A885,Config!$B$6:$E$1862,3,FALSE)</f>
        <v>#N/A</v>
      </c>
      <c r="D885" s="19" t="e">
        <f>VLOOKUP($A885,Config!$B$6:$E$1862,4,FALSE)</f>
        <v>#N/A</v>
      </c>
    </row>
    <row r="886" spans="1:4" x14ac:dyDescent="0.25">
      <c r="A886" s="19">
        <v>41033</v>
      </c>
      <c r="B886" s="19" t="e">
        <f>VLOOKUP($A886,Config!$B$6:$E$1862,2,FALSE)</f>
        <v>#N/A</v>
      </c>
      <c r="C886" s="19" t="e">
        <f>VLOOKUP($A886,Config!$B$6:$E$1862,3,FALSE)</f>
        <v>#N/A</v>
      </c>
      <c r="D886" s="19" t="e">
        <f>VLOOKUP($A886,Config!$B$6:$E$1862,4,FALSE)</f>
        <v>#N/A</v>
      </c>
    </row>
    <row r="887" spans="1:4" x14ac:dyDescent="0.25">
      <c r="A887" s="19">
        <v>41034</v>
      </c>
      <c r="B887" s="19" t="e">
        <f>VLOOKUP($A887,Config!$B$6:$E$1862,2,FALSE)</f>
        <v>#N/A</v>
      </c>
      <c r="C887" s="19" t="e">
        <f>VLOOKUP($A887,Config!$B$6:$E$1862,3,FALSE)</f>
        <v>#N/A</v>
      </c>
      <c r="D887" s="19" t="e">
        <f>VLOOKUP($A887,Config!$B$6:$E$1862,4,FALSE)</f>
        <v>#N/A</v>
      </c>
    </row>
    <row r="888" spans="1:4" x14ac:dyDescent="0.25">
      <c r="A888" s="19">
        <v>41035</v>
      </c>
      <c r="B888" s="19" t="e">
        <f>VLOOKUP($A888,Config!$B$6:$E$1862,2,FALSE)</f>
        <v>#N/A</v>
      </c>
      <c r="C888" s="19" t="e">
        <f>VLOOKUP($A888,Config!$B$6:$E$1862,3,FALSE)</f>
        <v>#N/A</v>
      </c>
      <c r="D888" s="19" t="e">
        <f>VLOOKUP($A888,Config!$B$6:$E$1862,4,FALSE)</f>
        <v>#N/A</v>
      </c>
    </row>
    <row r="889" spans="1:4" x14ac:dyDescent="0.25">
      <c r="A889" s="19">
        <v>41036</v>
      </c>
      <c r="B889" s="19" t="e">
        <f>VLOOKUP($A889,Config!$B$6:$E$1862,2,FALSE)</f>
        <v>#N/A</v>
      </c>
      <c r="C889" s="19" t="e">
        <f>VLOOKUP($A889,Config!$B$6:$E$1862,3,FALSE)</f>
        <v>#N/A</v>
      </c>
      <c r="D889" s="19" t="e">
        <f>VLOOKUP($A889,Config!$B$6:$E$1862,4,FALSE)</f>
        <v>#N/A</v>
      </c>
    </row>
    <row r="890" spans="1:4" x14ac:dyDescent="0.25">
      <c r="A890" s="19">
        <v>41037</v>
      </c>
      <c r="B890" s="19" t="e">
        <f>VLOOKUP($A890,Config!$B$6:$E$1862,2,FALSE)</f>
        <v>#N/A</v>
      </c>
      <c r="C890" s="19" t="e">
        <f>VLOOKUP($A890,Config!$B$6:$E$1862,3,FALSE)</f>
        <v>#N/A</v>
      </c>
      <c r="D890" s="19" t="e">
        <f>VLOOKUP($A890,Config!$B$6:$E$1862,4,FALSE)</f>
        <v>#N/A</v>
      </c>
    </row>
    <row r="891" spans="1:4" x14ac:dyDescent="0.25">
      <c r="A891" s="19">
        <v>41038</v>
      </c>
      <c r="B891" s="19" t="e">
        <f>VLOOKUP($A891,Config!$B$6:$E$1862,2,FALSE)</f>
        <v>#N/A</v>
      </c>
      <c r="C891" s="19" t="e">
        <f>VLOOKUP($A891,Config!$B$6:$E$1862,3,FALSE)</f>
        <v>#N/A</v>
      </c>
      <c r="D891" s="19" t="e">
        <f>VLOOKUP($A891,Config!$B$6:$E$1862,4,FALSE)</f>
        <v>#N/A</v>
      </c>
    </row>
    <row r="892" spans="1:4" x14ac:dyDescent="0.25">
      <c r="A892" s="19">
        <v>41039</v>
      </c>
      <c r="B892" s="19" t="e">
        <f>VLOOKUP($A892,Config!$B$6:$E$1862,2,FALSE)</f>
        <v>#N/A</v>
      </c>
      <c r="C892" s="19" t="e">
        <f>VLOOKUP($A892,Config!$B$6:$E$1862,3,FALSE)</f>
        <v>#N/A</v>
      </c>
      <c r="D892" s="19" t="e">
        <f>VLOOKUP($A892,Config!$B$6:$E$1862,4,FALSE)</f>
        <v>#N/A</v>
      </c>
    </row>
    <row r="893" spans="1:4" x14ac:dyDescent="0.25">
      <c r="A893" s="19">
        <v>41040</v>
      </c>
      <c r="B893" s="19" t="e">
        <f>VLOOKUP($A893,Config!$B$6:$E$1862,2,FALSE)</f>
        <v>#N/A</v>
      </c>
      <c r="C893" s="19" t="e">
        <f>VLOOKUP($A893,Config!$B$6:$E$1862,3,FALSE)</f>
        <v>#N/A</v>
      </c>
      <c r="D893" s="19" t="e">
        <f>VLOOKUP($A893,Config!$B$6:$E$1862,4,FALSE)</f>
        <v>#N/A</v>
      </c>
    </row>
    <row r="894" spans="1:4" x14ac:dyDescent="0.25">
      <c r="A894" s="19">
        <v>41041</v>
      </c>
      <c r="B894" s="19" t="e">
        <f>VLOOKUP($A894,Config!$B$6:$E$1862,2,FALSE)</f>
        <v>#N/A</v>
      </c>
      <c r="C894" s="19" t="e">
        <f>VLOOKUP($A894,Config!$B$6:$E$1862,3,FALSE)</f>
        <v>#N/A</v>
      </c>
      <c r="D894" s="19" t="e">
        <f>VLOOKUP($A894,Config!$B$6:$E$1862,4,FALSE)</f>
        <v>#N/A</v>
      </c>
    </row>
    <row r="895" spans="1:4" x14ac:dyDescent="0.25">
      <c r="A895" s="19">
        <v>41042</v>
      </c>
      <c r="B895" s="19" t="e">
        <f>VLOOKUP($A895,Config!$B$6:$E$1862,2,FALSE)</f>
        <v>#N/A</v>
      </c>
      <c r="C895" s="19" t="e">
        <f>VLOOKUP($A895,Config!$B$6:$E$1862,3,FALSE)</f>
        <v>#N/A</v>
      </c>
      <c r="D895" s="19" t="e">
        <f>VLOOKUP($A895,Config!$B$6:$E$1862,4,FALSE)</f>
        <v>#N/A</v>
      </c>
    </row>
    <row r="896" spans="1:4" x14ac:dyDescent="0.25">
      <c r="A896" s="19">
        <v>41043</v>
      </c>
      <c r="B896" s="19" t="e">
        <f>VLOOKUP($A896,Config!$B$6:$E$1862,2,FALSE)</f>
        <v>#N/A</v>
      </c>
      <c r="C896" s="19" t="e">
        <f>VLOOKUP($A896,Config!$B$6:$E$1862,3,FALSE)</f>
        <v>#N/A</v>
      </c>
      <c r="D896" s="19" t="e">
        <f>VLOOKUP($A896,Config!$B$6:$E$1862,4,FALSE)</f>
        <v>#N/A</v>
      </c>
    </row>
    <row r="897" spans="1:4" x14ac:dyDescent="0.25">
      <c r="A897" s="19">
        <v>41044</v>
      </c>
      <c r="B897" s="19" t="e">
        <f>VLOOKUP($A897,Config!$B$6:$E$1862,2,FALSE)</f>
        <v>#N/A</v>
      </c>
      <c r="C897" s="19" t="e">
        <f>VLOOKUP($A897,Config!$B$6:$E$1862,3,FALSE)</f>
        <v>#N/A</v>
      </c>
      <c r="D897" s="19" t="e">
        <f>VLOOKUP($A897,Config!$B$6:$E$1862,4,FALSE)</f>
        <v>#N/A</v>
      </c>
    </row>
    <row r="898" spans="1:4" x14ac:dyDescent="0.25">
      <c r="A898" s="19">
        <v>41045</v>
      </c>
      <c r="B898" s="19" t="e">
        <f>VLOOKUP($A898,Config!$B$6:$E$1862,2,FALSE)</f>
        <v>#N/A</v>
      </c>
      <c r="C898" s="19" t="e">
        <f>VLOOKUP($A898,Config!$B$6:$E$1862,3,FALSE)</f>
        <v>#N/A</v>
      </c>
      <c r="D898" s="19" t="e">
        <f>VLOOKUP($A898,Config!$B$6:$E$1862,4,FALSE)</f>
        <v>#N/A</v>
      </c>
    </row>
    <row r="899" spans="1:4" x14ac:dyDescent="0.25">
      <c r="A899" s="19">
        <v>41046</v>
      </c>
      <c r="B899" s="19" t="e">
        <f>VLOOKUP($A899,Config!$B$6:$E$1862,2,FALSE)</f>
        <v>#N/A</v>
      </c>
      <c r="C899" s="19" t="e">
        <f>VLOOKUP($A899,Config!$B$6:$E$1862,3,FALSE)</f>
        <v>#N/A</v>
      </c>
      <c r="D899" s="19" t="e">
        <f>VLOOKUP($A899,Config!$B$6:$E$1862,4,FALSE)</f>
        <v>#N/A</v>
      </c>
    </row>
    <row r="900" spans="1:4" x14ac:dyDescent="0.25">
      <c r="A900" s="19">
        <v>41047</v>
      </c>
      <c r="B900" s="19" t="e">
        <f>VLOOKUP($A900,Config!$B$6:$E$1862,2,FALSE)</f>
        <v>#N/A</v>
      </c>
      <c r="C900" s="19" t="e">
        <f>VLOOKUP($A900,Config!$B$6:$E$1862,3,FALSE)</f>
        <v>#N/A</v>
      </c>
      <c r="D900" s="19" t="e">
        <f>VLOOKUP($A900,Config!$B$6:$E$1862,4,FALSE)</f>
        <v>#N/A</v>
      </c>
    </row>
    <row r="901" spans="1:4" x14ac:dyDescent="0.25">
      <c r="A901" s="19">
        <v>41048</v>
      </c>
      <c r="B901" s="19" t="e">
        <f>VLOOKUP($A901,Config!$B$6:$E$1862,2,FALSE)</f>
        <v>#N/A</v>
      </c>
      <c r="C901" s="19" t="e">
        <f>VLOOKUP($A901,Config!$B$6:$E$1862,3,FALSE)</f>
        <v>#N/A</v>
      </c>
      <c r="D901" s="19" t="e">
        <f>VLOOKUP($A901,Config!$B$6:$E$1862,4,FALSE)</f>
        <v>#N/A</v>
      </c>
    </row>
    <row r="902" spans="1:4" x14ac:dyDescent="0.25">
      <c r="A902" s="19">
        <v>41049</v>
      </c>
      <c r="B902" s="19" t="e">
        <f>VLOOKUP($A902,Config!$B$6:$E$1862,2,FALSE)</f>
        <v>#N/A</v>
      </c>
      <c r="C902" s="19" t="e">
        <f>VLOOKUP($A902,Config!$B$6:$E$1862,3,FALSE)</f>
        <v>#N/A</v>
      </c>
      <c r="D902" s="19" t="e">
        <f>VLOOKUP($A902,Config!$B$6:$E$1862,4,FALSE)</f>
        <v>#N/A</v>
      </c>
    </row>
    <row r="903" spans="1:4" x14ac:dyDescent="0.25">
      <c r="A903" s="19">
        <v>41050</v>
      </c>
      <c r="B903" s="19" t="e">
        <f>VLOOKUP($A903,Config!$B$6:$E$1862,2,FALSE)</f>
        <v>#N/A</v>
      </c>
      <c r="C903" s="19" t="e">
        <f>VLOOKUP($A903,Config!$B$6:$E$1862,3,FALSE)</f>
        <v>#N/A</v>
      </c>
      <c r="D903" s="19" t="e">
        <f>VLOOKUP($A903,Config!$B$6:$E$1862,4,FALSE)</f>
        <v>#N/A</v>
      </c>
    </row>
    <row r="904" spans="1:4" x14ac:dyDescent="0.25">
      <c r="A904" s="19">
        <v>41051</v>
      </c>
      <c r="B904" s="19" t="e">
        <f>VLOOKUP($A904,Config!$B$6:$E$1862,2,FALSE)</f>
        <v>#N/A</v>
      </c>
      <c r="C904" s="19" t="e">
        <f>VLOOKUP($A904,Config!$B$6:$E$1862,3,FALSE)</f>
        <v>#N/A</v>
      </c>
      <c r="D904" s="19" t="e">
        <f>VLOOKUP($A904,Config!$B$6:$E$1862,4,FALSE)</f>
        <v>#N/A</v>
      </c>
    </row>
    <row r="905" spans="1:4" x14ac:dyDescent="0.25">
      <c r="A905" s="19">
        <v>41052</v>
      </c>
      <c r="B905" s="19" t="e">
        <f>VLOOKUP($A905,Config!$B$6:$E$1862,2,FALSE)</f>
        <v>#N/A</v>
      </c>
      <c r="C905" s="19" t="e">
        <f>VLOOKUP($A905,Config!$B$6:$E$1862,3,FALSE)</f>
        <v>#N/A</v>
      </c>
      <c r="D905" s="19" t="e">
        <f>VLOOKUP($A905,Config!$B$6:$E$1862,4,FALSE)</f>
        <v>#N/A</v>
      </c>
    </row>
    <row r="906" spans="1:4" x14ac:dyDescent="0.25">
      <c r="A906" s="19">
        <v>41053</v>
      </c>
      <c r="B906" s="19" t="e">
        <f>VLOOKUP($A906,Config!$B$6:$E$1862,2,FALSE)</f>
        <v>#N/A</v>
      </c>
      <c r="C906" s="19" t="e">
        <f>VLOOKUP($A906,Config!$B$6:$E$1862,3,FALSE)</f>
        <v>#N/A</v>
      </c>
      <c r="D906" s="19" t="e">
        <f>VLOOKUP($A906,Config!$B$6:$E$1862,4,FALSE)</f>
        <v>#N/A</v>
      </c>
    </row>
    <row r="907" spans="1:4" x14ac:dyDescent="0.25">
      <c r="A907" s="19">
        <v>41054</v>
      </c>
      <c r="B907" s="19" t="e">
        <f>VLOOKUP($A907,Config!$B$6:$E$1862,2,FALSE)</f>
        <v>#N/A</v>
      </c>
      <c r="C907" s="19" t="e">
        <f>VLOOKUP($A907,Config!$B$6:$E$1862,3,FALSE)</f>
        <v>#N/A</v>
      </c>
      <c r="D907" s="19" t="e">
        <f>VLOOKUP($A907,Config!$B$6:$E$1862,4,FALSE)</f>
        <v>#N/A</v>
      </c>
    </row>
    <row r="908" spans="1:4" x14ac:dyDescent="0.25">
      <c r="A908" s="19">
        <v>41055</v>
      </c>
      <c r="B908" s="19" t="e">
        <f>VLOOKUP($A908,Config!$B$6:$E$1862,2,FALSE)</f>
        <v>#N/A</v>
      </c>
      <c r="C908" s="19" t="e">
        <f>VLOOKUP($A908,Config!$B$6:$E$1862,3,FALSE)</f>
        <v>#N/A</v>
      </c>
      <c r="D908" s="19" t="e">
        <f>VLOOKUP($A908,Config!$B$6:$E$1862,4,FALSE)</f>
        <v>#N/A</v>
      </c>
    </row>
    <row r="909" spans="1:4" x14ac:dyDescent="0.25">
      <c r="A909" s="19">
        <v>41056</v>
      </c>
      <c r="B909" s="19" t="e">
        <f>VLOOKUP($A909,Config!$B$6:$E$1862,2,FALSE)</f>
        <v>#N/A</v>
      </c>
      <c r="C909" s="19" t="e">
        <f>VLOOKUP($A909,Config!$B$6:$E$1862,3,FALSE)</f>
        <v>#N/A</v>
      </c>
      <c r="D909" s="19" t="e">
        <f>VLOOKUP($A909,Config!$B$6:$E$1862,4,FALSE)</f>
        <v>#N/A</v>
      </c>
    </row>
    <row r="910" spans="1:4" x14ac:dyDescent="0.25">
      <c r="A910" s="19">
        <v>41057</v>
      </c>
      <c r="B910" s="19" t="e">
        <f>VLOOKUP($A910,Config!$B$6:$E$1862,2,FALSE)</f>
        <v>#N/A</v>
      </c>
      <c r="C910" s="19" t="e">
        <f>VLOOKUP($A910,Config!$B$6:$E$1862,3,FALSE)</f>
        <v>#N/A</v>
      </c>
      <c r="D910" s="19" t="e">
        <f>VLOOKUP($A910,Config!$B$6:$E$1862,4,FALSE)</f>
        <v>#N/A</v>
      </c>
    </row>
    <row r="911" spans="1:4" x14ac:dyDescent="0.25">
      <c r="A911" s="19">
        <v>41058</v>
      </c>
      <c r="B911" s="19" t="e">
        <f>VLOOKUP($A911,Config!$B$6:$E$1862,2,FALSE)</f>
        <v>#N/A</v>
      </c>
      <c r="C911" s="19" t="e">
        <f>VLOOKUP($A911,Config!$B$6:$E$1862,3,FALSE)</f>
        <v>#N/A</v>
      </c>
      <c r="D911" s="19" t="e">
        <f>VLOOKUP($A911,Config!$B$6:$E$1862,4,FALSE)</f>
        <v>#N/A</v>
      </c>
    </row>
    <row r="912" spans="1:4" x14ac:dyDescent="0.25">
      <c r="A912" s="19">
        <v>41059</v>
      </c>
      <c r="B912" s="19" t="e">
        <f>VLOOKUP($A912,Config!$B$6:$E$1862,2,FALSE)</f>
        <v>#N/A</v>
      </c>
      <c r="C912" s="19" t="e">
        <f>VLOOKUP($A912,Config!$B$6:$E$1862,3,FALSE)</f>
        <v>#N/A</v>
      </c>
      <c r="D912" s="19" t="e">
        <f>VLOOKUP($A912,Config!$B$6:$E$1862,4,FALSE)</f>
        <v>#N/A</v>
      </c>
    </row>
    <row r="913" spans="1:4" x14ac:dyDescent="0.25">
      <c r="A913" s="19">
        <v>41060</v>
      </c>
      <c r="B913" s="19" t="e">
        <f>VLOOKUP($A913,Config!$B$6:$E$1862,2,FALSE)</f>
        <v>#N/A</v>
      </c>
      <c r="C913" s="19" t="e">
        <f>VLOOKUP($A913,Config!$B$6:$E$1862,3,FALSE)</f>
        <v>#N/A</v>
      </c>
      <c r="D913" s="19" t="e">
        <f>VLOOKUP($A913,Config!$B$6:$E$1862,4,FALSE)</f>
        <v>#N/A</v>
      </c>
    </row>
    <row r="914" spans="1:4" x14ac:dyDescent="0.25">
      <c r="A914" s="19">
        <v>41061</v>
      </c>
      <c r="B914" s="19" t="e">
        <f>VLOOKUP($A914,Config!$B$6:$E$1862,2,FALSE)</f>
        <v>#N/A</v>
      </c>
      <c r="C914" s="19" t="e">
        <f>VLOOKUP($A914,Config!$B$6:$E$1862,3,FALSE)</f>
        <v>#N/A</v>
      </c>
      <c r="D914" s="19" t="e">
        <f>VLOOKUP($A914,Config!$B$6:$E$1862,4,FALSE)</f>
        <v>#N/A</v>
      </c>
    </row>
    <row r="915" spans="1:4" x14ac:dyDescent="0.25">
      <c r="A915" s="19">
        <v>41062</v>
      </c>
      <c r="B915" s="19" t="e">
        <f>VLOOKUP($A915,Config!$B$6:$E$1862,2,FALSE)</f>
        <v>#N/A</v>
      </c>
      <c r="C915" s="19" t="e">
        <f>VLOOKUP($A915,Config!$B$6:$E$1862,3,FALSE)</f>
        <v>#N/A</v>
      </c>
      <c r="D915" s="19" t="e">
        <f>VLOOKUP($A915,Config!$B$6:$E$1862,4,FALSE)</f>
        <v>#N/A</v>
      </c>
    </row>
    <row r="916" spans="1:4" x14ac:dyDescent="0.25">
      <c r="A916" s="19">
        <v>41063</v>
      </c>
      <c r="B916" s="19" t="e">
        <f>VLOOKUP($A916,Config!$B$6:$E$1862,2,FALSE)</f>
        <v>#N/A</v>
      </c>
      <c r="C916" s="19" t="e">
        <f>VLOOKUP($A916,Config!$B$6:$E$1862,3,FALSE)</f>
        <v>#N/A</v>
      </c>
      <c r="D916" s="19" t="e">
        <f>VLOOKUP($A916,Config!$B$6:$E$1862,4,FALSE)</f>
        <v>#N/A</v>
      </c>
    </row>
    <row r="917" spans="1:4" x14ac:dyDescent="0.25">
      <c r="A917" s="19">
        <v>41064</v>
      </c>
      <c r="B917" s="19" t="e">
        <f>VLOOKUP($A917,Config!$B$6:$E$1862,2,FALSE)</f>
        <v>#N/A</v>
      </c>
      <c r="C917" s="19" t="e">
        <f>VLOOKUP($A917,Config!$B$6:$E$1862,3,FALSE)</f>
        <v>#N/A</v>
      </c>
      <c r="D917" s="19" t="e">
        <f>VLOOKUP($A917,Config!$B$6:$E$1862,4,FALSE)</f>
        <v>#N/A</v>
      </c>
    </row>
    <row r="918" spans="1:4" x14ac:dyDescent="0.25">
      <c r="A918" s="19">
        <v>41065</v>
      </c>
      <c r="B918" s="19" t="e">
        <f>VLOOKUP($A918,Config!$B$6:$E$1862,2,FALSE)</f>
        <v>#N/A</v>
      </c>
      <c r="C918" s="19" t="e">
        <f>VLOOKUP($A918,Config!$B$6:$E$1862,3,FALSE)</f>
        <v>#N/A</v>
      </c>
      <c r="D918" s="19" t="e">
        <f>VLOOKUP($A918,Config!$B$6:$E$1862,4,FALSE)</f>
        <v>#N/A</v>
      </c>
    </row>
    <row r="919" spans="1:4" x14ac:dyDescent="0.25">
      <c r="A919" s="19">
        <v>41066</v>
      </c>
      <c r="B919" s="19" t="e">
        <f>VLOOKUP($A919,Config!$B$6:$E$1862,2,FALSE)</f>
        <v>#N/A</v>
      </c>
      <c r="C919" s="19" t="e">
        <f>VLOOKUP($A919,Config!$B$6:$E$1862,3,FALSE)</f>
        <v>#N/A</v>
      </c>
      <c r="D919" s="19" t="e">
        <f>VLOOKUP($A919,Config!$B$6:$E$1862,4,FALSE)</f>
        <v>#N/A</v>
      </c>
    </row>
    <row r="920" spans="1:4" x14ac:dyDescent="0.25">
      <c r="A920" s="19">
        <v>41067</v>
      </c>
      <c r="B920" s="19" t="e">
        <f>VLOOKUP($A920,Config!$B$6:$E$1862,2,FALSE)</f>
        <v>#N/A</v>
      </c>
      <c r="C920" s="19" t="e">
        <f>VLOOKUP($A920,Config!$B$6:$E$1862,3,FALSE)</f>
        <v>#N/A</v>
      </c>
      <c r="D920" s="19" t="e">
        <f>VLOOKUP($A920,Config!$B$6:$E$1862,4,FALSE)</f>
        <v>#N/A</v>
      </c>
    </row>
    <row r="921" spans="1:4" x14ac:dyDescent="0.25">
      <c r="A921" s="19">
        <v>41068</v>
      </c>
      <c r="B921" s="19" t="e">
        <f>VLOOKUP($A921,Config!$B$6:$E$1862,2,FALSE)</f>
        <v>#N/A</v>
      </c>
      <c r="C921" s="19" t="e">
        <f>VLOOKUP($A921,Config!$B$6:$E$1862,3,FALSE)</f>
        <v>#N/A</v>
      </c>
      <c r="D921" s="19" t="e">
        <f>VLOOKUP($A921,Config!$B$6:$E$1862,4,FALSE)</f>
        <v>#N/A</v>
      </c>
    </row>
    <row r="922" spans="1:4" x14ac:dyDescent="0.25">
      <c r="A922" s="19">
        <v>41069</v>
      </c>
      <c r="B922" s="19" t="e">
        <f>VLOOKUP($A922,Config!$B$6:$E$1862,2,FALSE)</f>
        <v>#N/A</v>
      </c>
      <c r="C922" s="19" t="e">
        <f>VLOOKUP($A922,Config!$B$6:$E$1862,3,FALSE)</f>
        <v>#N/A</v>
      </c>
      <c r="D922" s="19" t="e">
        <f>VLOOKUP($A922,Config!$B$6:$E$1862,4,FALSE)</f>
        <v>#N/A</v>
      </c>
    </row>
    <row r="923" spans="1:4" x14ac:dyDescent="0.25">
      <c r="A923" s="19">
        <v>41070</v>
      </c>
      <c r="B923" s="19" t="e">
        <f>VLOOKUP($A923,Config!$B$6:$E$1862,2,FALSE)</f>
        <v>#N/A</v>
      </c>
      <c r="C923" s="19" t="e">
        <f>VLOOKUP($A923,Config!$B$6:$E$1862,3,FALSE)</f>
        <v>#N/A</v>
      </c>
      <c r="D923" s="19" t="e">
        <f>VLOOKUP($A923,Config!$B$6:$E$1862,4,FALSE)</f>
        <v>#N/A</v>
      </c>
    </row>
    <row r="924" spans="1:4" x14ac:dyDescent="0.25">
      <c r="A924" s="19">
        <v>41071</v>
      </c>
      <c r="B924" s="19" t="e">
        <f>VLOOKUP($A924,Config!$B$6:$E$1862,2,FALSE)</f>
        <v>#N/A</v>
      </c>
      <c r="C924" s="19" t="e">
        <f>VLOOKUP($A924,Config!$B$6:$E$1862,3,FALSE)</f>
        <v>#N/A</v>
      </c>
      <c r="D924" s="19" t="e">
        <f>VLOOKUP($A924,Config!$B$6:$E$1862,4,FALSE)</f>
        <v>#N/A</v>
      </c>
    </row>
    <row r="925" spans="1:4" x14ac:dyDescent="0.25">
      <c r="A925" s="19">
        <v>41072</v>
      </c>
      <c r="B925" s="19" t="e">
        <f>VLOOKUP($A925,Config!$B$6:$E$1862,2,FALSE)</f>
        <v>#N/A</v>
      </c>
      <c r="C925" s="19" t="e">
        <f>VLOOKUP($A925,Config!$B$6:$E$1862,3,FALSE)</f>
        <v>#N/A</v>
      </c>
      <c r="D925" s="19" t="e">
        <f>VLOOKUP($A925,Config!$B$6:$E$1862,4,FALSE)</f>
        <v>#N/A</v>
      </c>
    </row>
    <row r="926" spans="1:4" x14ac:dyDescent="0.25">
      <c r="A926" s="19">
        <v>41073</v>
      </c>
      <c r="B926" s="19" t="e">
        <f>VLOOKUP($A926,Config!$B$6:$E$1862,2,FALSE)</f>
        <v>#N/A</v>
      </c>
      <c r="C926" s="19" t="e">
        <f>VLOOKUP($A926,Config!$B$6:$E$1862,3,FALSE)</f>
        <v>#N/A</v>
      </c>
      <c r="D926" s="19" t="e">
        <f>VLOOKUP($A926,Config!$B$6:$E$1862,4,FALSE)</f>
        <v>#N/A</v>
      </c>
    </row>
    <row r="927" spans="1:4" x14ac:dyDescent="0.25">
      <c r="A927" s="19">
        <v>41074</v>
      </c>
      <c r="B927" s="19" t="e">
        <f>VLOOKUP($A927,Config!$B$6:$E$1862,2,FALSE)</f>
        <v>#N/A</v>
      </c>
      <c r="C927" s="19" t="e">
        <f>VLOOKUP($A927,Config!$B$6:$E$1862,3,FALSE)</f>
        <v>#N/A</v>
      </c>
      <c r="D927" s="19" t="e">
        <f>VLOOKUP($A927,Config!$B$6:$E$1862,4,FALSE)</f>
        <v>#N/A</v>
      </c>
    </row>
    <row r="928" spans="1:4" x14ac:dyDescent="0.25">
      <c r="A928" s="19">
        <v>41075</v>
      </c>
      <c r="B928" s="19" t="e">
        <f>VLOOKUP($A928,Config!$B$6:$E$1862,2,FALSE)</f>
        <v>#N/A</v>
      </c>
      <c r="C928" s="19" t="e">
        <f>VLOOKUP($A928,Config!$B$6:$E$1862,3,FALSE)</f>
        <v>#N/A</v>
      </c>
      <c r="D928" s="19" t="e">
        <f>VLOOKUP($A928,Config!$B$6:$E$1862,4,FALSE)</f>
        <v>#N/A</v>
      </c>
    </row>
    <row r="929" spans="1:4" x14ac:dyDescent="0.25">
      <c r="A929" s="19">
        <v>41076</v>
      </c>
      <c r="B929" s="19" t="e">
        <f>VLOOKUP($A929,Config!$B$6:$E$1862,2,FALSE)</f>
        <v>#N/A</v>
      </c>
      <c r="C929" s="19" t="e">
        <f>VLOOKUP($A929,Config!$B$6:$E$1862,3,FALSE)</f>
        <v>#N/A</v>
      </c>
      <c r="D929" s="19" t="e">
        <f>VLOOKUP($A929,Config!$B$6:$E$1862,4,FALSE)</f>
        <v>#N/A</v>
      </c>
    </row>
    <row r="930" spans="1:4" x14ac:dyDescent="0.25">
      <c r="A930" s="19">
        <v>41077</v>
      </c>
      <c r="B930" s="19" t="e">
        <f>VLOOKUP($A930,Config!$B$6:$E$1862,2,FALSE)</f>
        <v>#N/A</v>
      </c>
      <c r="C930" s="19" t="e">
        <f>VLOOKUP($A930,Config!$B$6:$E$1862,3,FALSE)</f>
        <v>#N/A</v>
      </c>
      <c r="D930" s="19" t="e">
        <f>VLOOKUP($A930,Config!$B$6:$E$1862,4,FALSE)</f>
        <v>#N/A</v>
      </c>
    </row>
    <row r="931" spans="1:4" x14ac:dyDescent="0.25">
      <c r="A931" s="19">
        <v>41078</v>
      </c>
      <c r="B931" s="19" t="e">
        <f>VLOOKUP($A931,Config!$B$6:$E$1862,2,FALSE)</f>
        <v>#N/A</v>
      </c>
      <c r="C931" s="19" t="e">
        <f>VLOOKUP($A931,Config!$B$6:$E$1862,3,FALSE)</f>
        <v>#N/A</v>
      </c>
      <c r="D931" s="19" t="e">
        <f>VLOOKUP($A931,Config!$B$6:$E$1862,4,FALSE)</f>
        <v>#N/A</v>
      </c>
    </row>
    <row r="932" spans="1:4" x14ac:dyDescent="0.25">
      <c r="A932" s="19">
        <v>41079</v>
      </c>
      <c r="B932" s="19" t="e">
        <f>VLOOKUP($A932,Config!$B$6:$E$1862,2,FALSE)</f>
        <v>#N/A</v>
      </c>
      <c r="C932" s="19" t="e">
        <f>VLOOKUP($A932,Config!$B$6:$E$1862,3,FALSE)</f>
        <v>#N/A</v>
      </c>
      <c r="D932" s="19" t="e">
        <f>VLOOKUP($A932,Config!$B$6:$E$1862,4,FALSE)</f>
        <v>#N/A</v>
      </c>
    </row>
    <row r="933" spans="1:4" x14ac:dyDescent="0.25">
      <c r="A933" s="19">
        <v>41080</v>
      </c>
      <c r="B933" s="19" t="e">
        <f>VLOOKUP($A933,Config!$B$6:$E$1862,2,FALSE)</f>
        <v>#N/A</v>
      </c>
      <c r="C933" s="19" t="e">
        <f>VLOOKUP($A933,Config!$B$6:$E$1862,3,FALSE)</f>
        <v>#N/A</v>
      </c>
      <c r="D933" s="19" t="e">
        <f>VLOOKUP($A933,Config!$B$6:$E$1862,4,FALSE)</f>
        <v>#N/A</v>
      </c>
    </row>
    <row r="934" spans="1:4" x14ac:dyDescent="0.25">
      <c r="A934" s="19">
        <v>41081</v>
      </c>
      <c r="B934" s="19" t="e">
        <f>VLOOKUP($A934,Config!$B$6:$E$1862,2,FALSE)</f>
        <v>#N/A</v>
      </c>
      <c r="C934" s="19" t="e">
        <f>VLOOKUP($A934,Config!$B$6:$E$1862,3,FALSE)</f>
        <v>#N/A</v>
      </c>
      <c r="D934" s="19" t="e">
        <f>VLOOKUP($A934,Config!$B$6:$E$1862,4,FALSE)</f>
        <v>#N/A</v>
      </c>
    </row>
    <row r="935" spans="1:4" x14ac:dyDescent="0.25">
      <c r="A935" s="19">
        <v>41082</v>
      </c>
      <c r="B935" s="19" t="e">
        <f>VLOOKUP($A935,Config!$B$6:$E$1862,2,FALSE)</f>
        <v>#N/A</v>
      </c>
      <c r="C935" s="19" t="e">
        <f>VLOOKUP($A935,Config!$B$6:$E$1862,3,FALSE)</f>
        <v>#N/A</v>
      </c>
      <c r="D935" s="19" t="e">
        <f>VLOOKUP($A935,Config!$B$6:$E$1862,4,FALSE)</f>
        <v>#N/A</v>
      </c>
    </row>
    <row r="936" spans="1:4" x14ac:dyDescent="0.25">
      <c r="A936" s="19">
        <v>41083</v>
      </c>
      <c r="B936" s="19" t="e">
        <f>VLOOKUP($A936,Config!$B$6:$E$1862,2,FALSE)</f>
        <v>#N/A</v>
      </c>
      <c r="C936" s="19" t="e">
        <f>VLOOKUP($A936,Config!$B$6:$E$1862,3,FALSE)</f>
        <v>#N/A</v>
      </c>
      <c r="D936" s="19" t="e">
        <f>VLOOKUP($A936,Config!$B$6:$E$1862,4,FALSE)</f>
        <v>#N/A</v>
      </c>
    </row>
    <row r="937" spans="1:4" x14ac:dyDescent="0.25">
      <c r="A937" s="19">
        <v>41084</v>
      </c>
      <c r="B937" s="19" t="e">
        <f>VLOOKUP($A937,Config!$B$6:$E$1862,2,FALSE)</f>
        <v>#N/A</v>
      </c>
      <c r="C937" s="19" t="e">
        <f>VLOOKUP($A937,Config!$B$6:$E$1862,3,FALSE)</f>
        <v>#N/A</v>
      </c>
      <c r="D937" s="19" t="e">
        <f>VLOOKUP($A937,Config!$B$6:$E$1862,4,FALSE)</f>
        <v>#N/A</v>
      </c>
    </row>
    <row r="938" spans="1:4" x14ac:dyDescent="0.25">
      <c r="A938" s="19">
        <v>41085</v>
      </c>
      <c r="B938" s="19" t="e">
        <f>VLOOKUP($A938,Config!$B$6:$E$1862,2,FALSE)</f>
        <v>#N/A</v>
      </c>
      <c r="C938" s="19" t="e">
        <f>VLOOKUP($A938,Config!$B$6:$E$1862,3,FALSE)</f>
        <v>#N/A</v>
      </c>
      <c r="D938" s="19" t="e">
        <f>VLOOKUP($A938,Config!$B$6:$E$1862,4,FALSE)</f>
        <v>#N/A</v>
      </c>
    </row>
    <row r="939" spans="1:4" x14ac:dyDescent="0.25">
      <c r="A939" s="19">
        <v>41086</v>
      </c>
      <c r="B939" s="19" t="e">
        <f>VLOOKUP($A939,Config!$B$6:$E$1862,2,FALSE)</f>
        <v>#N/A</v>
      </c>
      <c r="C939" s="19" t="e">
        <f>VLOOKUP($A939,Config!$B$6:$E$1862,3,FALSE)</f>
        <v>#N/A</v>
      </c>
      <c r="D939" s="19" t="e">
        <f>VLOOKUP($A939,Config!$B$6:$E$1862,4,FALSE)</f>
        <v>#N/A</v>
      </c>
    </row>
    <row r="940" spans="1:4" x14ac:dyDescent="0.25">
      <c r="A940" s="19">
        <v>41087</v>
      </c>
      <c r="B940" s="19" t="e">
        <f>VLOOKUP($A940,Config!$B$6:$E$1862,2,FALSE)</f>
        <v>#N/A</v>
      </c>
      <c r="C940" s="19" t="e">
        <f>VLOOKUP($A940,Config!$B$6:$E$1862,3,FALSE)</f>
        <v>#N/A</v>
      </c>
      <c r="D940" s="19" t="e">
        <f>VLOOKUP($A940,Config!$B$6:$E$1862,4,FALSE)</f>
        <v>#N/A</v>
      </c>
    </row>
    <row r="941" spans="1:4" x14ac:dyDescent="0.25">
      <c r="A941" s="19">
        <v>41088</v>
      </c>
      <c r="B941" s="19" t="e">
        <f>VLOOKUP($A941,Config!$B$6:$E$1862,2,FALSE)</f>
        <v>#N/A</v>
      </c>
      <c r="C941" s="19" t="e">
        <f>VLOOKUP($A941,Config!$B$6:$E$1862,3,FALSE)</f>
        <v>#N/A</v>
      </c>
      <c r="D941" s="19" t="e">
        <f>VLOOKUP($A941,Config!$B$6:$E$1862,4,FALSE)</f>
        <v>#N/A</v>
      </c>
    </row>
    <row r="942" spans="1:4" x14ac:dyDescent="0.25">
      <c r="A942" s="19">
        <v>41089</v>
      </c>
      <c r="B942" s="19" t="e">
        <f>VLOOKUP($A942,Config!$B$6:$E$1862,2,FALSE)</f>
        <v>#N/A</v>
      </c>
      <c r="C942" s="19" t="e">
        <f>VLOOKUP($A942,Config!$B$6:$E$1862,3,FALSE)</f>
        <v>#N/A</v>
      </c>
      <c r="D942" s="19" t="e">
        <f>VLOOKUP($A942,Config!$B$6:$E$1862,4,FALSE)</f>
        <v>#N/A</v>
      </c>
    </row>
    <row r="943" spans="1:4" x14ac:dyDescent="0.25">
      <c r="A943" s="19">
        <v>41090</v>
      </c>
      <c r="B943" s="19" t="e">
        <f>VLOOKUP($A943,Config!$B$6:$E$1862,2,FALSE)</f>
        <v>#N/A</v>
      </c>
      <c r="C943" s="19" t="e">
        <f>VLOOKUP($A943,Config!$B$6:$E$1862,3,FALSE)</f>
        <v>#N/A</v>
      </c>
      <c r="D943" s="19" t="e">
        <f>VLOOKUP($A943,Config!$B$6:$E$1862,4,FALSE)</f>
        <v>#N/A</v>
      </c>
    </row>
    <row r="944" spans="1:4" x14ac:dyDescent="0.25">
      <c r="A944" s="19">
        <v>41091</v>
      </c>
      <c r="B944" s="19" t="e">
        <f>VLOOKUP($A944,Config!$B$6:$E$1862,2,FALSE)</f>
        <v>#N/A</v>
      </c>
      <c r="C944" s="19" t="e">
        <f>VLOOKUP($A944,Config!$B$6:$E$1862,3,FALSE)</f>
        <v>#N/A</v>
      </c>
      <c r="D944" s="19" t="e">
        <f>VLOOKUP($A944,Config!$B$6:$E$1862,4,FALSE)</f>
        <v>#N/A</v>
      </c>
    </row>
    <row r="945" spans="1:4" x14ac:dyDescent="0.25">
      <c r="A945" s="19">
        <v>41092</v>
      </c>
      <c r="B945" s="19" t="e">
        <f>VLOOKUP($A945,Config!$B$6:$E$1862,2,FALSE)</f>
        <v>#N/A</v>
      </c>
      <c r="C945" s="19" t="e">
        <f>VLOOKUP($A945,Config!$B$6:$E$1862,3,FALSE)</f>
        <v>#N/A</v>
      </c>
      <c r="D945" s="19" t="e">
        <f>VLOOKUP($A945,Config!$B$6:$E$1862,4,FALSE)</f>
        <v>#N/A</v>
      </c>
    </row>
    <row r="946" spans="1:4" x14ac:dyDescent="0.25">
      <c r="A946" s="19">
        <v>41093</v>
      </c>
      <c r="B946" s="19" t="e">
        <f>VLOOKUP($A946,Config!$B$6:$E$1862,2,FALSE)</f>
        <v>#N/A</v>
      </c>
      <c r="C946" s="19" t="e">
        <f>VLOOKUP($A946,Config!$B$6:$E$1862,3,FALSE)</f>
        <v>#N/A</v>
      </c>
      <c r="D946" s="19" t="e">
        <f>VLOOKUP($A946,Config!$B$6:$E$1862,4,FALSE)</f>
        <v>#N/A</v>
      </c>
    </row>
    <row r="947" spans="1:4" x14ac:dyDescent="0.25">
      <c r="A947" s="19">
        <v>41094</v>
      </c>
      <c r="B947" s="19" t="e">
        <f>VLOOKUP($A947,Config!$B$6:$E$1862,2,FALSE)</f>
        <v>#N/A</v>
      </c>
      <c r="C947" s="19" t="e">
        <f>VLOOKUP($A947,Config!$B$6:$E$1862,3,FALSE)</f>
        <v>#N/A</v>
      </c>
      <c r="D947" s="19" t="e">
        <f>VLOOKUP($A947,Config!$B$6:$E$1862,4,FALSE)</f>
        <v>#N/A</v>
      </c>
    </row>
    <row r="948" spans="1:4" x14ac:dyDescent="0.25">
      <c r="A948" s="19">
        <v>41095</v>
      </c>
      <c r="B948" s="19" t="e">
        <f>VLOOKUP($A948,Config!$B$6:$E$1862,2,FALSE)</f>
        <v>#N/A</v>
      </c>
      <c r="C948" s="19" t="e">
        <f>VLOOKUP($A948,Config!$B$6:$E$1862,3,FALSE)</f>
        <v>#N/A</v>
      </c>
      <c r="D948" s="19" t="e">
        <f>VLOOKUP($A948,Config!$B$6:$E$1862,4,FALSE)</f>
        <v>#N/A</v>
      </c>
    </row>
    <row r="949" spans="1:4" x14ac:dyDescent="0.25">
      <c r="A949" s="19">
        <v>41096</v>
      </c>
      <c r="B949" s="19" t="e">
        <f>VLOOKUP($A949,Config!$B$6:$E$1862,2,FALSE)</f>
        <v>#N/A</v>
      </c>
      <c r="C949" s="19" t="e">
        <f>VLOOKUP($A949,Config!$B$6:$E$1862,3,FALSE)</f>
        <v>#N/A</v>
      </c>
      <c r="D949" s="19" t="e">
        <f>VLOOKUP($A949,Config!$B$6:$E$1862,4,FALSE)</f>
        <v>#N/A</v>
      </c>
    </row>
    <row r="950" spans="1:4" x14ac:dyDescent="0.25">
      <c r="A950" s="19">
        <v>41097</v>
      </c>
      <c r="B950" s="19" t="e">
        <f>VLOOKUP($A950,Config!$B$6:$E$1862,2,FALSE)</f>
        <v>#N/A</v>
      </c>
      <c r="C950" s="19" t="e">
        <f>VLOOKUP($A950,Config!$B$6:$E$1862,3,FALSE)</f>
        <v>#N/A</v>
      </c>
      <c r="D950" s="19" t="e">
        <f>VLOOKUP($A950,Config!$B$6:$E$1862,4,FALSE)</f>
        <v>#N/A</v>
      </c>
    </row>
    <row r="951" spans="1:4" x14ac:dyDescent="0.25">
      <c r="A951" s="19">
        <v>41098</v>
      </c>
      <c r="B951" s="19" t="e">
        <f>VLOOKUP($A951,Config!$B$6:$E$1862,2,FALSE)</f>
        <v>#N/A</v>
      </c>
      <c r="C951" s="19" t="e">
        <f>VLOOKUP($A951,Config!$B$6:$E$1862,3,FALSE)</f>
        <v>#N/A</v>
      </c>
      <c r="D951" s="19" t="e">
        <f>VLOOKUP($A951,Config!$B$6:$E$1862,4,FALSE)</f>
        <v>#N/A</v>
      </c>
    </row>
    <row r="952" spans="1:4" x14ac:dyDescent="0.25">
      <c r="A952" s="19">
        <v>41099</v>
      </c>
      <c r="B952" s="19" t="e">
        <f>VLOOKUP($A952,Config!$B$6:$E$1862,2,FALSE)</f>
        <v>#N/A</v>
      </c>
      <c r="C952" s="19" t="e">
        <f>VLOOKUP($A952,Config!$B$6:$E$1862,3,FALSE)</f>
        <v>#N/A</v>
      </c>
      <c r="D952" s="19" t="e">
        <f>VLOOKUP($A952,Config!$B$6:$E$1862,4,FALSE)</f>
        <v>#N/A</v>
      </c>
    </row>
    <row r="953" spans="1:4" x14ac:dyDescent="0.25">
      <c r="A953" s="19">
        <v>41100</v>
      </c>
      <c r="B953" s="19" t="e">
        <f>VLOOKUP($A953,Config!$B$6:$E$1862,2,FALSE)</f>
        <v>#N/A</v>
      </c>
      <c r="C953" s="19" t="e">
        <f>VLOOKUP($A953,Config!$B$6:$E$1862,3,FALSE)</f>
        <v>#N/A</v>
      </c>
      <c r="D953" s="19" t="e">
        <f>VLOOKUP($A953,Config!$B$6:$E$1862,4,FALSE)</f>
        <v>#N/A</v>
      </c>
    </row>
    <row r="954" spans="1:4" x14ac:dyDescent="0.25">
      <c r="A954" s="19">
        <v>41101</v>
      </c>
      <c r="B954" s="19" t="e">
        <f>VLOOKUP($A954,Config!$B$6:$E$1862,2,FALSE)</f>
        <v>#N/A</v>
      </c>
      <c r="C954" s="19" t="e">
        <f>VLOOKUP($A954,Config!$B$6:$E$1862,3,FALSE)</f>
        <v>#N/A</v>
      </c>
      <c r="D954" s="19" t="e">
        <f>VLOOKUP($A954,Config!$B$6:$E$1862,4,FALSE)</f>
        <v>#N/A</v>
      </c>
    </row>
    <row r="955" spans="1:4" x14ac:dyDescent="0.25">
      <c r="A955" s="19">
        <v>41102</v>
      </c>
      <c r="B955" s="19" t="e">
        <f>VLOOKUP($A955,Config!$B$6:$E$1862,2,FALSE)</f>
        <v>#N/A</v>
      </c>
      <c r="C955" s="19" t="e">
        <f>VLOOKUP($A955,Config!$B$6:$E$1862,3,FALSE)</f>
        <v>#N/A</v>
      </c>
      <c r="D955" s="19" t="e">
        <f>VLOOKUP($A955,Config!$B$6:$E$1862,4,FALSE)</f>
        <v>#N/A</v>
      </c>
    </row>
    <row r="956" spans="1:4" x14ac:dyDescent="0.25">
      <c r="A956" s="19">
        <v>41103</v>
      </c>
      <c r="B956" s="19" t="e">
        <f>VLOOKUP($A956,Config!$B$6:$E$1862,2,FALSE)</f>
        <v>#N/A</v>
      </c>
      <c r="C956" s="19" t="e">
        <f>VLOOKUP($A956,Config!$B$6:$E$1862,3,FALSE)</f>
        <v>#N/A</v>
      </c>
      <c r="D956" s="19" t="e">
        <f>VLOOKUP($A956,Config!$B$6:$E$1862,4,FALSE)</f>
        <v>#N/A</v>
      </c>
    </row>
    <row r="957" spans="1:4" x14ac:dyDescent="0.25">
      <c r="A957" s="19">
        <v>41104</v>
      </c>
      <c r="B957" s="19" t="e">
        <f>VLOOKUP($A957,Config!$B$6:$E$1862,2,FALSE)</f>
        <v>#N/A</v>
      </c>
      <c r="C957" s="19" t="e">
        <f>VLOOKUP($A957,Config!$B$6:$E$1862,3,FALSE)</f>
        <v>#N/A</v>
      </c>
      <c r="D957" s="19" t="e">
        <f>VLOOKUP($A957,Config!$B$6:$E$1862,4,FALSE)</f>
        <v>#N/A</v>
      </c>
    </row>
    <row r="958" spans="1:4" x14ac:dyDescent="0.25">
      <c r="A958" s="19">
        <v>41105</v>
      </c>
      <c r="B958" s="19" t="e">
        <f>VLOOKUP($A958,Config!$B$6:$E$1862,2,FALSE)</f>
        <v>#N/A</v>
      </c>
      <c r="C958" s="19" t="e">
        <f>VLOOKUP($A958,Config!$B$6:$E$1862,3,FALSE)</f>
        <v>#N/A</v>
      </c>
      <c r="D958" s="19" t="e">
        <f>VLOOKUP($A958,Config!$B$6:$E$1862,4,FALSE)</f>
        <v>#N/A</v>
      </c>
    </row>
    <row r="959" spans="1:4" x14ac:dyDescent="0.25">
      <c r="A959" s="19">
        <v>41106</v>
      </c>
      <c r="B959" s="19" t="e">
        <f>VLOOKUP($A959,Config!$B$6:$E$1862,2,FALSE)</f>
        <v>#N/A</v>
      </c>
      <c r="C959" s="19" t="e">
        <f>VLOOKUP($A959,Config!$B$6:$E$1862,3,FALSE)</f>
        <v>#N/A</v>
      </c>
      <c r="D959" s="19" t="e">
        <f>VLOOKUP($A959,Config!$B$6:$E$1862,4,FALSE)</f>
        <v>#N/A</v>
      </c>
    </row>
    <row r="960" spans="1:4" x14ac:dyDescent="0.25">
      <c r="A960" s="19">
        <v>41107</v>
      </c>
      <c r="B960" s="19" t="e">
        <f>VLOOKUP($A960,Config!$B$6:$E$1862,2,FALSE)</f>
        <v>#N/A</v>
      </c>
      <c r="C960" s="19" t="e">
        <f>VLOOKUP($A960,Config!$B$6:$E$1862,3,FALSE)</f>
        <v>#N/A</v>
      </c>
      <c r="D960" s="19" t="e">
        <f>VLOOKUP($A960,Config!$B$6:$E$1862,4,FALSE)</f>
        <v>#N/A</v>
      </c>
    </row>
    <row r="961" spans="1:4" x14ac:dyDescent="0.25">
      <c r="A961" s="19">
        <v>41108</v>
      </c>
      <c r="B961" s="19" t="e">
        <f>VLOOKUP($A961,Config!$B$6:$E$1862,2,FALSE)</f>
        <v>#N/A</v>
      </c>
      <c r="C961" s="19" t="e">
        <f>VLOOKUP($A961,Config!$B$6:$E$1862,3,FALSE)</f>
        <v>#N/A</v>
      </c>
      <c r="D961" s="19" t="e">
        <f>VLOOKUP($A961,Config!$B$6:$E$1862,4,FALSE)</f>
        <v>#N/A</v>
      </c>
    </row>
    <row r="962" spans="1:4" x14ac:dyDescent="0.25">
      <c r="A962" s="19">
        <v>41109</v>
      </c>
      <c r="B962" s="19" t="e">
        <f>VLOOKUP($A962,Config!$B$6:$E$1862,2,FALSE)</f>
        <v>#N/A</v>
      </c>
      <c r="C962" s="19" t="e">
        <f>VLOOKUP($A962,Config!$B$6:$E$1862,3,FALSE)</f>
        <v>#N/A</v>
      </c>
      <c r="D962" s="19" t="e">
        <f>VLOOKUP($A962,Config!$B$6:$E$1862,4,FALSE)</f>
        <v>#N/A</v>
      </c>
    </row>
    <row r="963" spans="1:4" x14ac:dyDescent="0.25">
      <c r="A963" s="19">
        <v>41110</v>
      </c>
      <c r="B963" s="19" t="e">
        <f>VLOOKUP($A963,Config!$B$6:$E$1862,2,FALSE)</f>
        <v>#N/A</v>
      </c>
      <c r="C963" s="19" t="e">
        <f>VLOOKUP($A963,Config!$B$6:$E$1862,3,FALSE)</f>
        <v>#N/A</v>
      </c>
      <c r="D963" s="19" t="e">
        <f>VLOOKUP($A963,Config!$B$6:$E$1862,4,FALSE)</f>
        <v>#N/A</v>
      </c>
    </row>
    <row r="964" spans="1:4" x14ac:dyDescent="0.25">
      <c r="A964" s="19">
        <v>41111</v>
      </c>
      <c r="B964" s="19" t="e">
        <f>VLOOKUP($A964,Config!$B$6:$E$1862,2,FALSE)</f>
        <v>#N/A</v>
      </c>
      <c r="C964" s="19" t="e">
        <f>VLOOKUP($A964,Config!$B$6:$E$1862,3,FALSE)</f>
        <v>#N/A</v>
      </c>
      <c r="D964" s="19" t="e">
        <f>VLOOKUP($A964,Config!$B$6:$E$1862,4,FALSE)</f>
        <v>#N/A</v>
      </c>
    </row>
    <row r="965" spans="1:4" x14ac:dyDescent="0.25">
      <c r="A965" s="19">
        <v>41112</v>
      </c>
      <c r="B965" s="19" t="e">
        <f>VLOOKUP($A965,Config!$B$6:$E$1862,2,FALSE)</f>
        <v>#N/A</v>
      </c>
      <c r="C965" s="19" t="e">
        <f>VLOOKUP($A965,Config!$B$6:$E$1862,3,FALSE)</f>
        <v>#N/A</v>
      </c>
      <c r="D965" s="19" t="e">
        <f>VLOOKUP($A965,Config!$B$6:$E$1862,4,FALSE)</f>
        <v>#N/A</v>
      </c>
    </row>
    <row r="966" spans="1:4" x14ac:dyDescent="0.25">
      <c r="A966" s="19">
        <v>41113</v>
      </c>
      <c r="B966" s="19" t="e">
        <f>VLOOKUP($A966,Config!$B$6:$E$1862,2,FALSE)</f>
        <v>#N/A</v>
      </c>
      <c r="C966" s="19" t="e">
        <f>VLOOKUP($A966,Config!$B$6:$E$1862,3,FALSE)</f>
        <v>#N/A</v>
      </c>
      <c r="D966" s="19" t="e">
        <f>VLOOKUP($A966,Config!$B$6:$E$1862,4,FALSE)</f>
        <v>#N/A</v>
      </c>
    </row>
    <row r="967" spans="1:4" x14ac:dyDescent="0.25">
      <c r="A967" s="19">
        <v>41114</v>
      </c>
      <c r="B967" s="19" t="e">
        <f>VLOOKUP($A967,Config!$B$6:$E$1862,2,FALSE)</f>
        <v>#N/A</v>
      </c>
      <c r="C967" s="19" t="e">
        <f>VLOOKUP($A967,Config!$B$6:$E$1862,3,FALSE)</f>
        <v>#N/A</v>
      </c>
      <c r="D967" s="19" t="e">
        <f>VLOOKUP($A967,Config!$B$6:$E$1862,4,FALSE)</f>
        <v>#N/A</v>
      </c>
    </row>
    <row r="968" spans="1:4" x14ac:dyDescent="0.25">
      <c r="A968" s="19">
        <v>41115</v>
      </c>
      <c r="B968" s="19" t="e">
        <f>VLOOKUP($A968,Config!$B$6:$E$1862,2,FALSE)</f>
        <v>#N/A</v>
      </c>
      <c r="C968" s="19" t="e">
        <f>VLOOKUP($A968,Config!$B$6:$E$1862,3,FALSE)</f>
        <v>#N/A</v>
      </c>
      <c r="D968" s="19" t="e">
        <f>VLOOKUP($A968,Config!$B$6:$E$1862,4,FALSE)</f>
        <v>#N/A</v>
      </c>
    </row>
    <row r="969" spans="1:4" x14ac:dyDescent="0.25">
      <c r="A969" s="19">
        <v>41116</v>
      </c>
      <c r="B969" s="19" t="e">
        <f>VLOOKUP($A969,Config!$B$6:$E$1862,2,FALSE)</f>
        <v>#N/A</v>
      </c>
      <c r="C969" s="19" t="e">
        <f>VLOOKUP($A969,Config!$B$6:$E$1862,3,FALSE)</f>
        <v>#N/A</v>
      </c>
      <c r="D969" s="19" t="e">
        <f>VLOOKUP($A969,Config!$B$6:$E$1862,4,FALSE)</f>
        <v>#N/A</v>
      </c>
    </row>
    <row r="970" spans="1:4" x14ac:dyDescent="0.25">
      <c r="A970" s="19">
        <v>41117</v>
      </c>
      <c r="B970" s="19" t="e">
        <f>VLOOKUP($A970,Config!$B$6:$E$1862,2,FALSE)</f>
        <v>#N/A</v>
      </c>
      <c r="C970" s="19" t="e">
        <f>VLOOKUP($A970,Config!$B$6:$E$1862,3,FALSE)</f>
        <v>#N/A</v>
      </c>
      <c r="D970" s="19" t="e">
        <f>VLOOKUP($A970,Config!$B$6:$E$1862,4,FALSE)</f>
        <v>#N/A</v>
      </c>
    </row>
    <row r="971" spans="1:4" x14ac:dyDescent="0.25">
      <c r="A971" s="19">
        <v>41118</v>
      </c>
      <c r="B971" s="19" t="e">
        <f>VLOOKUP($A971,Config!$B$6:$E$1862,2,FALSE)</f>
        <v>#N/A</v>
      </c>
      <c r="C971" s="19" t="e">
        <f>VLOOKUP($A971,Config!$B$6:$E$1862,3,FALSE)</f>
        <v>#N/A</v>
      </c>
      <c r="D971" s="19" t="e">
        <f>VLOOKUP($A971,Config!$B$6:$E$1862,4,FALSE)</f>
        <v>#N/A</v>
      </c>
    </row>
    <row r="972" spans="1:4" x14ac:dyDescent="0.25">
      <c r="A972" s="19">
        <v>41119</v>
      </c>
      <c r="B972" s="19" t="e">
        <f>VLOOKUP($A972,Config!$B$6:$E$1862,2,FALSE)</f>
        <v>#N/A</v>
      </c>
      <c r="C972" s="19" t="e">
        <f>VLOOKUP($A972,Config!$B$6:$E$1862,3,FALSE)</f>
        <v>#N/A</v>
      </c>
      <c r="D972" s="19" t="e">
        <f>VLOOKUP($A972,Config!$B$6:$E$1862,4,FALSE)</f>
        <v>#N/A</v>
      </c>
    </row>
    <row r="973" spans="1:4" x14ac:dyDescent="0.25">
      <c r="A973" s="19">
        <v>41120</v>
      </c>
      <c r="B973" s="19" t="e">
        <f>VLOOKUP($A973,Config!$B$6:$E$1862,2,FALSE)</f>
        <v>#N/A</v>
      </c>
      <c r="C973" s="19" t="e">
        <f>VLOOKUP($A973,Config!$B$6:$E$1862,3,FALSE)</f>
        <v>#N/A</v>
      </c>
      <c r="D973" s="19" t="e">
        <f>VLOOKUP($A973,Config!$B$6:$E$1862,4,FALSE)</f>
        <v>#N/A</v>
      </c>
    </row>
    <row r="974" spans="1:4" x14ac:dyDescent="0.25">
      <c r="A974" s="19">
        <v>41121</v>
      </c>
      <c r="B974" s="19" t="e">
        <f>VLOOKUP($A974,Config!$B$6:$E$1862,2,FALSE)</f>
        <v>#N/A</v>
      </c>
      <c r="C974" s="19" t="e">
        <f>VLOOKUP($A974,Config!$B$6:$E$1862,3,FALSE)</f>
        <v>#N/A</v>
      </c>
      <c r="D974" s="19" t="e">
        <f>VLOOKUP($A974,Config!$B$6:$E$1862,4,FALSE)</f>
        <v>#N/A</v>
      </c>
    </row>
    <row r="975" spans="1:4" x14ac:dyDescent="0.25">
      <c r="A975" s="19">
        <v>41122</v>
      </c>
      <c r="B975" s="19" t="e">
        <f>VLOOKUP($A975,Config!$B$6:$E$1862,2,FALSE)</f>
        <v>#N/A</v>
      </c>
      <c r="C975" s="19" t="e">
        <f>VLOOKUP($A975,Config!$B$6:$E$1862,3,FALSE)</f>
        <v>#N/A</v>
      </c>
      <c r="D975" s="19" t="e">
        <f>VLOOKUP($A975,Config!$B$6:$E$1862,4,FALSE)</f>
        <v>#N/A</v>
      </c>
    </row>
    <row r="976" spans="1:4" x14ac:dyDescent="0.25">
      <c r="A976" s="19">
        <v>41123</v>
      </c>
      <c r="B976" s="19" t="e">
        <f>VLOOKUP($A976,Config!$B$6:$E$1862,2,FALSE)</f>
        <v>#N/A</v>
      </c>
      <c r="C976" s="19" t="e">
        <f>VLOOKUP($A976,Config!$B$6:$E$1862,3,FALSE)</f>
        <v>#N/A</v>
      </c>
      <c r="D976" s="19" t="e">
        <f>VLOOKUP($A976,Config!$B$6:$E$1862,4,FALSE)</f>
        <v>#N/A</v>
      </c>
    </row>
    <row r="977" spans="1:4" x14ac:dyDescent="0.25">
      <c r="A977" s="19">
        <v>41124</v>
      </c>
      <c r="B977" s="19" t="e">
        <f>VLOOKUP($A977,Config!$B$6:$E$1862,2,FALSE)</f>
        <v>#N/A</v>
      </c>
      <c r="C977" s="19" t="e">
        <f>VLOOKUP($A977,Config!$B$6:$E$1862,3,FALSE)</f>
        <v>#N/A</v>
      </c>
      <c r="D977" s="19" t="e">
        <f>VLOOKUP($A977,Config!$B$6:$E$1862,4,FALSE)</f>
        <v>#N/A</v>
      </c>
    </row>
    <row r="978" spans="1:4" x14ac:dyDescent="0.25">
      <c r="A978" s="19">
        <v>41125</v>
      </c>
      <c r="B978" s="19" t="e">
        <f>VLOOKUP($A978,Config!$B$6:$E$1862,2,FALSE)</f>
        <v>#N/A</v>
      </c>
      <c r="C978" s="19" t="e">
        <f>VLOOKUP($A978,Config!$B$6:$E$1862,3,FALSE)</f>
        <v>#N/A</v>
      </c>
      <c r="D978" s="19" t="e">
        <f>VLOOKUP($A978,Config!$B$6:$E$1862,4,FALSE)</f>
        <v>#N/A</v>
      </c>
    </row>
    <row r="979" spans="1:4" x14ac:dyDescent="0.25">
      <c r="A979" s="19">
        <v>41126</v>
      </c>
      <c r="B979" s="19" t="e">
        <f>VLOOKUP($A979,Config!$B$6:$E$1862,2,FALSE)</f>
        <v>#N/A</v>
      </c>
      <c r="C979" s="19" t="e">
        <f>VLOOKUP($A979,Config!$B$6:$E$1862,3,FALSE)</f>
        <v>#N/A</v>
      </c>
      <c r="D979" s="19" t="e">
        <f>VLOOKUP($A979,Config!$B$6:$E$1862,4,FALSE)</f>
        <v>#N/A</v>
      </c>
    </row>
    <row r="980" spans="1:4" x14ac:dyDescent="0.25">
      <c r="A980" s="19">
        <v>41127</v>
      </c>
      <c r="B980" s="19" t="e">
        <f>VLOOKUP($A980,Config!$B$6:$E$1862,2,FALSE)</f>
        <v>#N/A</v>
      </c>
      <c r="C980" s="19" t="e">
        <f>VLOOKUP($A980,Config!$B$6:$E$1862,3,FALSE)</f>
        <v>#N/A</v>
      </c>
      <c r="D980" s="19" t="e">
        <f>VLOOKUP($A980,Config!$B$6:$E$1862,4,FALSE)</f>
        <v>#N/A</v>
      </c>
    </row>
    <row r="981" spans="1:4" x14ac:dyDescent="0.25">
      <c r="A981" s="19">
        <v>41128</v>
      </c>
      <c r="B981" s="19" t="e">
        <f>VLOOKUP($A981,Config!$B$6:$E$1862,2,FALSE)</f>
        <v>#N/A</v>
      </c>
      <c r="C981" s="19" t="e">
        <f>VLOOKUP($A981,Config!$B$6:$E$1862,3,FALSE)</f>
        <v>#N/A</v>
      </c>
      <c r="D981" s="19" t="e">
        <f>VLOOKUP($A981,Config!$B$6:$E$1862,4,FALSE)</f>
        <v>#N/A</v>
      </c>
    </row>
    <row r="982" spans="1:4" x14ac:dyDescent="0.25">
      <c r="A982" s="19">
        <v>41129</v>
      </c>
      <c r="B982" s="19" t="e">
        <f>VLOOKUP($A982,Config!$B$6:$E$1862,2,FALSE)</f>
        <v>#N/A</v>
      </c>
      <c r="C982" s="19" t="e">
        <f>VLOOKUP($A982,Config!$B$6:$E$1862,3,FALSE)</f>
        <v>#N/A</v>
      </c>
      <c r="D982" s="19" t="e">
        <f>VLOOKUP($A982,Config!$B$6:$E$1862,4,FALSE)</f>
        <v>#N/A</v>
      </c>
    </row>
    <row r="983" spans="1:4" x14ac:dyDescent="0.25">
      <c r="A983" s="19">
        <v>41130</v>
      </c>
      <c r="B983" s="19" t="e">
        <f>VLOOKUP($A983,Config!$B$6:$E$1862,2,FALSE)</f>
        <v>#N/A</v>
      </c>
      <c r="C983" s="19" t="e">
        <f>VLOOKUP($A983,Config!$B$6:$E$1862,3,FALSE)</f>
        <v>#N/A</v>
      </c>
      <c r="D983" s="19" t="e">
        <f>VLOOKUP($A983,Config!$B$6:$E$1862,4,FALSE)</f>
        <v>#N/A</v>
      </c>
    </row>
    <row r="984" spans="1:4" x14ac:dyDescent="0.25">
      <c r="A984" s="19">
        <v>41131</v>
      </c>
      <c r="B984" s="19" t="e">
        <f>VLOOKUP($A984,Config!$B$6:$E$1862,2,FALSE)</f>
        <v>#N/A</v>
      </c>
      <c r="C984" s="19" t="e">
        <f>VLOOKUP($A984,Config!$B$6:$E$1862,3,FALSE)</f>
        <v>#N/A</v>
      </c>
      <c r="D984" s="19" t="e">
        <f>VLOOKUP($A984,Config!$B$6:$E$1862,4,FALSE)</f>
        <v>#N/A</v>
      </c>
    </row>
    <row r="985" spans="1:4" x14ac:dyDescent="0.25">
      <c r="A985" s="19">
        <v>41132</v>
      </c>
      <c r="B985" s="19" t="e">
        <f>VLOOKUP($A985,Config!$B$6:$E$1862,2,FALSE)</f>
        <v>#N/A</v>
      </c>
      <c r="C985" s="19" t="e">
        <f>VLOOKUP($A985,Config!$B$6:$E$1862,3,FALSE)</f>
        <v>#N/A</v>
      </c>
      <c r="D985" s="19" t="e">
        <f>VLOOKUP($A985,Config!$B$6:$E$1862,4,FALSE)</f>
        <v>#N/A</v>
      </c>
    </row>
    <row r="986" spans="1:4" x14ac:dyDescent="0.25">
      <c r="A986" s="19">
        <v>41133</v>
      </c>
      <c r="B986" s="19" t="e">
        <f>VLOOKUP($A986,Config!$B$6:$E$1862,2,FALSE)</f>
        <v>#N/A</v>
      </c>
      <c r="C986" s="19" t="e">
        <f>VLOOKUP($A986,Config!$B$6:$E$1862,3,FALSE)</f>
        <v>#N/A</v>
      </c>
      <c r="D986" s="19" t="e">
        <f>VLOOKUP($A986,Config!$B$6:$E$1862,4,FALSE)</f>
        <v>#N/A</v>
      </c>
    </row>
    <row r="987" spans="1:4" x14ac:dyDescent="0.25">
      <c r="A987" s="19">
        <v>41134</v>
      </c>
      <c r="B987" s="19" t="e">
        <f>VLOOKUP($A987,Config!$B$6:$E$1862,2,FALSE)</f>
        <v>#N/A</v>
      </c>
      <c r="C987" s="19" t="e">
        <f>VLOOKUP($A987,Config!$B$6:$E$1862,3,FALSE)</f>
        <v>#N/A</v>
      </c>
      <c r="D987" s="19" t="e">
        <f>VLOOKUP($A987,Config!$B$6:$E$1862,4,FALSE)</f>
        <v>#N/A</v>
      </c>
    </row>
    <row r="988" spans="1:4" x14ac:dyDescent="0.25">
      <c r="A988" s="19">
        <v>41135</v>
      </c>
      <c r="B988" s="19" t="e">
        <f>VLOOKUP($A988,Config!$B$6:$E$1862,2,FALSE)</f>
        <v>#N/A</v>
      </c>
      <c r="C988" s="19" t="e">
        <f>VLOOKUP($A988,Config!$B$6:$E$1862,3,FALSE)</f>
        <v>#N/A</v>
      </c>
      <c r="D988" s="19" t="e">
        <f>VLOOKUP($A988,Config!$B$6:$E$1862,4,FALSE)</f>
        <v>#N/A</v>
      </c>
    </row>
    <row r="989" spans="1:4" x14ac:dyDescent="0.25">
      <c r="A989" s="19">
        <v>41136</v>
      </c>
      <c r="B989" s="19" t="e">
        <f>VLOOKUP($A989,Config!$B$6:$E$1862,2,FALSE)</f>
        <v>#N/A</v>
      </c>
      <c r="C989" s="19" t="e">
        <f>VLOOKUP($A989,Config!$B$6:$E$1862,3,FALSE)</f>
        <v>#N/A</v>
      </c>
      <c r="D989" s="19" t="e">
        <f>VLOOKUP($A989,Config!$B$6:$E$1862,4,FALSE)</f>
        <v>#N/A</v>
      </c>
    </row>
    <row r="990" spans="1:4" x14ac:dyDescent="0.25">
      <c r="A990" s="19">
        <v>41138</v>
      </c>
      <c r="B990" s="19" t="e">
        <f>VLOOKUP($A990,Config!$B$6:$E$1862,2,FALSE)</f>
        <v>#N/A</v>
      </c>
      <c r="C990" s="19" t="e">
        <f>VLOOKUP($A990,Config!$B$6:$E$1862,3,FALSE)</f>
        <v>#N/A</v>
      </c>
      <c r="D990" s="19" t="e">
        <f>VLOOKUP($A990,Config!$B$6:$E$1862,4,FALSE)</f>
        <v>#N/A</v>
      </c>
    </row>
    <row r="991" spans="1:4" x14ac:dyDescent="0.25">
      <c r="A991" s="19">
        <v>41139</v>
      </c>
      <c r="B991" s="19" t="e">
        <f>VLOOKUP($A991,Config!$B$6:$E$1862,2,FALSE)</f>
        <v>#N/A</v>
      </c>
      <c r="C991" s="19" t="e">
        <f>VLOOKUP($A991,Config!$B$6:$E$1862,3,FALSE)</f>
        <v>#N/A</v>
      </c>
      <c r="D991" s="19" t="e">
        <f>VLOOKUP($A991,Config!$B$6:$E$1862,4,FALSE)</f>
        <v>#N/A</v>
      </c>
    </row>
    <row r="992" spans="1:4" x14ac:dyDescent="0.25">
      <c r="A992" s="19">
        <v>41140</v>
      </c>
      <c r="B992" s="19" t="e">
        <f>VLOOKUP($A992,Config!$B$6:$E$1862,2,FALSE)</f>
        <v>#N/A</v>
      </c>
      <c r="C992" s="19" t="e">
        <f>VLOOKUP($A992,Config!$B$6:$E$1862,3,FALSE)</f>
        <v>#N/A</v>
      </c>
      <c r="D992" s="19" t="e">
        <f>VLOOKUP($A992,Config!$B$6:$E$1862,4,FALSE)</f>
        <v>#N/A</v>
      </c>
    </row>
    <row r="993" spans="1:4" x14ac:dyDescent="0.25">
      <c r="A993" s="19">
        <v>41141</v>
      </c>
      <c r="B993" s="19" t="e">
        <f>VLOOKUP($A993,Config!$B$6:$E$1862,2,FALSE)</f>
        <v>#N/A</v>
      </c>
      <c r="C993" s="19" t="e">
        <f>VLOOKUP($A993,Config!$B$6:$E$1862,3,FALSE)</f>
        <v>#N/A</v>
      </c>
      <c r="D993" s="19" t="e">
        <f>VLOOKUP($A993,Config!$B$6:$E$1862,4,FALSE)</f>
        <v>#N/A</v>
      </c>
    </row>
    <row r="994" spans="1:4" x14ac:dyDescent="0.25">
      <c r="A994" s="19">
        <v>41142</v>
      </c>
      <c r="B994" s="19" t="e">
        <f>VLOOKUP($A994,Config!$B$6:$E$1862,2,FALSE)</f>
        <v>#N/A</v>
      </c>
      <c r="C994" s="19" t="e">
        <f>VLOOKUP($A994,Config!$B$6:$E$1862,3,FALSE)</f>
        <v>#N/A</v>
      </c>
      <c r="D994" s="19" t="e">
        <f>VLOOKUP($A994,Config!$B$6:$E$1862,4,FALSE)</f>
        <v>#N/A</v>
      </c>
    </row>
    <row r="995" spans="1:4" x14ac:dyDescent="0.25">
      <c r="A995" s="19">
        <v>41143</v>
      </c>
      <c r="B995" s="19" t="e">
        <f>VLOOKUP($A995,Config!$B$6:$E$1862,2,FALSE)</f>
        <v>#N/A</v>
      </c>
      <c r="C995" s="19" t="e">
        <f>VLOOKUP($A995,Config!$B$6:$E$1862,3,FALSE)</f>
        <v>#N/A</v>
      </c>
      <c r="D995" s="19" t="e">
        <f>VLOOKUP($A995,Config!$B$6:$E$1862,4,FALSE)</f>
        <v>#N/A</v>
      </c>
    </row>
    <row r="996" spans="1:4" x14ac:dyDescent="0.25">
      <c r="A996" s="19">
        <v>41144</v>
      </c>
      <c r="B996" s="19" t="e">
        <f>VLOOKUP($A996,Config!$B$6:$E$1862,2,FALSE)</f>
        <v>#N/A</v>
      </c>
      <c r="C996" s="19" t="e">
        <f>VLOOKUP($A996,Config!$B$6:$E$1862,3,FALSE)</f>
        <v>#N/A</v>
      </c>
      <c r="D996" s="19" t="e">
        <f>VLOOKUP($A996,Config!$B$6:$E$1862,4,FALSE)</f>
        <v>#N/A</v>
      </c>
    </row>
    <row r="997" spans="1:4" x14ac:dyDescent="0.25">
      <c r="A997" s="19">
        <v>41145</v>
      </c>
      <c r="B997" s="19" t="e">
        <f>VLOOKUP($A997,Config!$B$6:$E$1862,2,FALSE)</f>
        <v>#N/A</v>
      </c>
      <c r="C997" s="19" t="e">
        <f>VLOOKUP($A997,Config!$B$6:$E$1862,3,FALSE)</f>
        <v>#N/A</v>
      </c>
      <c r="D997" s="19" t="e">
        <f>VLOOKUP($A997,Config!$B$6:$E$1862,4,FALSE)</f>
        <v>#N/A</v>
      </c>
    </row>
    <row r="998" spans="1:4" x14ac:dyDescent="0.25">
      <c r="A998" s="19">
        <v>41146</v>
      </c>
      <c r="B998" s="19" t="e">
        <f>VLOOKUP($A998,Config!$B$6:$E$1862,2,FALSE)</f>
        <v>#N/A</v>
      </c>
      <c r="C998" s="19" t="e">
        <f>VLOOKUP($A998,Config!$B$6:$E$1862,3,FALSE)</f>
        <v>#N/A</v>
      </c>
      <c r="D998" s="19" t="e">
        <f>VLOOKUP($A998,Config!$B$6:$E$1862,4,FALSE)</f>
        <v>#N/A</v>
      </c>
    </row>
    <row r="999" spans="1:4" x14ac:dyDescent="0.25">
      <c r="A999" s="19">
        <v>41147</v>
      </c>
      <c r="B999" s="19" t="e">
        <f>VLOOKUP($A999,Config!$B$6:$E$1862,2,FALSE)</f>
        <v>#N/A</v>
      </c>
      <c r="C999" s="19" t="e">
        <f>VLOOKUP($A999,Config!$B$6:$E$1862,3,FALSE)</f>
        <v>#N/A</v>
      </c>
      <c r="D999" s="19" t="e">
        <f>VLOOKUP($A999,Config!$B$6:$E$1862,4,FALSE)</f>
        <v>#N/A</v>
      </c>
    </row>
    <row r="1000" spans="1:4" x14ac:dyDescent="0.25">
      <c r="A1000" s="19">
        <v>41148</v>
      </c>
      <c r="B1000" s="19" t="e">
        <f>VLOOKUP($A1000,Config!$B$6:$E$1862,2,FALSE)</f>
        <v>#N/A</v>
      </c>
      <c r="C1000" s="19" t="e">
        <f>VLOOKUP($A1000,Config!$B$6:$E$1862,3,FALSE)</f>
        <v>#N/A</v>
      </c>
      <c r="D1000" s="19" t="e">
        <f>VLOOKUP($A1000,Config!$B$6:$E$1862,4,FALSE)</f>
        <v>#N/A</v>
      </c>
    </row>
    <row r="1001" spans="1:4" x14ac:dyDescent="0.25">
      <c r="A1001" s="19">
        <v>41149</v>
      </c>
      <c r="B1001" s="19" t="e">
        <f>VLOOKUP($A1001,Config!$B$6:$E$1862,2,FALSE)</f>
        <v>#N/A</v>
      </c>
      <c r="C1001" s="19" t="e">
        <f>VLOOKUP($A1001,Config!$B$6:$E$1862,3,FALSE)</f>
        <v>#N/A</v>
      </c>
      <c r="D1001" s="19" t="e">
        <f>VLOOKUP($A1001,Config!$B$6:$E$1862,4,FALSE)</f>
        <v>#N/A</v>
      </c>
    </row>
    <row r="1002" spans="1:4" x14ac:dyDescent="0.25">
      <c r="A1002" s="19">
        <v>41150</v>
      </c>
      <c r="B1002" s="19" t="e">
        <f>VLOOKUP($A1002,Config!$B$6:$E$1862,2,FALSE)</f>
        <v>#N/A</v>
      </c>
      <c r="C1002" s="19" t="e">
        <f>VLOOKUP($A1002,Config!$B$6:$E$1862,3,FALSE)</f>
        <v>#N/A</v>
      </c>
      <c r="D1002" s="19" t="e">
        <f>VLOOKUP($A1002,Config!$B$6:$E$1862,4,FALSE)</f>
        <v>#N/A</v>
      </c>
    </row>
    <row r="1003" spans="1:4" x14ac:dyDescent="0.25">
      <c r="A1003" s="19">
        <v>41151</v>
      </c>
      <c r="B1003" s="19" t="e">
        <f>VLOOKUP($A1003,Config!$B$6:$E$1862,2,FALSE)</f>
        <v>#N/A</v>
      </c>
      <c r="C1003" s="19" t="e">
        <f>VLOOKUP($A1003,Config!$B$6:$E$1862,3,FALSE)</f>
        <v>#N/A</v>
      </c>
      <c r="D1003" s="19" t="e">
        <f>VLOOKUP($A1003,Config!$B$6:$E$1862,4,FALSE)</f>
        <v>#N/A</v>
      </c>
    </row>
    <row r="1004" spans="1:4" x14ac:dyDescent="0.25">
      <c r="A1004" s="19">
        <v>41152</v>
      </c>
      <c r="B1004" s="19" t="e">
        <f>VLOOKUP($A1004,Config!$B$6:$E$1862,2,FALSE)</f>
        <v>#N/A</v>
      </c>
      <c r="C1004" s="19" t="e">
        <f>VLOOKUP($A1004,Config!$B$6:$E$1862,3,FALSE)</f>
        <v>#N/A</v>
      </c>
      <c r="D1004" s="19" t="e">
        <f>VLOOKUP($A1004,Config!$B$6:$E$1862,4,FALSE)</f>
        <v>#N/A</v>
      </c>
    </row>
    <row r="1005" spans="1:4" x14ac:dyDescent="0.25">
      <c r="A1005" s="19">
        <v>41153</v>
      </c>
      <c r="B1005" s="19" t="e">
        <f>VLOOKUP($A1005,Config!$B$6:$E$1862,2,FALSE)</f>
        <v>#N/A</v>
      </c>
      <c r="C1005" s="19" t="e">
        <f>VLOOKUP($A1005,Config!$B$6:$E$1862,3,FALSE)</f>
        <v>#N/A</v>
      </c>
      <c r="D1005" s="19" t="e">
        <f>VLOOKUP($A1005,Config!$B$6:$E$1862,4,FALSE)</f>
        <v>#N/A</v>
      </c>
    </row>
    <row r="1006" spans="1:4" x14ac:dyDescent="0.25">
      <c r="A1006" s="19">
        <v>41154</v>
      </c>
      <c r="B1006" s="19" t="e">
        <f>VLOOKUP($A1006,Config!$B$6:$E$1862,2,FALSE)</f>
        <v>#N/A</v>
      </c>
      <c r="C1006" s="19" t="e">
        <f>VLOOKUP($A1006,Config!$B$6:$E$1862,3,FALSE)</f>
        <v>#N/A</v>
      </c>
      <c r="D1006" s="19" t="e">
        <f>VLOOKUP($A1006,Config!$B$6:$E$1862,4,FALSE)</f>
        <v>#N/A</v>
      </c>
    </row>
    <row r="1007" spans="1:4" x14ac:dyDescent="0.25">
      <c r="A1007" s="19">
        <v>41155</v>
      </c>
      <c r="B1007" s="19" t="e">
        <f>VLOOKUP($A1007,Config!$B$6:$E$1862,2,FALSE)</f>
        <v>#N/A</v>
      </c>
      <c r="C1007" s="19" t="e">
        <f>VLOOKUP($A1007,Config!$B$6:$E$1862,3,FALSE)</f>
        <v>#N/A</v>
      </c>
      <c r="D1007" s="19" t="e">
        <f>VLOOKUP($A1007,Config!$B$6:$E$1862,4,FALSE)</f>
        <v>#N/A</v>
      </c>
    </row>
    <row r="1008" spans="1:4" x14ac:dyDescent="0.25">
      <c r="A1008" s="19">
        <v>41156</v>
      </c>
      <c r="B1008" s="19" t="e">
        <f>VLOOKUP($A1008,Config!$B$6:$E$1862,2,FALSE)</f>
        <v>#N/A</v>
      </c>
      <c r="C1008" s="19" t="e">
        <f>VLOOKUP($A1008,Config!$B$6:$E$1862,3,FALSE)</f>
        <v>#N/A</v>
      </c>
      <c r="D1008" s="19" t="e">
        <f>VLOOKUP($A1008,Config!$B$6:$E$1862,4,FALSE)</f>
        <v>#N/A</v>
      </c>
    </row>
    <row r="1009" spans="1:4" x14ac:dyDescent="0.25">
      <c r="A1009" s="19">
        <v>41157</v>
      </c>
      <c r="B1009" s="19" t="e">
        <f>VLOOKUP($A1009,Config!$B$6:$E$1862,2,FALSE)</f>
        <v>#N/A</v>
      </c>
      <c r="C1009" s="19" t="e">
        <f>VLOOKUP($A1009,Config!$B$6:$E$1862,3,FALSE)</f>
        <v>#N/A</v>
      </c>
      <c r="D1009" s="19" t="e">
        <f>VLOOKUP($A1009,Config!$B$6:$E$1862,4,FALSE)</f>
        <v>#N/A</v>
      </c>
    </row>
    <row r="1010" spans="1:4" x14ac:dyDescent="0.25">
      <c r="A1010" s="19">
        <v>41158</v>
      </c>
      <c r="B1010" s="19" t="e">
        <f>VLOOKUP($A1010,Config!$B$6:$E$1862,2,FALSE)</f>
        <v>#N/A</v>
      </c>
      <c r="C1010" s="19" t="e">
        <f>VLOOKUP($A1010,Config!$B$6:$E$1862,3,FALSE)</f>
        <v>#N/A</v>
      </c>
      <c r="D1010" s="19" t="e">
        <f>VLOOKUP($A1010,Config!$B$6:$E$1862,4,FALSE)</f>
        <v>#N/A</v>
      </c>
    </row>
    <row r="1011" spans="1:4" x14ac:dyDescent="0.25">
      <c r="A1011" s="19">
        <v>41159</v>
      </c>
      <c r="B1011" s="19" t="e">
        <f>VLOOKUP($A1011,Config!$B$6:$E$1862,2,FALSE)</f>
        <v>#N/A</v>
      </c>
      <c r="C1011" s="19" t="e">
        <f>VLOOKUP($A1011,Config!$B$6:$E$1862,3,FALSE)</f>
        <v>#N/A</v>
      </c>
      <c r="D1011" s="19" t="e">
        <f>VLOOKUP($A1011,Config!$B$6:$E$1862,4,FALSE)</f>
        <v>#N/A</v>
      </c>
    </row>
    <row r="1012" spans="1:4" x14ac:dyDescent="0.25">
      <c r="A1012" s="19">
        <v>41160</v>
      </c>
      <c r="B1012" s="19" t="e">
        <f>VLOOKUP($A1012,Config!$B$6:$E$1862,2,FALSE)</f>
        <v>#N/A</v>
      </c>
      <c r="C1012" s="19" t="e">
        <f>VLOOKUP($A1012,Config!$B$6:$E$1862,3,FALSE)</f>
        <v>#N/A</v>
      </c>
      <c r="D1012" s="19" t="e">
        <f>VLOOKUP($A1012,Config!$B$6:$E$1862,4,FALSE)</f>
        <v>#N/A</v>
      </c>
    </row>
    <row r="1013" spans="1:4" x14ac:dyDescent="0.25">
      <c r="A1013" s="19">
        <v>41161</v>
      </c>
      <c r="B1013" s="19" t="e">
        <f>VLOOKUP($A1013,Config!$B$6:$E$1862,2,FALSE)</f>
        <v>#N/A</v>
      </c>
      <c r="C1013" s="19" t="e">
        <f>VLOOKUP($A1013,Config!$B$6:$E$1862,3,FALSE)</f>
        <v>#N/A</v>
      </c>
      <c r="D1013" s="19" t="e">
        <f>VLOOKUP($A1013,Config!$B$6:$E$1862,4,FALSE)</f>
        <v>#N/A</v>
      </c>
    </row>
    <row r="1014" spans="1:4" x14ac:dyDescent="0.25">
      <c r="A1014" s="19">
        <v>41162</v>
      </c>
      <c r="B1014" s="19" t="e">
        <f>VLOOKUP($A1014,Config!$B$6:$E$1862,2,FALSE)</f>
        <v>#N/A</v>
      </c>
      <c r="C1014" s="19" t="e">
        <f>VLOOKUP($A1014,Config!$B$6:$E$1862,3,FALSE)</f>
        <v>#N/A</v>
      </c>
      <c r="D1014" s="19" t="e">
        <f>VLOOKUP($A1014,Config!$B$6:$E$1862,4,FALSE)</f>
        <v>#N/A</v>
      </c>
    </row>
    <row r="1015" spans="1:4" x14ac:dyDescent="0.25">
      <c r="A1015" s="19">
        <v>41163</v>
      </c>
      <c r="B1015" s="19" t="e">
        <f>VLOOKUP($A1015,Config!$B$6:$E$1862,2,FALSE)</f>
        <v>#N/A</v>
      </c>
      <c r="C1015" s="19" t="e">
        <f>VLOOKUP($A1015,Config!$B$6:$E$1862,3,FALSE)</f>
        <v>#N/A</v>
      </c>
      <c r="D1015" s="19" t="e">
        <f>VLOOKUP($A1015,Config!$B$6:$E$1862,4,FALSE)</f>
        <v>#N/A</v>
      </c>
    </row>
    <row r="1016" spans="1:4" x14ac:dyDescent="0.25">
      <c r="A1016" s="19">
        <v>41164</v>
      </c>
      <c r="B1016" s="19" t="e">
        <f>VLOOKUP($A1016,Config!$B$6:$E$1862,2,FALSE)</f>
        <v>#N/A</v>
      </c>
      <c r="C1016" s="19" t="e">
        <f>VLOOKUP($A1016,Config!$B$6:$E$1862,3,FALSE)</f>
        <v>#N/A</v>
      </c>
      <c r="D1016" s="19" t="e">
        <f>VLOOKUP($A1016,Config!$B$6:$E$1862,4,FALSE)</f>
        <v>#N/A</v>
      </c>
    </row>
    <row r="1017" spans="1:4" x14ac:dyDescent="0.25">
      <c r="A1017" s="19">
        <v>41165</v>
      </c>
      <c r="B1017" s="19" t="e">
        <f>VLOOKUP($A1017,Config!$B$6:$E$1862,2,FALSE)</f>
        <v>#N/A</v>
      </c>
      <c r="C1017" s="19" t="e">
        <f>VLOOKUP($A1017,Config!$B$6:$E$1862,3,FALSE)</f>
        <v>#N/A</v>
      </c>
      <c r="D1017" s="19" t="e">
        <f>VLOOKUP($A1017,Config!$B$6:$E$1862,4,FALSE)</f>
        <v>#N/A</v>
      </c>
    </row>
    <row r="1018" spans="1:4" x14ac:dyDescent="0.25">
      <c r="A1018" s="19">
        <v>41166</v>
      </c>
      <c r="B1018" s="19" t="e">
        <f>VLOOKUP($A1018,Config!$B$6:$E$1862,2,FALSE)</f>
        <v>#N/A</v>
      </c>
      <c r="C1018" s="19" t="e">
        <f>VLOOKUP($A1018,Config!$B$6:$E$1862,3,FALSE)</f>
        <v>#N/A</v>
      </c>
      <c r="D1018" s="19" t="e">
        <f>VLOOKUP($A1018,Config!$B$6:$E$1862,4,FALSE)</f>
        <v>#N/A</v>
      </c>
    </row>
    <row r="1019" spans="1:4" x14ac:dyDescent="0.25">
      <c r="A1019" s="19">
        <v>41167</v>
      </c>
      <c r="B1019" s="19" t="e">
        <f>VLOOKUP($A1019,Config!$B$6:$E$1862,2,FALSE)</f>
        <v>#N/A</v>
      </c>
      <c r="C1019" s="19" t="e">
        <f>VLOOKUP($A1019,Config!$B$6:$E$1862,3,FALSE)</f>
        <v>#N/A</v>
      </c>
      <c r="D1019" s="19" t="e">
        <f>VLOOKUP($A1019,Config!$B$6:$E$1862,4,FALSE)</f>
        <v>#N/A</v>
      </c>
    </row>
    <row r="1020" spans="1:4" x14ac:dyDescent="0.25">
      <c r="A1020" s="19">
        <v>41168</v>
      </c>
      <c r="B1020" s="19" t="e">
        <f>VLOOKUP($A1020,Config!$B$6:$E$1862,2,FALSE)</f>
        <v>#N/A</v>
      </c>
      <c r="C1020" s="19" t="e">
        <f>VLOOKUP($A1020,Config!$B$6:$E$1862,3,FALSE)</f>
        <v>#N/A</v>
      </c>
      <c r="D1020" s="19" t="e">
        <f>VLOOKUP($A1020,Config!$B$6:$E$1862,4,FALSE)</f>
        <v>#N/A</v>
      </c>
    </row>
    <row r="1021" spans="1:4" x14ac:dyDescent="0.25">
      <c r="A1021" s="19">
        <v>41169</v>
      </c>
      <c r="B1021" s="19" t="e">
        <f>VLOOKUP($A1021,Config!$B$6:$E$1862,2,FALSE)</f>
        <v>#N/A</v>
      </c>
      <c r="C1021" s="19" t="e">
        <f>VLOOKUP($A1021,Config!$B$6:$E$1862,3,FALSE)</f>
        <v>#N/A</v>
      </c>
      <c r="D1021" s="19" t="e">
        <f>VLOOKUP($A1021,Config!$B$6:$E$1862,4,FALSE)</f>
        <v>#N/A</v>
      </c>
    </row>
    <row r="1022" spans="1:4" x14ac:dyDescent="0.25">
      <c r="A1022" s="19">
        <v>41170</v>
      </c>
      <c r="B1022" s="19" t="e">
        <f>VLOOKUP($A1022,Config!$B$6:$E$1862,2,FALSE)</f>
        <v>#N/A</v>
      </c>
      <c r="C1022" s="19" t="e">
        <f>VLOOKUP($A1022,Config!$B$6:$E$1862,3,FALSE)</f>
        <v>#N/A</v>
      </c>
      <c r="D1022" s="19" t="e">
        <f>VLOOKUP($A1022,Config!$B$6:$E$1862,4,FALSE)</f>
        <v>#N/A</v>
      </c>
    </row>
    <row r="1023" spans="1:4" x14ac:dyDescent="0.25">
      <c r="A1023" s="19">
        <v>41171</v>
      </c>
      <c r="B1023" s="19" t="e">
        <f>VLOOKUP($A1023,Config!$B$6:$E$1862,2,FALSE)</f>
        <v>#N/A</v>
      </c>
      <c r="C1023" s="19" t="e">
        <f>VLOOKUP($A1023,Config!$B$6:$E$1862,3,FALSE)</f>
        <v>#N/A</v>
      </c>
      <c r="D1023" s="19" t="e">
        <f>VLOOKUP($A1023,Config!$B$6:$E$1862,4,FALSE)</f>
        <v>#N/A</v>
      </c>
    </row>
    <row r="1024" spans="1:4" x14ac:dyDescent="0.25">
      <c r="A1024" s="19">
        <v>41172</v>
      </c>
      <c r="B1024" s="19" t="e">
        <f>VLOOKUP($A1024,Config!$B$6:$E$1862,2,FALSE)</f>
        <v>#N/A</v>
      </c>
      <c r="C1024" s="19" t="e">
        <f>VLOOKUP($A1024,Config!$B$6:$E$1862,3,FALSE)</f>
        <v>#N/A</v>
      </c>
      <c r="D1024" s="19" t="e">
        <f>VLOOKUP($A1024,Config!$B$6:$E$1862,4,FALSE)</f>
        <v>#N/A</v>
      </c>
    </row>
    <row r="1025" spans="1:4" x14ac:dyDescent="0.25">
      <c r="A1025" s="19">
        <v>41173</v>
      </c>
      <c r="B1025" s="19" t="e">
        <f>VLOOKUP($A1025,Config!$B$6:$E$1862,2,FALSE)</f>
        <v>#N/A</v>
      </c>
      <c r="C1025" s="19" t="e">
        <f>VLOOKUP($A1025,Config!$B$6:$E$1862,3,FALSE)</f>
        <v>#N/A</v>
      </c>
      <c r="D1025" s="19" t="e">
        <f>VLOOKUP($A1025,Config!$B$6:$E$1862,4,FALSE)</f>
        <v>#N/A</v>
      </c>
    </row>
    <row r="1026" spans="1:4" x14ac:dyDescent="0.25">
      <c r="A1026" s="19">
        <v>41174</v>
      </c>
      <c r="B1026" s="19" t="e">
        <f>VLOOKUP($A1026,Config!$B$6:$E$1862,2,FALSE)</f>
        <v>#N/A</v>
      </c>
      <c r="C1026" s="19" t="e">
        <f>VLOOKUP($A1026,Config!$B$6:$E$1862,3,FALSE)</f>
        <v>#N/A</v>
      </c>
      <c r="D1026" s="19" t="e">
        <f>VLOOKUP($A1026,Config!$B$6:$E$1862,4,FALSE)</f>
        <v>#N/A</v>
      </c>
    </row>
    <row r="1027" spans="1:4" x14ac:dyDescent="0.25">
      <c r="A1027" s="19">
        <v>41175</v>
      </c>
      <c r="B1027" s="19" t="e">
        <f>VLOOKUP($A1027,Config!$B$6:$E$1862,2,FALSE)</f>
        <v>#N/A</v>
      </c>
      <c r="C1027" s="19" t="e">
        <f>VLOOKUP($A1027,Config!$B$6:$E$1862,3,FALSE)</f>
        <v>#N/A</v>
      </c>
      <c r="D1027" s="19" t="e">
        <f>VLOOKUP($A1027,Config!$B$6:$E$1862,4,FALSE)</f>
        <v>#N/A</v>
      </c>
    </row>
    <row r="1028" spans="1:4" x14ac:dyDescent="0.25">
      <c r="A1028" s="19">
        <v>41176</v>
      </c>
      <c r="B1028" s="19" t="e">
        <f>VLOOKUP($A1028,Config!$B$6:$E$1862,2,FALSE)</f>
        <v>#N/A</v>
      </c>
      <c r="C1028" s="19" t="e">
        <f>VLOOKUP($A1028,Config!$B$6:$E$1862,3,FALSE)</f>
        <v>#N/A</v>
      </c>
      <c r="D1028" s="19" t="e">
        <f>VLOOKUP($A1028,Config!$B$6:$E$1862,4,FALSE)</f>
        <v>#N/A</v>
      </c>
    </row>
    <row r="1029" spans="1:4" x14ac:dyDescent="0.25">
      <c r="A1029" s="19">
        <v>41177</v>
      </c>
      <c r="B1029" s="19" t="e">
        <f>VLOOKUP($A1029,Config!$B$6:$E$1862,2,FALSE)</f>
        <v>#N/A</v>
      </c>
      <c r="C1029" s="19" t="e">
        <f>VLOOKUP($A1029,Config!$B$6:$E$1862,3,FALSE)</f>
        <v>#N/A</v>
      </c>
      <c r="D1029" s="19" t="e">
        <f>VLOOKUP($A1029,Config!$B$6:$E$1862,4,FALSE)</f>
        <v>#N/A</v>
      </c>
    </row>
    <row r="1030" spans="1:4" x14ac:dyDescent="0.25">
      <c r="A1030" s="19">
        <v>41178</v>
      </c>
      <c r="B1030" s="19" t="e">
        <f>VLOOKUP($A1030,Config!$B$6:$E$1862,2,FALSE)</f>
        <v>#N/A</v>
      </c>
      <c r="C1030" s="19" t="e">
        <f>VLOOKUP($A1030,Config!$B$6:$E$1862,3,FALSE)</f>
        <v>#N/A</v>
      </c>
      <c r="D1030" s="19" t="e">
        <f>VLOOKUP($A1030,Config!$B$6:$E$1862,4,FALSE)</f>
        <v>#N/A</v>
      </c>
    </row>
    <row r="1031" spans="1:4" x14ac:dyDescent="0.25">
      <c r="A1031" s="19">
        <v>41179</v>
      </c>
      <c r="B1031" s="19" t="e">
        <f>VLOOKUP($A1031,Config!$B$6:$E$1862,2,FALSE)</f>
        <v>#N/A</v>
      </c>
      <c r="C1031" s="19" t="e">
        <f>VLOOKUP($A1031,Config!$B$6:$E$1862,3,FALSE)</f>
        <v>#N/A</v>
      </c>
      <c r="D1031" s="19" t="e">
        <f>VLOOKUP($A1031,Config!$B$6:$E$1862,4,FALSE)</f>
        <v>#N/A</v>
      </c>
    </row>
    <row r="1032" spans="1:4" x14ac:dyDescent="0.25">
      <c r="A1032" s="19">
        <v>41180</v>
      </c>
      <c r="B1032" s="19" t="e">
        <f>VLOOKUP($A1032,Config!$B$6:$E$1862,2,FALSE)</f>
        <v>#N/A</v>
      </c>
      <c r="C1032" s="19" t="e">
        <f>VLOOKUP($A1032,Config!$B$6:$E$1862,3,FALSE)</f>
        <v>#N/A</v>
      </c>
      <c r="D1032" s="19" t="e">
        <f>VLOOKUP($A1032,Config!$B$6:$E$1862,4,FALSE)</f>
        <v>#N/A</v>
      </c>
    </row>
    <row r="1033" spans="1:4" x14ac:dyDescent="0.25">
      <c r="A1033" s="19">
        <v>41181</v>
      </c>
      <c r="B1033" s="19" t="e">
        <f>VLOOKUP($A1033,Config!$B$6:$E$1862,2,FALSE)</f>
        <v>#N/A</v>
      </c>
      <c r="C1033" s="19" t="e">
        <f>VLOOKUP($A1033,Config!$B$6:$E$1862,3,FALSE)</f>
        <v>#N/A</v>
      </c>
      <c r="D1033" s="19" t="e">
        <f>VLOOKUP($A1033,Config!$B$6:$E$1862,4,FALSE)</f>
        <v>#N/A</v>
      </c>
    </row>
    <row r="1034" spans="1:4" x14ac:dyDescent="0.25">
      <c r="A1034" s="19">
        <v>41182</v>
      </c>
      <c r="B1034" s="19" t="e">
        <f>VLOOKUP($A1034,Config!$B$6:$E$1862,2,FALSE)</f>
        <v>#N/A</v>
      </c>
      <c r="C1034" s="19" t="e">
        <f>VLOOKUP($A1034,Config!$B$6:$E$1862,3,FALSE)</f>
        <v>#N/A</v>
      </c>
      <c r="D1034" s="19" t="e">
        <f>VLOOKUP($A1034,Config!$B$6:$E$1862,4,FALSE)</f>
        <v>#N/A</v>
      </c>
    </row>
    <row r="1035" spans="1:4" x14ac:dyDescent="0.25">
      <c r="A1035" s="19">
        <v>41183</v>
      </c>
      <c r="B1035" s="19" t="e">
        <f>VLOOKUP($A1035,Config!$B$6:$E$1862,2,FALSE)</f>
        <v>#N/A</v>
      </c>
      <c r="C1035" s="19" t="e">
        <f>VLOOKUP($A1035,Config!$B$6:$E$1862,3,FALSE)</f>
        <v>#N/A</v>
      </c>
      <c r="D1035" s="19" t="e">
        <f>VLOOKUP($A1035,Config!$B$6:$E$1862,4,FALSE)</f>
        <v>#N/A</v>
      </c>
    </row>
    <row r="1036" spans="1:4" x14ac:dyDescent="0.25">
      <c r="A1036" s="19">
        <v>41184</v>
      </c>
      <c r="B1036" s="19" t="e">
        <f>VLOOKUP($A1036,Config!$B$6:$E$1862,2,FALSE)</f>
        <v>#N/A</v>
      </c>
      <c r="C1036" s="19" t="e">
        <f>VLOOKUP($A1036,Config!$B$6:$E$1862,3,FALSE)</f>
        <v>#N/A</v>
      </c>
      <c r="D1036" s="19" t="e">
        <f>VLOOKUP($A1036,Config!$B$6:$E$1862,4,FALSE)</f>
        <v>#N/A</v>
      </c>
    </row>
    <row r="1037" spans="1:4" x14ac:dyDescent="0.25">
      <c r="A1037" s="19">
        <v>41185</v>
      </c>
      <c r="B1037" s="19" t="e">
        <f>VLOOKUP($A1037,Config!$B$6:$E$1862,2,FALSE)</f>
        <v>#N/A</v>
      </c>
      <c r="C1037" s="19" t="e">
        <f>VLOOKUP($A1037,Config!$B$6:$E$1862,3,FALSE)</f>
        <v>#N/A</v>
      </c>
      <c r="D1037" s="19" t="e">
        <f>VLOOKUP($A1037,Config!$B$6:$E$1862,4,FALSE)</f>
        <v>#N/A</v>
      </c>
    </row>
    <row r="1038" spans="1:4" x14ac:dyDescent="0.25">
      <c r="A1038" s="19">
        <v>41186</v>
      </c>
      <c r="B1038" s="19" t="e">
        <f>VLOOKUP($A1038,Config!$B$6:$E$1862,2,FALSE)</f>
        <v>#N/A</v>
      </c>
      <c r="C1038" s="19" t="e">
        <f>VLOOKUP($A1038,Config!$B$6:$E$1862,3,FALSE)</f>
        <v>#N/A</v>
      </c>
      <c r="D1038" s="19" t="e">
        <f>VLOOKUP($A1038,Config!$B$6:$E$1862,4,FALSE)</f>
        <v>#N/A</v>
      </c>
    </row>
    <row r="1039" spans="1:4" x14ac:dyDescent="0.25">
      <c r="A1039" s="19">
        <v>41187</v>
      </c>
      <c r="B1039" s="19" t="e">
        <f>VLOOKUP($A1039,Config!$B$6:$E$1862,2,FALSE)</f>
        <v>#N/A</v>
      </c>
      <c r="C1039" s="19" t="e">
        <f>VLOOKUP($A1039,Config!$B$6:$E$1862,3,FALSE)</f>
        <v>#N/A</v>
      </c>
      <c r="D1039" s="19" t="e">
        <f>VLOOKUP($A1039,Config!$B$6:$E$1862,4,FALSE)</f>
        <v>#N/A</v>
      </c>
    </row>
    <row r="1040" spans="1:4" x14ac:dyDescent="0.25">
      <c r="A1040" s="19">
        <v>41188</v>
      </c>
      <c r="B1040" s="19" t="e">
        <f>VLOOKUP($A1040,Config!$B$6:$E$1862,2,FALSE)</f>
        <v>#N/A</v>
      </c>
      <c r="C1040" s="19" t="e">
        <f>VLOOKUP($A1040,Config!$B$6:$E$1862,3,FALSE)</f>
        <v>#N/A</v>
      </c>
      <c r="D1040" s="19" t="e">
        <f>VLOOKUP($A1040,Config!$B$6:$E$1862,4,FALSE)</f>
        <v>#N/A</v>
      </c>
    </row>
    <row r="1041" spans="1:4" x14ac:dyDescent="0.25">
      <c r="A1041" s="19">
        <v>41189</v>
      </c>
      <c r="B1041" s="19" t="e">
        <f>VLOOKUP($A1041,Config!$B$6:$E$1862,2,FALSE)</f>
        <v>#N/A</v>
      </c>
      <c r="C1041" s="19" t="e">
        <f>VLOOKUP($A1041,Config!$B$6:$E$1862,3,FALSE)</f>
        <v>#N/A</v>
      </c>
      <c r="D1041" s="19" t="e">
        <f>VLOOKUP($A1041,Config!$B$6:$E$1862,4,FALSE)</f>
        <v>#N/A</v>
      </c>
    </row>
    <row r="1042" spans="1:4" x14ac:dyDescent="0.25">
      <c r="A1042" s="19">
        <v>41190</v>
      </c>
      <c r="B1042" s="19" t="e">
        <f>VLOOKUP($A1042,Config!$B$6:$E$1862,2,FALSE)</f>
        <v>#N/A</v>
      </c>
      <c r="C1042" s="19" t="e">
        <f>VLOOKUP($A1042,Config!$B$6:$E$1862,3,FALSE)</f>
        <v>#N/A</v>
      </c>
      <c r="D1042" s="19" t="e">
        <f>VLOOKUP($A1042,Config!$B$6:$E$1862,4,FALSE)</f>
        <v>#N/A</v>
      </c>
    </row>
    <row r="1043" spans="1:4" x14ac:dyDescent="0.25">
      <c r="A1043" s="19">
        <v>41191</v>
      </c>
      <c r="B1043" s="19" t="e">
        <f>VLOOKUP($A1043,Config!$B$6:$E$1862,2,FALSE)</f>
        <v>#N/A</v>
      </c>
      <c r="C1043" s="19" t="e">
        <f>VLOOKUP($A1043,Config!$B$6:$E$1862,3,FALSE)</f>
        <v>#N/A</v>
      </c>
      <c r="D1043" s="19" t="e">
        <f>VLOOKUP($A1043,Config!$B$6:$E$1862,4,FALSE)</f>
        <v>#N/A</v>
      </c>
    </row>
    <row r="1044" spans="1:4" x14ac:dyDescent="0.25">
      <c r="A1044" s="19">
        <v>41192</v>
      </c>
      <c r="B1044" s="19" t="e">
        <f>VLOOKUP($A1044,Config!$B$6:$E$1862,2,FALSE)</f>
        <v>#N/A</v>
      </c>
      <c r="C1044" s="19" t="e">
        <f>VLOOKUP($A1044,Config!$B$6:$E$1862,3,FALSE)</f>
        <v>#N/A</v>
      </c>
      <c r="D1044" s="19" t="e">
        <f>VLOOKUP($A1044,Config!$B$6:$E$1862,4,FALSE)</f>
        <v>#N/A</v>
      </c>
    </row>
    <row r="1045" spans="1:4" x14ac:dyDescent="0.25">
      <c r="A1045" s="19">
        <v>41193</v>
      </c>
      <c r="B1045" s="19" t="e">
        <f>VLOOKUP($A1045,Config!$B$6:$E$1862,2,FALSE)</f>
        <v>#N/A</v>
      </c>
      <c r="C1045" s="19" t="e">
        <f>VLOOKUP($A1045,Config!$B$6:$E$1862,3,FALSE)</f>
        <v>#N/A</v>
      </c>
      <c r="D1045" s="19" t="e">
        <f>VLOOKUP($A1045,Config!$B$6:$E$1862,4,FALSE)</f>
        <v>#N/A</v>
      </c>
    </row>
    <row r="1046" spans="1:4" x14ac:dyDescent="0.25">
      <c r="A1046" s="19">
        <v>41194</v>
      </c>
      <c r="B1046" s="19" t="e">
        <f>VLOOKUP($A1046,Config!$B$6:$E$1862,2,FALSE)</f>
        <v>#N/A</v>
      </c>
      <c r="C1046" s="19" t="e">
        <f>VLOOKUP($A1046,Config!$B$6:$E$1862,3,FALSE)</f>
        <v>#N/A</v>
      </c>
      <c r="D1046" s="19" t="e">
        <f>VLOOKUP($A1046,Config!$B$6:$E$1862,4,FALSE)</f>
        <v>#N/A</v>
      </c>
    </row>
    <row r="1047" spans="1:4" x14ac:dyDescent="0.25">
      <c r="A1047" s="19">
        <v>41195</v>
      </c>
      <c r="B1047" s="19" t="e">
        <f>VLOOKUP($A1047,Config!$B$6:$E$1862,2,FALSE)</f>
        <v>#N/A</v>
      </c>
      <c r="C1047" s="19" t="e">
        <f>VLOOKUP($A1047,Config!$B$6:$E$1862,3,FALSE)</f>
        <v>#N/A</v>
      </c>
      <c r="D1047" s="19" t="e">
        <f>VLOOKUP($A1047,Config!$B$6:$E$1862,4,FALSE)</f>
        <v>#N/A</v>
      </c>
    </row>
    <row r="1048" spans="1:4" x14ac:dyDescent="0.25">
      <c r="A1048" s="19">
        <v>41196</v>
      </c>
      <c r="B1048" s="19" t="e">
        <f>VLOOKUP($A1048,Config!$B$6:$E$1862,2,FALSE)</f>
        <v>#N/A</v>
      </c>
      <c r="C1048" s="19" t="e">
        <f>VLOOKUP($A1048,Config!$B$6:$E$1862,3,FALSE)</f>
        <v>#N/A</v>
      </c>
      <c r="D1048" s="19" t="e">
        <f>VLOOKUP($A1048,Config!$B$6:$E$1862,4,FALSE)</f>
        <v>#N/A</v>
      </c>
    </row>
    <row r="1049" spans="1:4" x14ac:dyDescent="0.25">
      <c r="A1049" s="19">
        <v>41197</v>
      </c>
      <c r="B1049" s="19" t="e">
        <f>VLOOKUP($A1049,Config!$B$6:$E$1862,2,FALSE)</f>
        <v>#N/A</v>
      </c>
      <c r="C1049" s="19" t="e">
        <f>VLOOKUP($A1049,Config!$B$6:$E$1862,3,FALSE)</f>
        <v>#N/A</v>
      </c>
      <c r="D1049" s="19" t="e">
        <f>VLOOKUP($A1049,Config!$B$6:$E$1862,4,FALSE)</f>
        <v>#N/A</v>
      </c>
    </row>
    <row r="1050" spans="1:4" x14ac:dyDescent="0.25">
      <c r="A1050" s="19">
        <v>41198</v>
      </c>
      <c r="B1050" s="19" t="e">
        <f>VLOOKUP($A1050,Config!$B$6:$E$1862,2,FALSE)</f>
        <v>#N/A</v>
      </c>
      <c r="C1050" s="19" t="e">
        <f>VLOOKUP($A1050,Config!$B$6:$E$1862,3,FALSE)</f>
        <v>#N/A</v>
      </c>
      <c r="D1050" s="19" t="e">
        <f>VLOOKUP($A1050,Config!$B$6:$E$1862,4,FALSE)</f>
        <v>#N/A</v>
      </c>
    </row>
    <row r="1051" spans="1:4" x14ac:dyDescent="0.25">
      <c r="A1051" s="19">
        <v>41199</v>
      </c>
      <c r="B1051" s="19" t="e">
        <f>VLOOKUP($A1051,Config!$B$6:$E$1862,2,FALSE)</f>
        <v>#N/A</v>
      </c>
      <c r="C1051" s="19" t="e">
        <f>VLOOKUP($A1051,Config!$B$6:$E$1862,3,FALSE)</f>
        <v>#N/A</v>
      </c>
      <c r="D1051" s="19" t="e">
        <f>VLOOKUP($A1051,Config!$B$6:$E$1862,4,FALSE)</f>
        <v>#N/A</v>
      </c>
    </row>
    <row r="1052" spans="1:4" x14ac:dyDescent="0.25">
      <c r="A1052" s="19">
        <v>41200</v>
      </c>
      <c r="B1052" s="19" t="e">
        <f>VLOOKUP($A1052,Config!$B$6:$E$1862,2,FALSE)</f>
        <v>#N/A</v>
      </c>
      <c r="C1052" s="19" t="e">
        <f>VLOOKUP($A1052,Config!$B$6:$E$1862,3,FALSE)</f>
        <v>#N/A</v>
      </c>
      <c r="D1052" s="19" t="e">
        <f>VLOOKUP($A1052,Config!$B$6:$E$1862,4,FALSE)</f>
        <v>#N/A</v>
      </c>
    </row>
    <row r="1053" spans="1:4" x14ac:dyDescent="0.25">
      <c r="A1053" s="19">
        <v>41201</v>
      </c>
      <c r="B1053" s="19" t="e">
        <f>VLOOKUP($A1053,Config!$B$6:$E$1862,2,FALSE)</f>
        <v>#N/A</v>
      </c>
      <c r="C1053" s="19" t="e">
        <f>VLOOKUP($A1053,Config!$B$6:$E$1862,3,FALSE)</f>
        <v>#N/A</v>
      </c>
      <c r="D1053" s="19" t="e">
        <f>VLOOKUP($A1053,Config!$B$6:$E$1862,4,FALSE)</f>
        <v>#N/A</v>
      </c>
    </row>
    <row r="1054" spans="1:4" x14ac:dyDescent="0.25">
      <c r="A1054" s="19">
        <v>41202</v>
      </c>
      <c r="B1054" s="19" t="e">
        <f>VLOOKUP($A1054,Config!$B$6:$E$1862,2,FALSE)</f>
        <v>#N/A</v>
      </c>
      <c r="C1054" s="19" t="e">
        <f>VLOOKUP($A1054,Config!$B$6:$E$1862,3,FALSE)</f>
        <v>#N/A</v>
      </c>
      <c r="D1054" s="19" t="e">
        <f>VLOOKUP($A1054,Config!$B$6:$E$1862,4,FALSE)</f>
        <v>#N/A</v>
      </c>
    </row>
    <row r="1055" spans="1:4" x14ac:dyDescent="0.25">
      <c r="A1055" s="19">
        <v>41203</v>
      </c>
      <c r="B1055" s="19" t="e">
        <f>VLOOKUP($A1055,Config!$B$6:$E$1862,2,FALSE)</f>
        <v>#N/A</v>
      </c>
      <c r="C1055" s="19" t="e">
        <f>VLOOKUP($A1055,Config!$B$6:$E$1862,3,FALSE)</f>
        <v>#N/A</v>
      </c>
      <c r="D1055" s="19" t="e">
        <f>VLOOKUP($A1055,Config!$B$6:$E$1862,4,FALSE)</f>
        <v>#N/A</v>
      </c>
    </row>
    <row r="1056" spans="1:4" x14ac:dyDescent="0.25">
      <c r="A1056" s="19">
        <v>41204</v>
      </c>
      <c r="B1056" s="19" t="e">
        <f>VLOOKUP($A1056,Config!$B$6:$E$1862,2,FALSE)</f>
        <v>#N/A</v>
      </c>
      <c r="C1056" s="19" t="e">
        <f>VLOOKUP($A1056,Config!$B$6:$E$1862,3,FALSE)</f>
        <v>#N/A</v>
      </c>
      <c r="D1056" s="19" t="e">
        <f>VLOOKUP($A1056,Config!$B$6:$E$1862,4,FALSE)</f>
        <v>#N/A</v>
      </c>
    </row>
    <row r="1057" spans="1:4" x14ac:dyDescent="0.25">
      <c r="A1057" s="19">
        <v>41205</v>
      </c>
      <c r="B1057" s="19" t="e">
        <f>VLOOKUP($A1057,Config!$B$6:$E$1862,2,FALSE)</f>
        <v>#N/A</v>
      </c>
      <c r="C1057" s="19" t="e">
        <f>VLOOKUP($A1057,Config!$B$6:$E$1862,3,FALSE)</f>
        <v>#N/A</v>
      </c>
      <c r="D1057" s="19" t="e">
        <f>VLOOKUP($A1057,Config!$B$6:$E$1862,4,FALSE)</f>
        <v>#N/A</v>
      </c>
    </row>
    <row r="1058" spans="1:4" x14ac:dyDescent="0.25">
      <c r="A1058" s="19">
        <v>41206</v>
      </c>
      <c r="B1058" s="19" t="e">
        <f>VLOOKUP($A1058,Config!$B$6:$E$1862,2,FALSE)</f>
        <v>#N/A</v>
      </c>
      <c r="C1058" s="19" t="e">
        <f>VLOOKUP($A1058,Config!$B$6:$E$1862,3,FALSE)</f>
        <v>#N/A</v>
      </c>
      <c r="D1058" s="19" t="e">
        <f>VLOOKUP($A1058,Config!$B$6:$E$1862,4,FALSE)</f>
        <v>#N/A</v>
      </c>
    </row>
    <row r="1059" spans="1:4" x14ac:dyDescent="0.25">
      <c r="A1059" s="19">
        <v>41207</v>
      </c>
      <c r="B1059" s="19" t="e">
        <f>VLOOKUP($A1059,Config!$B$6:$E$1862,2,FALSE)</f>
        <v>#N/A</v>
      </c>
      <c r="C1059" s="19" t="e">
        <f>VLOOKUP($A1059,Config!$B$6:$E$1862,3,FALSE)</f>
        <v>#N/A</v>
      </c>
      <c r="D1059" s="19" t="e">
        <f>VLOOKUP($A1059,Config!$B$6:$E$1862,4,FALSE)</f>
        <v>#N/A</v>
      </c>
    </row>
    <row r="1060" spans="1:4" x14ac:dyDescent="0.25">
      <c r="A1060" s="19">
        <v>41208</v>
      </c>
      <c r="B1060" s="19" t="e">
        <f>VLOOKUP($A1060,Config!$B$6:$E$1862,2,FALSE)</f>
        <v>#N/A</v>
      </c>
      <c r="C1060" s="19" t="e">
        <f>VLOOKUP($A1060,Config!$B$6:$E$1862,3,FALSE)</f>
        <v>#N/A</v>
      </c>
      <c r="D1060" s="19" t="e">
        <f>VLOOKUP($A1060,Config!$B$6:$E$1862,4,FALSE)</f>
        <v>#N/A</v>
      </c>
    </row>
    <row r="1061" spans="1:4" x14ac:dyDescent="0.25">
      <c r="A1061" s="19">
        <v>41209</v>
      </c>
      <c r="B1061" s="19" t="e">
        <f>VLOOKUP($A1061,Config!$B$6:$E$1862,2,FALSE)</f>
        <v>#N/A</v>
      </c>
      <c r="C1061" s="19" t="e">
        <f>VLOOKUP($A1061,Config!$B$6:$E$1862,3,FALSE)</f>
        <v>#N/A</v>
      </c>
      <c r="D1061" s="19" t="e">
        <f>VLOOKUP($A1061,Config!$B$6:$E$1862,4,FALSE)</f>
        <v>#N/A</v>
      </c>
    </row>
    <row r="1062" spans="1:4" x14ac:dyDescent="0.25">
      <c r="A1062" s="19">
        <v>41210</v>
      </c>
      <c r="B1062" s="19" t="e">
        <f>VLOOKUP($A1062,Config!$B$6:$E$1862,2,FALSE)</f>
        <v>#N/A</v>
      </c>
      <c r="C1062" s="19" t="e">
        <f>VLOOKUP($A1062,Config!$B$6:$E$1862,3,FALSE)</f>
        <v>#N/A</v>
      </c>
      <c r="D1062" s="19" t="e">
        <f>VLOOKUP($A1062,Config!$B$6:$E$1862,4,FALSE)</f>
        <v>#N/A</v>
      </c>
    </row>
    <row r="1063" spans="1:4" x14ac:dyDescent="0.25">
      <c r="A1063" s="19">
        <v>41211</v>
      </c>
      <c r="B1063" s="19" t="e">
        <f>VLOOKUP($A1063,Config!$B$6:$E$1862,2,FALSE)</f>
        <v>#N/A</v>
      </c>
      <c r="C1063" s="19" t="e">
        <f>VLOOKUP($A1063,Config!$B$6:$E$1862,3,FALSE)</f>
        <v>#N/A</v>
      </c>
      <c r="D1063" s="19" t="e">
        <f>VLOOKUP($A1063,Config!$B$6:$E$1862,4,FALSE)</f>
        <v>#N/A</v>
      </c>
    </row>
    <row r="1064" spans="1:4" x14ac:dyDescent="0.25">
      <c r="A1064" s="19">
        <v>41212</v>
      </c>
      <c r="B1064" s="19" t="e">
        <f>VLOOKUP($A1064,Config!$B$6:$E$1862,2,FALSE)</f>
        <v>#N/A</v>
      </c>
      <c r="C1064" s="19" t="e">
        <f>VLOOKUP($A1064,Config!$B$6:$E$1862,3,FALSE)</f>
        <v>#N/A</v>
      </c>
      <c r="D1064" s="19" t="e">
        <f>VLOOKUP($A1064,Config!$B$6:$E$1862,4,FALSE)</f>
        <v>#N/A</v>
      </c>
    </row>
    <row r="1065" spans="1:4" x14ac:dyDescent="0.25">
      <c r="A1065" s="19">
        <v>41213</v>
      </c>
      <c r="B1065" s="19" t="e">
        <f>VLOOKUP($A1065,Config!$B$6:$E$1862,2,FALSE)</f>
        <v>#N/A</v>
      </c>
      <c r="C1065" s="19" t="e">
        <f>VLOOKUP($A1065,Config!$B$6:$E$1862,3,FALSE)</f>
        <v>#N/A</v>
      </c>
      <c r="D1065" s="19" t="e">
        <f>VLOOKUP($A1065,Config!$B$6:$E$1862,4,FALSE)</f>
        <v>#N/A</v>
      </c>
    </row>
    <row r="1066" spans="1:4" x14ac:dyDescent="0.25">
      <c r="A1066" s="19">
        <v>41214</v>
      </c>
      <c r="B1066" s="19" t="e">
        <f>VLOOKUP($A1066,Config!$B$6:$E$1862,2,FALSE)</f>
        <v>#N/A</v>
      </c>
      <c r="C1066" s="19" t="e">
        <f>VLOOKUP($A1066,Config!$B$6:$E$1862,3,FALSE)</f>
        <v>#N/A</v>
      </c>
      <c r="D1066" s="19" t="e">
        <f>VLOOKUP($A1066,Config!$B$6:$E$1862,4,FALSE)</f>
        <v>#N/A</v>
      </c>
    </row>
    <row r="1067" spans="1:4" x14ac:dyDescent="0.25">
      <c r="A1067" s="19">
        <v>41215</v>
      </c>
      <c r="B1067" s="19" t="e">
        <f>VLOOKUP($A1067,Config!$B$6:$E$1862,2,FALSE)</f>
        <v>#N/A</v>
      </c>
      <c r="C1067" s="19" t="e">
        <f>VLOOKUP($A1067,Config!$B$6:$E$1862,3,FALSE)</f>
        <v>#N/A</v>
      </c>
      <c r="D1067" s="19" t="e">
        <f>VLOOKUP($A1067,Config!$B$6:$E$1862,4,FALSE)</f>
        <v>#N/A</v>
      </c>
    </row>
    <row r="1068" spans="1:4" x14ac:dyDescent="0.25">
      <c r="A1068" s="19">
        <v>41216</v>
      </c>
      <c r="B1068" s="19" t="e">
        <f>VLOOKUP($A1068,Config!$B$6:$E$1862,2,FALSE)</f>
        <v>#N/A</v>
      </c>
      <c r="C1068" s="19" t="e">
        <f>VLOOKUP($A1068,Config!$B$6:$E$1862,3,FALSE)</f>
        <v>#N/A</v>
      </c>
      <c r="D1068" s="19" t="e">
        <f>VLOOKUP($A1068,Config!$B$6:$E$1862,4,FALSE)</f>
        <v>#N/A</v>
      </c>
    </row>
    <row r="1069" spans="1:4" x14ac:dyDescent="0.25">
      <c r="A1069" s="19">
        <v>41217</v>
      </c>
      <c r="B1069" s="19" t="e">
        <f>VLOOKUP($A1069,Config!$B$6:$E$1862,2,FALSE)</f>
        <v>#N/A</v>
      </c>
      <c r="C1069" s="19" t="e">
        <f>VLOOKUP($A1069,Config!$B$6:$E$1862,3,FALSE)</f>
        <v>#N/A</v>
      </c>
      <c r="D1069" s="19" t="e">
        <f>VLOOKUP($A1069,Config!$B$6:$E$1862,4,FALSE)</f>
        <v>#N/A</v>
      </c>
    </row>
    <row r="1070" spans="1:4" x14ac:dyDescent="0.25">
      <c r="A1070" s="19">
        <v>41218</v>
      </c>
      <c r="B1070" s="19" t="e">
        <f>VLOOKUP($A1070,Config!$B$6:$E$1862,2,FALSE)</f>
        <v>#N/A</v>
      </c>
      <c r="C1070" s="19" t="e">
        <f>VLOOKUP($A1070,Config!$B$6:$E$1862,3,FALSE)</f>
        <v>#N/A</v>
      </c>
      <c r="D1070" s="19" t="e">
        <f>VLOOKUP($A1070,Config!$B$6:$E$1862,4,FALSE)</f>
        <v>#N/A</v>
      </c>
    </row>
    <row r="1071" spans="1:4" x14ac:dyDescent="0.25">
      <c r="A1071" s="19">
        <v>41219</v>
      </c>
      <c r="B1071" s="19" t="e">
        <f>VLOOKUP($A1071,Config!$B$6:$E$1862,2,FALSE)</f>
        <v>#N/A</v>
      </c>
      <c r="C1071" s="19" t="e">
        <f>VLOOKUP($A1071,Config!$B$6:$E$1862,3,FALSE)</f>
        <v>#N/A</v>
      </c>
      <c r="D1071" s="19" t="e">
        <f>VLOOKUP($A1071,Config!$B$6:$E$1862,4,FALSE)</f>
        <v>#N/A</v>
      </c>
    </row>
    <row r="1072" spans="1:4" x14ac:dyDescent="0.25">
      <c r="A1072" s="19">
        <v>41220</v>
      </c>
      <c r="B1072" s="19" t="e">
        <f>VLOOKUP($A1072,Config!$B$6:$E$1862,2,FALSE)</f>
        <v>#N/A</v>
      </c>
      <c r="C1072" s="19" t="e">
        <f>VLOOKUP($A1072,Config!$B$6:$E$1862,3,FALSE)</f>
        <v>#N/A</v>
      </c>
      <c r="D1072" s="19" t="e">
        <f>VLOOKUP($A1072,Config!$B$6:$E$1862,4,FALSE)</f>
        <v>#N/A</v>
      </c>
    </row>
    <row r="1073" spans="1:4" x14ac:dyDescent="0.25">
      <c r="A1073" s="19">
        <v>41221</v>
      </c>
      <c r="B1073" s="19" t="e">
        <f>VLOOKUP($A1073,Config!$B$6:$E$1862,2,FALSE)</f>
        <v>#N/A</v>
      </c>
      <c r="C1073" s="19" t="e">
        <f>VLOOKUP($A1073,Config!$B$6:$E$1862,3,FALSE)</f>
        <v>#N/A</v>
      </c>
      <c r="D1073" s="19" t="e">
        <f>VLOOKUP($A1073,Config!$B$6:$E$1862,4,FALSE)</f>
        <v>#N/A</v>
      </c>
    </row>
    <row r="1074" spans="1:4" x14ac:dyDescent="0.25">
      <c r="A1074" s="19">
        <v>41222</v>
      </c>
      <c r="B1074" s="19" t="e">
        <f>VLOOKUP($A1074,Config!$B$6:$E$1862,2,FALSE)</f>
        <v>#N/A</v>
      </c>
      <c r="C1074" s="19" t="e">
        <f>VLOOKUP($A1074,Config!$B$6:$E$1862,3,FALSE)</f>
        <v>#N/A</v>
      </c>
      <c r="D1074" s="19" t="e">
        <f>VLOOKUP($A1074,Config!$B$6:$E$1862,4,FALSE)</f>
        <v>#N/A</v>
      </c>
    </row>
    <row r="1075" spans="1:4" x14ac:dyDescent="0.25">
      <c r="A1075" s="19">
        <v>41223</v>
      </c>
      <c r="B1075" s="19" t="e">
        <f>VLOOKUP($A1075,Config!$B$6:$E$1862,2,FALSE)</f>
        <v>#N/A</v>
      </c>
      <c r="C1075" s="19" t="e">
        <f>VLOOKUP($A1075,Config!$B$6:$E$1862,3,FALSE)</f>
        <v>#N/A</v>
      </c>
      <c r="D1075" s="19" t="e">
        <f>VLOOKUP($A1075,Config!$B$6:$E$1862,4,FALSE)</f>
        <v>#N/A</v>
      </c>
    </row>
    <row r="1076" spans="1:4" x14ac:dyDescent="0.25">
      <c r="A1076" s="19">
        <v>41224</v>
      </c>
      <c r="B1076" s="19" t="e">
        <f>VLOOKUP($A1076,Config!$B$6:$E$1862,2,FALSE)</f>
        <v>#N/A</v>
      </c>
      <c r="C1076" s="19" t="e">
        <f>VLOOKUP($A1076,Config!$B$6:$E$1862,3,FALSE)</f>
        <v>#N/A</v>
      </c>
      <c r="D1076" s="19" t="e">
        <f>VLOOKUP($A1076,Config!$B$6:$E$1862,4,FALSE)</f>
        <v>#N/A</v>
      </c>
    </row>
    <row r="1077" spans="1:4" x14ac:dyDescent="0.25">
      <c r="A1077" s="19">
        <v>41225</v>
      </c>
      <c r="B1077" s="19" t="e">
        <f>VLOOKUP($A1077,Config!$B$6:$E$1862,2,FALSE)</f>
        <v>#N/A</v>
      </c>
      <c r="C1077" s="19" t="e">
        <f>VLOOKUP($A1077,Config!$B$6:$E$1862,3,FALSE)</f>
        <v>#N/A</v>
      </c>
      <c r="D1077" s="19" t="e">
        <f>VLOOKUP($A1077,Config!$B$6:$E$1862,4,FALSE)</f>
        <v>#N/A</v>
      </c>
    </row>
    <row r="1078" spans="1:4" x14ac:dyDescent="0.25">
      <c r="A1078" s="19">
        <v>41226</v>
      </c>
      <c r="B1078" s="19" t="e">
        <f>VLOOKUP($A1078,Config!$B$6:$E$1862,2,FALSE)</f>
        <v>#N/A</v>
      </c>
      <c r="C1078" s="19" t="e">
        <f>VLOOKUP($A1078,Config!$B$6:$E$1862,3,FALSE)</f>
        <v>#N/A</v>
      </c>
      <c r="D1078" s="19" t="e">
        <f>VLOOKUP($A1078,Config!$B$6:$E$1862,4,FALSE)</f>
        <v>#N/A</v>
      </c>
    </row>
    <row r="1079" spans="1:4" x14ac:dyDescent="0.25">
      <c r="A1079" s="19">
        <v>41227</v>
      </c>
      <c r="B1079" s="19" t="e">
        <f>VLOOKUP($A1079,Config!$B$6:$E$1862,2,FALSE)</f>
        <v>#N/A</v>
      </c>
      <c r="C1079" s="19" t="e">
        <f>VLOOKUP($A1079,Config!$B$6:$E$1862,3,FALSE)</f>
        <v>#N/A</v>
      </c>
      <c r="D1079" s="19" t="e">
        <f>VLOOKUP($A1079,Config!$B$6:$E$1862,4,FALSE)</f>
        <v>#N/A</v>
      </c>
    </row>
    <row r="1080" spans="1:4" x14ac:dyDescent="0.25">
      <c r="A1080" s="19">
        <v>41228</v>
      </c>
      <c r="B1080" s="19" t="e">
        <f>VLOOKUP($A1080,Config!$B$6:$E$1862,2,FALSE)</f>
        <v>#N/A</v>
      </c>
      <c r="C1080" s="19" t="e">
        <f>VLOOKUP($A1080,Config!$B$6:$E$1862,3,FALSE)</f>
        <v>#N/A</v>
      </c>
      <c r="D1080" s="19" t="e">
        <f>VLOOKUP($A1080,Config!$B$6:$E$1862,4,FALSE)</f>
        <v>#N/A</v>
      </c>
    </row>
    <row r="1081" spans="1:4" x14ac:dyDescent="0.25">
      <c r="A1081" s="19">
        <v>41229</v>
      </c>
      <c r="B1081" s="19" t="e">
        <f>VLOOKUP($A1081,Config!$B$6:$E$1862,2,FALSE)</f>
        <v>#N/A</v>
      </c>
      <c r="C1081" s="19" t="e">
        <f>VLOOKUP($A1081,Config!$B$6:$E$1862,3,FALSE)</f>
        <v>#N/A</v>
      </c>
      <c r="D1081" s="19" t="e">
        <f>VLOOKUP($A1081,Config!$B$6:$E$1862,4,FALSE)</f>
        <v>#N/A</v>
      </c>
    </row>
    <row r="1082" spans="1:4" x14ac:dyDescent="0.25">
      <c r="A1082" s="19">
        <v>41230</v>
      </c>
      <c r="B1082" s="19" t="e">
        <f>VLOOKUP($A1082,Config!$B$6:$E$1862,2,FALSE)</f>
        <v>#N/A</v>
      </c>
      <c r="C1082" s="19" t="e">
        <f>VLOOKUP($A1082,Config!$B$6:$E$1862,3,FALSE)</f>
        <v>#N/A</v>
      </c>
      <c r="D1082" s="19" t="e">
        <f>VLOOKUP($A1082,Config!$B$6:$E$1862,4,FALSE)</f>
        <v>#N/A</v>
      </c>
    </row>
    <row r="1083" spans="1:4" x14ac:dyDescent="0.25">
      <c r="A1083" s="19">
        <v>41231</v>
      </c>
      <c r="B1083" s="19" t="e">
        <f>VLOOKUP($A1083,Config!$B$6:$E$1862,2,FALSE)</f>
        <v>#N/A</v>
      </c>
      <c r="C1083" s="19" t="e">
        <f>VLOOKUP($A1083,Config!$B$6:$E$1862,3,FALSE)</f>
        <v>#N/A</v>
      </c>
      <c r="D1083" s="19" t="e">
        <f>VLOOKUP($A1083,Config!$B$6:$E$1862,4,FALSE)</f>
        <v>#N/A</v>
      </c>
    </row>
    <row r="1084" spans="1:4" x14ac:dyDescent="0.25">
      <c r="A1084" s="19">
        <v>41232</v>
      </c>
      <c r="B1084" s="19" t="e">
        <f>VLOOKUP($A1084,Config!$B$6:$E$1862,2,FALSE)</f>
        <v>#N/A</v>
      </c>
      <c r="C1084" s="19" t="e">
        <f>VLOOKUP($A1084,Config!$B$6:$E$1862,3,FALSE)</f>
        <v>#N/A</v>
      </c>
      <c r="D1084" s="19" t="e">
        <f>VLOOKUP($A1084,Config!$B$6:$E$1862,4,FALSE)</f>
        <v>#N/A</v>
      </c>
    </row>
    <row r="1085" spans="1:4" x14ac:dyDescent="0.25">
      <c r="A1085" s="19">
        <v>41233</v>
      </c>
      <c r="B1085" s="19" t="e">
        <f>VLOOKUP($A1085,Config!$B$6:$E$1862,2,FALSE)</f>
        <v>#N/A</v>
      </c>
      <c r="C1085" s="19" t="e">
        <f>VLOOKUP($A1085,Config!$B$6:$E$1862,3,FALSE)</f>
        <v>#N/A</v>
      </c>
      <c r="D1085" s="19" t="e">
        <f>VLOOKUP($A1085,Config!$B$6:$E$1862,4,FALSE)</f>
        <v>#N/A</v>
      </c>
    </row>
    <row r="1086" spans="1:4" x14ac:dyDescent="0.25">
      <c r="A1086" s="19">
        <v>41234</v>
      </c>
      <c r="B1086" s="19" t="e">
        <f>VLOOKUP($A1086,Config!$B$6:$E$1862,2,FALSE)</f>
        <v>#N/A</v>
      </c>
      <c r="C1086" s="19" t="e">
        <f>VLOOKUP($A1086,Config!$B$6:$E$1862,3,FALSE)</f>
        <v>#N/A</v>
      </c>
      <c r="D1086" s="19" t="e">
        <f>VLOOKUP($A1086,Config!$B$6:$E$1862,4,FALSE)</f>
        <v>#N/A</v>
      </c>
    </row>
    <row r="1087" spans="1:4" x14ac:dyDescent="0.25">
      <c r="A1087" s="19">
        <v>41235</v>
      </c>
      <c r="B1087" s="19" t="e">
        <f>VLOOKUP($A1087,Config!$B$6:$E$1862,2,FALSE)</f>
        <v>#N/A</v>
      </c>
      <c r="C1087" s="19" t="e">
        <f>VLOOKUP($A1087,Config!$B$6:$E$1862,3,FALSE)</f>
        <v>#N/A</v>
      </c>
      <c r="D1087" s="19" t="e">
        <f>VLOOKUP($A1087,Config!$B$6:$E$1862,4,FALSE)</f>
        <v>#N/A</v>
      </c>
    </row>
    <row r="1088" spans="1:4" x14ac:dyDescent="0.25">
      <c r="A1088" s="19">
        <v>41236</v>
      </c>
      <c r="B1088" s="19" t="e">
        <f>VLOOKUP($A1088,Config!$B$6:$E$1862,2,FALSE)</f>
        <v>#N/A</v>
      </c>
      <c r="C1088" s="19" t="e">
        <f>VLOOKUP($A1088,Config!$B$6:$E$1862,3,FALSE)</f>
        <v>#N/A</v>
      </c>
      <c r="D1088" s="19" t="e">
        <f>VLOOKUP($A1088,Config!$B$6:$E$1862,4,FALSE)</f>
        <v>#N/A</v>
      </c>
    </row>
    <row r="1089" spans="1:4" x14ac:dyDescent="0.25">
      <c r="A1089" s="19">
        <v>41237</v>
      </c>
      <c r="B1089" s="19" t="e">
        <f>VLOOKUP($A1089,Config!$B$6:$E$1862,2,FALSE)</f>
        <v>#N/A</v>
      </c>
      <c r="C1089" s="19" t="e">
        <f>VLOOKUP($A1089,Config!$B$6:$E$1862,3,FALSE)</f>
        <v>#N/A</v>
      </c>
      <c r="D1089" s="19" t="e">
        <f>VLOOKUP($A1089,Config!$B$6:$E$1862,4,FALSE)</f>
        <v>#N/A</v>
      </c>
    </row>
    <row r="1090" spans="1:4" x14ac:dyDescent="0.25">
      <c r="A1090" s="19">
        <v>41238</v>
      </c>
      <c r="B1090" s="19" t="e">
        <f>VLOOKUP($A1090,Config!$B$6:$E$1862,2,FALSE)</f>
        <v>#N/A</v>
      </c>
      <c r="C1090" s="19" t="e">
        <f>VLOOKUP($A1090,Config!$B$6:$E$1862,3,FALSE)</f>
        <v>#N/A</v>
      </c>
      <c r="D1090" s="19" t="e">
        <f>VLOOKUP($A1090,Config!$B$6:$E$1862,4,FALSE)</f>
        <v>#N/A</v>
      </c>
    </row>
    <row r="1091" spans="1:4" x14ac:dyDescent="0.25">
      <c r="A1091" s="19">
        <v>41239</v>
      </c>
      <c r="B1091" s="19" t="e">
        <f>VLOOKUP($A1091,Config!$B$6:$E$1862,2,FALSE)</f>
        <v>#N/A</v>
      </c>
      <c r="C1091" s="19" t="e">
        <f>VLOOKUP($A1091,Config!$B$6:$E$1862,3,FALSE)</f>
        <v>#N/A</v>
      </c>
      <c r="D1091" s="19" t="e">
        <f>VLOOKUP($A1091,Config!$B$6:$E$1862,4,FALSE)</f>
        <v>#N/A</v>
      </c>
    </row>
    <row r="1092" spans="1:4" x14ac:dyDescent="0.25">
      <c r="A1092" s="19">
        <v>41240</v>
      </c>
      <c r="B1092" s="19" t="e">
        <f>VLOOKUP($A1092,Config!$B$6:$E$1862,2,FALSE)</f>
        <v>#N/A</v>
      </c>
      <c r="C1092" s="19" t="e">
        <f>VLOOKUP($A1092,Config!$B$6:$E$1862,3,FALSE)</f>
        <v>#N/A</v>
      </c>
      <c r="D1092" s="19" t="e">
        <f>VLOOKUP($A1092,Config!$B$6:$E$1862,4,FALSE)</f>
        <v>#N/A</v>
      </c>
    </row>
    <row r="1093" spans="1:4" x14ac:dyDescent="0.25">
      <c r="A1093" s="19">
        <v>41241</v>
      </c>
      <c r="B1093" s="19" t="e">
        <f>VLOOKUP($A1093,Config!$B$6:$E$1862,2,FALSE)</f>
        <v>#N/A</v>
      </c>
      <c r="C1093" s="19" t="e">
        <f>VLOOKUP($A1093,Config!$B$6:$E$1862,3,FALSE)</f>
        <v>#N/A</v>
      </c>
      <c r="D1093" s="19" t="e">
        <f>VLOOKUP($A1093,Config!$B$6:$E$1862,4,FALSE)</f>
        <v>#N/A</v>
      </c>
    </row>
    <row r="1094" spans="1:4" x14ac:dyDescent="0.25">
      <c r="A1094" s="19">
        <v>41242</v>
      </c>
      <c r="B1094" s="19" t="e">
        <f>VLOOKUP($A1094,Config!$B$6:$E$1862,2,FALSE)</f>
        <v>#N/A</v>
      </c>
      <c r="C1094" s="19" t="e">
        <f>VLOOKUP($A1094,Config!$B$6:$E$1862,3,FALSE)</f>
        <v>#N/A</v>
      </c>
      <c r="D1094" s="19" t="e">
        <f>VLOOKUP($A1094,Config!$B$6:$E$1862,4,FALSE)</f>
        <v>#N/A</v>
      </c>
    </row>
    <row r="1095" spans="1:4" x14ac:dyDescent="0.25">
      <c r="A1095" s="19">
        <v>41243</v>
      </c>
      <c r="B1095" s="19" t="e">
        <f>VLOOKUP($A1095,Config!$B$6:$E$1862,2,FALSE)</f>
        <v>#N/A</v>
      </c>
      <c r="C1095" s="19" t="e">
        <f>VLOOKUP($A1095,Config!$B$6:$E$1862,3,FALSE)</f>
        <v>#N/A</v>
      </c>
      <c r="D1095" s="19" t="e">
        <f>VLOOKUP($A1095,Config!$B$6:$E$1862,4,FALSE)</f>
        <v>#N/A</v>
      </c>
    </row>
    <row r="1096" spans="1:4" x14ac:dyDescent="0.25">
      <c r="A1096" s="19">
        <v>41244</v>
      </c>
      <c r="B1096" s="19" t="e">
        <f>VLOOKUP($A1096,Config!$B$6:$E$1862,2,FALSE)</f>
        <v>#N/A</v>
      </c>
      <c r="C1096" s="19" t="e">
        <f>VLOOKUP($A1096,Config!$B$6:$E$1862,3,FALSE)</f>
        <v>#N/A</v>
      </c>
      <c r="D1096" s="19" t="e">
        <f>VLOOKUP($A1096,Config!$B$6:$E$1862,4,FALSE)</f>
        <v>#N/A</v>
      </c>
    </row>
    <row r="1097" spans="1:4" x14ac:dyDescent="0.25">
      <c r="A1097" s="19">
        <v>41245</v>
      </c>
      <c r="B1097" s="19" t="e">
        <f>VLOOKUP($A1097,Config!$B$6:$E$1862,2,FALSE)</f>
        <v>#N/A</v>
      </c>
      <c r="C1097" s="19" t="e">
        <f>VLOOKUP($A1097,Config!$B$6:$E$1862,3,FALSE)</f>
        <v>#N/A</v>
      </c>
      <c r="D1097" s="19" t="e">
        <f>VLOOKUP($A1097,Config!$B$6:$E$1862,4,FALSE)</f>
        <v>#N/A</v>
      </c>
    </row>
    <row r="1098" spans="1:4" x14ac:dyDescent="0.25">
      <c r="A1098" s="19">
        <v>41246</v>
      </c>
      <c r="B1098" s="19" t="e">
        <f>VLOOKUP($A1098,Config!$B$6:$E$1862,2,FALSE)</f>
        <v>#N/A</v>
      </c>
      <c r="C1098" s="19" t="e">
        <f>VLOOKUP($A1098,Config!$B$6:$E$1862,3,FALSE)</f>
        <v>#N/A</v>
      </c>
      <c r="D1098" s="19" t="e">
        <f>VLOOKUP($A1098,Config!$B$6:$E$1862,4,FALSE)</f>
        <v>#N/A</v>
      </c>
    </row>
    <row r="1099" spans="1:4" x14ac:dyDescent="0.25">
      <c r="A1099" s="19">
        <v>41247</v>
      </c>
      <c r="B1099" s="19" t="e">
        <f>VLOOKUP($A1099,Config!$B$6:$E$1862,2,FALSE)</f>
        <v>#N/A</v>
      </c>
      <c r="C1099" s="19" t="e">
        <f>VLOOKUP($A1099,Config!$B$6:$E$1862,3,FALSE)</f>
        <v>#N/A</v>
      </c>
      <c r="D1099" s="19" t="e">
        <f>VLOOKUP($A1099,Config!$B$6:$E$1862,4,FALSE)</f>
        <v>#N/A</v>
      </c>
    </row>
    <row r="1100" spans="1:4" x14ac:dyDescent="0.25">
      <c r="A1100" s="19">
        <v>41248</v>
      </c>
      <c r="B1100" s="19" t="e">
        <f>VLOOKUP($A1100,Config!$B$6:$E$1862,2,FALSE)</f>
        <v>#N/A</v>
      </c>
      <c r="C1100" s="19" t="e">
        <f>VLOOKUP($A1100,Config!$B$6:$E$1862,3,FALSE)</f>
        <v>#N/A</v>
      </c>
      <c r="D1100" s="19" t="e">
        <f>VLOOKUP($A1100,Config!$B$6:$E$1862,4,FALSE)</f>
        <v>#N/A</v>
      </c>
    </row>
    <row r="1101" spans="1:4" x14ac:dyDescent="0.25">
      <c r="A1101" s="19">
        <v>41249</v>
      </c>
      <c r="B1101" s="19" t="e">
        <f>VLOOKUP($A1101,Config!$B$6:$E$1862,2,FALSE)</f>
        <v>#N/A</v>
      </c>
      <c r="C1101" s="19" t="e">
        <f>VLOOKUP($A1101,Config!$B$6:$E$1862,3,FALSE)</f>
        <v>#N/A</v>
      </c>
      <c r="D1101" s="19" t="e">
        <f>VLOOKUP($A1101,Config!$B$6:$E$1862,4,FALSE)</f>
        <v>#N/A</v>
      </c>
    </row>
    <row r="1102" spans="1:4" x14ac:dyDescent="0.25">
      <c r="A1102" s="19">
        <v>41250</v>
      </c>
      <c r="B1102" s="19" t="e">
        <f>VLOOKUP($A1102,Config!$B$6:$E$1862,2,FALSE)</f>
        <v>#N/A</v>
      </c>
      <c r="C1102" s="19" t="e">
        <f>VLOOKUP($A1102,Config!$B$6:$E$1862,3,FALSE)</f>
        <v>#N/A</v>
      </c>
      <c r="D1102" s="19" t="e">
        <f>VLOOKUP($A1102,Config!$B$6:$E$1862,4,FALSE)</f>
        <v>#N/A</v>
      </c>
    </row>
    <row r="1103" spans="1:4" x14ac:dyDescent="0.25">
      <c r="A1103" s="19">
        <v>41251</v>
      </c>
      <c r="B1103" s="19" t="e">
        <f>VLOOKUP($A1103,Config!$B$6:$E$1862,2,FALSE)</f>
        <v>#N/A</v>
      </c>
      <c r="C1103" s="19" t="e">
        <f>VLOOKUP($A1103,Config!$B$6:$E$1862,3,FALSE)</f>
        <v>#N/A</v>
      </c>
      <c r="D1103" s="19" t="e">
        <f>VLOOKUP($A1103,Config!$B$6:$E$1862,4,FALSE)</f>
        <v>#N/A</v>
      </c>
    </row>
    <row r="1104" spans="1:4" x14ac:dyDescent="0.25">
      <c r="A1104" s="19">
        <v>41252</v>
      </c>
      <c r="B1104" s="19" t="e">
        <f>VLOOKUP($A1104,Config!$B$6:$E$1862,2,FALSE)</f>
        <v>#N/A</v>
      </c>
      <c r="C1104" s="19" t="e">
        <f>VLOOKUP($A1104,Config!$B$6:$E$1862,3,FALSE)</f>
        <v>#N/A</v>
      </c>
      <c r="D1104" s="19" t="e">
        <f>VLOOKUP($A1104,Config!$B$6:$E$1862,4,FALSE)</f>
        <v>#N/A</v>
      </c>
    </row>
    <row r="1105" spans="1:4" x14ac:dyDescent="0.25">
      <c r="A1105" s="19">
        <v>41253</v>
      </c>
      <c r="B1105" s="19" t="e">
        <f>VLOOKUP($A1105,Config!$B$6:$E$1862,2,FALSE)</f>
        <v>#N/A</v>
      </c>
      <c r="C1105" s="19" t="e">
        <f>VLOOKUP($A1105,Config!$B$6:$E$1862,3,FALSE)</f>
        <v>#N/A</v>
      </c>
      <c r="D1105" s="19" t="e">
        <f>VLOOKUP($A1105,Config!$B$6:$E$1862,4,FALSE)</f>
        <v>#N/A</v>
      </c>
    </row>
    <row r="1106" spans="1:4" x14ac:dyDescent="0.25">
      <c r="A1106" s="19">
        <v>41254</v>
      </c>
      <c r="B1106" s="19" t="e">
        <f>VLOOKUP($A1106,Config!$B$6:$E$1862,2,FALSE)</f>
        <v>#N/A</v>
      </c>
      <c r="C1106" s="19" t="e">
        <f>VLOOKUP($A1106,Config!$B$6:$E$1862,3,FALSE)</f>
        <v>#N/A</v>
      </c>
      <c r="D1106" s="19" t="e">
        <f>VLOOKUP($A1106,Config!$B$6:$E$1862,4,FALSE)</f>
        <v>#N/A</v>
      </c>
    </row>
    <row r="1107" spans="1:4" x14ac:dyDescent="0.25">
      <c r="A1107" s="19">
        <v>41255</v>
      </c>
      <c r="B1107" s="19" t="e">
        <f>VLOOKUP($A1107,Config!$B$6:$E$1862,2,FALSE)</f>
        <v>#N/A</v>
      </c>
      <c r="C1107" s="19" t="e">
        <f>VLOOKUP($A1107,Config!$B$6:$E$1862,3,FALSE)</f>
        <v>#N/A</v>
      </c>
      <c r="D1107" s="19" t="e">
        <f>VLOOKUP($A1107,Config!$B$6:$E$1862,4,FALSE)</f>
        <v>#N/A</v>
      </c>
    </row>
    <row r="1108" spans="1:4" x14ac:dyDescent="0.25">
      <c r="A1108" s="19">
        <v>41256</v>
      </c>
      <c r="B1108" s="19" t="e">
        <f>VLOOKUP($A1108,Config!$B$6:$E$1862,2,FALSE)</f>
        <v>#N/A</v>
      </c>
      <c r="C1108" s="19" t="e">
        <f>VLOOKUP($A1108,Config!$B$6:$E$1862,3,FALSE)</f>
        <v>#N/A</v>
      </c>
      <c r="D1108" s="19" t="e">
        <f>VLOOKUP($A1108,Config!$B$6:$E$1862,4,FALSE)</f>
        <v>#N/A</v>
      </c>
    </row>
    <row r="1109" spans="1:4" x14ac:dyDescent="0.25">
      <c r="A1109" s="19">
        <v>41257</v>
      </c>
      <c r="B1109" s="19" t="e">
        <f>VLOOKUP($A1109,Config!$B$6:$E$1862,2,FALSE)</f>
        <v>#N/A</v>
      </c>
      <c r="C1109" s="19" t="e">
        <f>VLOOKUP($A1109,Config!$B$6:$E$1862,3,FALSE)</f>
        <v>#N/A</v>
      </c>
      <c r="D1109" s="19" t="e">
        <f>VLOOKUP($A1109,Config!$B$6:$E$1862,4,FALSE)</f>
        <v>#N/A</v>
      </c>
    </row>
    <row r="1110" spans="1:4" x14ac:dyDescent="0.25">
      <c r="A1110" s="19">
        <v>41258</v>
      </c>
      <c r="B1110" s="19" t="e">
        <f>VLOOKUP($A1110,Config!$B$6:$E$1862,2,FALSE)</f>
        <v>#N/A</v>
      </c>
      <c r="C1110" s="19" t="e">
        <f>VLOOKUP($A1110,Config!$B$6:$E$1862,3,FALSE)</f>
        <v>#N/A</v>
      </c>
      <c r="D1110" s="19" t="e">
        <f>VLOOKUP($A1110,Config!$B$6:$E$1862,4,FALSE)</f>
        <v>#N/A</v>
      </c>
    </row>
    <row r="1111" spans="1:4" x14ac:dyDescent="0.25">
      <c r="A1111" s="19">
        <v>41259</v>
      </c>
      <c r="B1111" s="19" t="e">
        <f>VLOOKUP($A1111,Config!$B$6:$E$1862,2,FALSE)</f>
        <v>#N/A</v>
      </c>
      <c r="C1111" s="19" t="e">
        <f>VLOOKUP($A1111,Config!$B$6:$E$1862,3,FALSE)</f>
        <v>#N/A</v>
      </c>
      <c r="D1111" s="19" t="e">
        <f>VLOOKUP($A1111,Config!$B$6:$E$1862,4,FALSE)</f>
        <v>#N/A</v>
      </c>
    </row>
    <row r="1112" spans="1:4" x14ac:dyDescent="0.25">
      <c r="A1112" s="19">
        <v>41260</v>
      </c>
      <c r="B1112" s="19" t="e">
        <f>VLOOKUP($A1112,Config!$B$6:$E$1862,2,FALSE)</f>
        <v>#N/A</v>
      </c>
      <c r="C1112" s="19" t="e">
        <f>VLOOKUP($A1112,Config!$B$6:$E$1862,3,FALSE)</f>
        <v>#N/A</v>
      </c>
      <c r="D1112" s="19" t="e">
        <f>VLOOKUP($A1112,Config!$B$6:$E$1862,4,FALSE)</f>
        <v>#N/A</v>
      </c>
    </row>
    <row r="1113" spans="1:4" x14ac:dyDescent="0.25">
      <c r="A1113" s="19">
        <v>41261</v>
      </c>
      <c r="B1113" s="19" t="e">
        <f>VLOOKUP($A1113,Config!$B$6:$E$1862,2,FALSE)</f>
        <v>#N/A</v>
      </c>
      <c r="C1113" s="19" t="e">
        <f>VLOOKUP($A1113,Config!$B$6:$E$1862,3,FALSE)</f>
        <v>#N/A</v>
      </c>
      <c r="D1113" s="19" t="e">
        <f>VLOOKUP($A1113,Config!$B$6:$E$1862,4,FALSE)</f>
        <v>#N/A</v>
      </c>
    </row>
    <row r="1114" spans="1:4" x14ac:dyDescent="0.25">
      <c r="A1114" s="19">
        <v>41262</v>
      </c>
      <c r="B1114" s="19" t="e">
        <f>VLOOKUP($A1114,Config!$B$6:$E$1862,2,FALSE)</f>
        <v>#N/A</v>
      </c>
      <c r="C1114" s="19" t="e">
        <f>VLOOKUP($A1114,Config!$B$6:$E$1862,3,FALSE)</f>
        <v>#N/A</v>
      </c>
      <c r="D1114" s="19" t="e">
        <f>VLOOKUP($A1114,Config!$B$6:$E$1862,4,FALSE)</f>
        <v>#N/A</v>
      </c>
    </row>
    <row r="1115" spans="1:4" x14ac:dyDescent="0.25">
      <c r="A1115" s="19">
        <v>41263</v>
      </c>
      <c r="B1115" s="19" t="e">
        <f>VLOOKUP($A1115,Config!$B$6:$E$1862,2,FALSE)</f>
        <v>#N/A</v>
      </c>
      <c r="C1115" s="19" t="e">
        <f>VLOOKUP($A1115,Config!$B$6:$E$1862,3,FALSE)</f>
        <v>#N/A</v>
      </c>
      <c r="D1115" s="19" t="e">
        <f>VLOOKUP($A1115,Config!$B$6:$E$1862,4,FALSE)</f>
        <v>#N/A</v>
      </c>
    </row>
    <row r="1116" spans="1:4" x14ac:dyDescent="0.25">
      <c r="A1116" s="19">
        <v>41264</v>
      </c>
      <c r="B1116" s="19" t="e">
        <f>VLOOKUP($A1116,Config!$B$6:$E$1862,2,FALSE)</f>
        <v>#N/A</v>
      </c>
      <c r="C1116" s="19" t="e">
        <f>VLOOKUP($A1116,Config!$B$6:$E$1862,3,FALSE)</f>
        <v>#N/A</v>
      </c>
      <c r="D1116" s="19" t="e">
        <f>VLOOKUP($A1116,Config!$B$6:$E$1862,4,FALSE)</f>
        <v>#N/A</v>
      </c>
    </row>
    <row r="1117" spans="1:4" x14ac:dyDescent="0.25">
      <c r="A1117" s="19">
        <v>41265</v>
      </c>
      <c r="B1117" s="19" t="e">
        <f>VLOOKUP($A1117,Config!$B$6:$E$1862,2,FALSE)</f>
        <v>#N/A</v>
      </c>
      <c r="C1117" s="19" t="e">
        <f>VLOOKUP($A1117,Config!$B$6:$E$1862,3,FALSE)</f>
        <v>#N/A</v>
      </c>
      <c r="D1117" s="19" t="e">
        <f>VLOOKUP($A1117,Config!$B$6:$E$1862,4,FALSE)</f>
        <v>#N/A</v>
      </c>
    </row>
    <row r="1118" spans="1:4" x14ac:dyDescent="0.25">
      <c r="A1118" s="19">
        <v>41266</v>
      </c>
      <c r="B1118" s="19" t="e">
        <f>VLOOKUP($A1118,Config!$B$6:$E$1862,2,FALSE)</f>
        <v>#N/A</v>
      </c>
      <c r="C1118" s="19" t="e">
        <f>VLOOKUP($A1118,Config!$B$6:$E$1862,3,FALSE)</f>
        <v>#N/A</v>
      </c>
      <c r="D1118" s="19" t="e">
        <f>VLOOKUP($A1118,Config!$B$6:$E$1862,4,FALSE)</f>
        <v>#N/A</v>
      </c>
    </row>
    <row r="1119" spans="1:4" x14ac:dyDescent="0.25">
      <c r="A1119" s="19">
        <v>41267</v>
      </c>
      <c r="B1119" s="19" t="e">
        <f>VLOOKUP($A1119,Config!$B$6:$E$1862,2,FALSE)</f>
        <v>#N/A</v>
      </c>
      <c r="C1119" s="19" t="e">
        <f>VLOOKUP($A1119,Config!$B$6:$E$1862,3,FALSE)</f>
        <v>#N/A</v>
      </c>
      <c r="D1119" s="19" t="e">
        <f>VLOOKUP($A1119,Config!$B$6:$E$1862,4,FALSE)</f>
        <v>#N/A</v>
      </c>
    </row>
    <row r="1120" spans="1:4" x14ac:dyDescent="0.25">
      <c r="A1120" s="19">
        <v>41268</v>
      </c>
      <c r="B1120" s="19" t="e">
        <f>VLOOKUP($A1120,Config!$B$6:$E$1862,2,FALSE)</f>
        <v>#N/A</v>
      </c>
      <c r="C1120" s="19" t="e">
        <f>VLOOKUP($A1120,Config!$B$6:$E$1862,3,FALSE)</f>
        <v>#N/A</v>
      </c>
      <c r="D1120" s="19" t="e">
        <f>VLOOKUP($A1120,Config!$B$6:$E$1862,4,FALSE)</f>
        <v>#N/A</v>
      </c>
    </row>
    <row r="1121" spans="1:4" x14ac:dyDescent="0.25">
      <c r="A1121" s="19">
        <v>41269</v>
      </c>
      <c r="B1121" s="19" t="e">
        <f>VLOOKUP($A1121,Config!$B$6:$E$1862,2,FALSE)</f>
        <v>#N/A</v>
      </c>
      <c r="C1121" s="19" t="e">
        <f>VLOOKUP($A1121,Config!$B$6:$E$1862,3,FALSE)</f>
        <v>#N/A</v>
      </c>
      <c r="D1121" s="19" t="e">
        <f>VLOOKUP($A1121,Config!$B$6:$E$1862,4,FALSE)</f>
        <v>#N/A</v>
      </c>
    </row>
    <row r="1122" spans="1:4" x14ac:dyDescent="0.25">
      <c r="A1122" s="19">
        <v>41270</v>
      </c>
      <c r="B1122" s="19" t="e">
        <f>VLOOKUP($A1122,Config!$B$6:$E$1862,2,FALSE)</f>
        <v>#N/A</v>
      </c>
      <c r="C1122" s="19" t="e">
        <f>VLOOKUP($A1122,Config!$B$6:$E$1862,3,FALSE)</f>
        <v>#N/A</v>
      </c>
      <c r="D1122" s="19" t="e">
        <f>VLOOKUP($A1122,Config!$B$6:$E$1862,4,FALSE)</f>
        <v>#N/A</v>
      </c>
    </row>
    <row r="1123" spans="1:4" x14ac:dyDescent="0.25">
      <c r="A1123" s="19">
        <v>41271</v>
      </c>
      <c r="B1123" s="19" t="e">
        <f>VLOOKUP($A1123,Config!$B$6:$E$1862,2,FALSE)</f>
        <v>#N/A</v>
      </c>
      <c r="C1123" s="19" t="e">
        <f>VLOOKUP($A1123,Config!$B$6:$E$1862,3,FALSE)</f>
        <v>#N/A</v>
      </c>
      <c r="D1123" s="19" t="e">
        <f>VLOOKUP($A1123,Config!$B$6:$E$1862,4,FALSE)</f>
        <v>#N/A</v>
      </c>
    </row>
    <row r="1124" spans="1:4" x14ac:dyDescent="0.25">
      <c r="A1124" s="19">
        <v>41272</v>
      </c>
      <c r="B1124" s="19" t="e">
        <f>VLOOKUP($A1124,Config!$B$6:$E$1862,2,FALSE)</f>
        <v>#N/A</v>
      </c>
      <c r="C1124" s="19" t="e">
        <f>VLOOKUP($A1124,Config!$B$6:$E$1862,3,FALSE)</f>
        <v>#N/A</v>
      </c>
      <c r="D1124" s="19" t="e">
        <f>VLOOKUP($A1124,Config!$B$6:$E$1862,4,FALSE)</f>
        <v>#N/A</v>
      </c>
    </row>
    <row r="1125" spans="1:4" x14ac:dyDescent="0.25">
      <c r="A1125" s="19">
        <v>41273</v>
      </c>
      <c r="B1125" s="19" t="e">
        <f>VLOOKUP($A1125,Config!$B$6:$E$1862,2,FALSE)</f>
        <v>#N/A</v>
      </c>
      <c r="C1125" s="19" t="e">
        <f>VLOOKUP($A1125,Config!$B$6:$E$1862,3,FALSE)</f>
        <v>#N/A</v>
      </c>
      <c r="D1125" s="19" t="e">
        <f>VLOOKUP($A1125,Config!$B$6:$E$1862,4,FALSE)</f>
        <v>#N/A</v>
      </c>
    </row>
    <row r="1126" spans="1:4" x14ac:dyDescent="0.25">
      <c r="A1126" s="19">
        <v>41274</v>
      </c>
      <c r="B1126" s="19" t="e">
        <f>VLOOKUP($A1126,Config!$B$6:$E$1862,2,FALSE)</f>
        <v>#N/A</v>
      </c>
      <c r="C1126" s="19" t="e">
        <f>VLOOKUP($A1126,Config!$B$6:$E$1862,3,FALSE)</f>
        <v>#N/A</v>
      </c>
      <c r="D1126" s="19" t="e">
        <f>VLOOKUP($A1126,Config!$B$6:$E$1862,4,FALSE)</f>
        <v>#N/A</v>
      </c>
    </row>
    <row r="1127" spans="1:4" x14ac:dyDescent="0.25">
      <c r="A1127" s="19">
        <v>41275</v>
      </c>
      <c r="B1127" s="19" t="e">
        <f>VLOOKUP($A1127,Config!$B$6:$E$1862,2,FALSE)</f>
        <v>#N/A</v>
      </c>
      <c r="C1127" s="19" t="e">
        <f>VLOOKUP($A1127,Config!$B$6:$E$1862,3,FALSE)</f>
        <v>#N/A</v>
      </c>
      <c r="D1127" s="19" t="e">
        <f>VLOOKUP($A1127,Config!$B$6:$E$1862,4,FALSE)</f>
        <v>#N/A</v>
      </c>
    </row>
    <row r="1128" spans="1:4" x14ac:dyDescent="0.25">
      <c r="A1128" s="19">
        <v>41276</v>
      </c>
      <c r="B1128" s="19" t="e">
        <f>VLOOKUP($A1128,Config!$B$6:$E$1862,2,FALSE)</f>
        <v>#N/A</v>
      </c>
      <c r="C1128" s="19" t="e">
        <f>VLOOKUP($A1128,Config!$B$6:$E$1862,3,FALSE)</f>
        <v>#N/A</v>
      </c>
      <c r="D1128" s="19" t="e">
        <f>VLOOKUP($A1128,Config!$B$6:$E$1862,4,FALSE)</f>
        <v>#N/A</v>
      </c>
    </row>
    <row r="1129" spans="1:4" x14ac:dyDescent="0.25">
      <c r="A1129" s="19">
        <v>41277</v>
      </c>
      <c r="B1129" s="19" t="e">
        <f>VLOOKUP($A1129,Config!$B$6:$E$1862,2,FALSE)</f>
        <v>#N/A</v>
      </c>
      <c r="C1129" s="19" t="e">
        <f>VLOOKUP($A1129,Config!$B$6:$E$1862,3,FALSE)</f>
        <v>#N/A</v>
      </c>
      <c r="D1129" s="19" t="e">
        <f>VLOOKUP($A1129,Config!$B$6:$E$1862,4,FALSE)</f>
        <v>#N/A</v>
      </c>
    </row>
    <row r="1130" spans="1:4" x14ac:dyDescent="0.25">
      <c r="A1130" s="19">
        <v>41278</v>
      </c>
      <c r="B1130" s="19" t="e">
        <f>VLOOKUP($A1130,Config!$B$6:$E$1862,2,FALSE)</f>
        <v>#N/A</v>
      </c>
      <c r="C1130" s="19" t="e">
        <f>VLOOKUP($A1130,Config!$B$6:$E$1862,3,FALSE)</f>
        <v>#N/A</v>
      </c>
      <c r="D1130" s="19" t="e">
        <f>VLOOKUP($A1130,Config!$B$6:$E$1862,4,FALSE)</f>
        <v>#N/A</v>
      </c>
    </row>
    <row r="1131" spans="1:4" x14ac:dyDescent="0.25">
      <c r="A1131" s="19">
        <v>41279</v>
      </c>
      <c r="B1131" s="19" t="e">
        <f>VLOOKUP($A1131,Config!$B$6:$E$1862,2,FALSE)</f>
        <v>#N/A</v>
      </c>
      <c r="C1131" s="19" t="e">
        <f>VLOOKUP($A1131,Config!$B$6:$E$1862,3,FALSE)</f>
        <v>#N/A</v>
      </c>
      <c r="D1131" s="19" t="e">
        <f>VLOOKUP($A1131,Config!$B$6:$E$1862,4,FALSE)</f>
        <v>#N/A</v>
      </c>
    </row>
    <row r="1132" spans="1:4" x14ac:dyDescent="0.25">
      <c r="A1132" s="19">
        <v>41280</v>
      </c>
      <c r="B1132" s="19" t="e">
        <f>VLOOKUP($A1132,Config!$B$6:$E$1862,2,FALSE)</f>
        <v>#N/A</v>
      </c>
      <c r="C1132" s="19" t="e">
        <f>VLOOKUP($A1132,Config!$B$6:$E$1862,3,FALSE)</f>
        <v>#N/A</v>
      </c>
      <c r="D1132" s="19" t="e">
        <f>VLOOKUP($A1132,Config!$B$6:$E$1862,4,FALSE)</f>
        <v>#N/A</v>
      </c>
    </row>
    <row r="1133" spans="1:4" x14ac:dyDescent="0.25">
      <c r="A1133" s="19">
        <v>41281</v>
      </c>
      <c r="B1133" s="19" t="e">
        <f>VLOOKUP($A1133,Config!$B$6:$E$1862,2,FALSE)</f>
        <v>#N/A</v>
      </c>
      <c r="C1133" s="19" t="e">
        <f>VLOOKUP($A1133,Config!$B$6:$E$1862,3,FALSE)</f>
        <v>#N/A</v>
      </c>
      <c r="D1133" s="19" t="e">
        <f>VLOOKUP($A1133,Config!$B$6:$E$1862,4,FALSE)</f>
        <v>#N/A</v>
      </c>
    </row>
    <row r="1134" spans="1:4" x14ac:dyDescent="0.25">
      <c r="A1134" s="19">
        <v>41282</v>
      </c>
      <c r="B1134" s="19" t="e">
        <f>VLOOKUP($A1134,Config!$B$6:$E$1862,2,FALSE)</f>
        <v>#N/A</v>
      </c>
      <c r="C1134" s="19" t="e">
        <f>VLOOKUP($A1134,Config!$B$6:$E$1862,3,FALSE)</f>
        <v>#N/A</v>
      </c>
      <c r="D1134" s="19" t="e">
        <f>VLOOKUP($A1134,Config!$B$6:$E$1862,4,FALSE)</f>
        <v>#N/A</v>
      </c>
    </row>
    <row r="1135" spans="1:4" x14ac:dyDescent="0.25">
      <c r="A1135" s="19">
        <v>41283</v>
      </c>
      <c r="B1135" s="19" t="e">
        <f>VLOOKUP($A1135,Config!$B$6:$E$1862,2,FALSE)</f>
        <v>#N/A</v>
      </c>
      <c r="C1135" s="19" t="e">
        <f>VLOOKUP($A1135,Config!$B$6:$E$1862,3,FALSE)</f>
        <v>#N/A</v>
      </c>
      <c r="D1135" s="19" t="e">
        <f>VLOOKUP($A1135,Config!$B$6:$E$1862,4,FALSE)</f>
        <v>#N/A</v>
      </c>
    </row>
    <row r="1136" spans="1:4" x14ac:dyDescent="0.25">
      <c r="A1136" s="19">
        <v>41284</v>
      </c>
      <c r="B1136" s="19" t="e">
        <f>VLOOKUP($A1136,Config!$B$6:$E$1862,2,FALSE)</f>
        <v>#N/A</v>
      </c>
      <c r="C1136" s="19" t="e">
        <f>VLOOKUP($A1136,Config!$B$6:$E$1862,3,FALSE)</f>
        <v>#N/A</v>
      </c>
      <c r="D1136" s="19" t="e">
        <f>VLOOKUP($A1136,Config!$B$6:$E$1862,4,FALSE)</f>
        <v>#N/A</v>
      </c>
    </row>
    <row r="1137" spans="1:4" x14ac:dyDescent="0.25">
      <c r="A1137" s="19">
        <v>41285</v>
      </c>
      <c r="B1137" s="19" t="e">
        <f>VLOOKUP($A1137,Config!$B$6:$E$1862,2,FALSE)</f>
        <v>#N/A</v>
      </c>
      <c r="C1137" s="19" t="e">
        <f>VLOOKUP($A1137,Config!$B$6:$E$1862,3,FALSE)</f>
        <v>#N/A</v>
      </c>
      <c r="D1137" s="19" t="e">
        <f>VLOOKUP($A1137,Config!$B$6:$E$1862,4,FALSE)</f>
        <v>#N/A</v>
      </c>
    </row>
    <row r="1138" spans="1:4" x14ac:dyDescent="0.25">
      <c r="A1138" s="19">
        <v>41286</v>
      </c>
      <c r="B1138" s="19" t="e">
        <f>VLOOKUP($A1138,Config!$B$6:$E$1862,2,FALSE)</f>
        <v>#N/A</v>
      </c>
      <c r="C1138" s="19" t="e">
        <f>VLOOKUP($A1138,Config!$B$6:$E$1862,3,FALSE)</f>
        <v>#N/A</v>
      </c>
      <c r="D1138" s="19" t="e">
        <f>VLOOKUP($A1138,Config!$B$6:$E$1862,4,FALSE)</f>
        <v>#N/A</v>
      </c>
    </row>
    <row r="1139" spans="1:4" x14ac:dyDescent="0.25">
      <c r="A1139" s="19">
        <v>41287</v>
      </c>
      <c r="B1139" s="19" t="e">
        <f>VLOOKUP($A1139,Config!$B$6:$E$1862,2,FALSE)</f>
        <v>#N/A</v>
      </c>
      <c r="C1139" s="19" t="e">
        <f>VLOOKUP($A1139,Config!$B$6:$E$1862,3,FALSE)</f>
        <v>#N/A</v>
      </c>
      <c r="D1139" s="19" t="e">
        <f>VLOOKUP($A1139,Config!$B$6:$E$1862,4,FALSE)</f>
        <v>#N/A</v>
      </c>
    </row>
    <row r="1140" spans="1:4" x14ac:dyDescent="0.25">
      <c r="A1140" s="19">
        <v>41288</v>
      </c>
      <c r="B1140" s="19" t="e">
        <f>VLOOKUP($A1140,Config!$B$6:$E$1862,2,FALSE)</f>
        <v>#N/A</v>
      </c>
      <c r="C1140" s="19" t="e">
        <f>VLOOKUP($A1140,Config!$B$6:$E$1862,3,FALSE)</f>
        <v>#N/A</v>
      </c>
      <c r="D1140" s="19" t="e">
        <f>VLOOKUP($A1140,Config!$B$6:$E$1862,4,FALSE)</f>
        <v>#N/A</v>
      </c>
    </row>
    <row r="1141" spans="1:4" x14ac:dyDescent="0.25">
      <c r="A1141" s="19">
        <v>41289</v>
      </c>
      <c r="B1141" s="19" t="e">
        <f>VLOOKUP($A1141,Config!$B$6:$E$1862,2,FALSE)</f>
        <v>#N/A</v>
      </c>
      <c r="C1141" s="19" t="e">
        <f>VLOOKUP($A1141,Config!$B$6:$E$1862,3,FALSE)</f>
        <v>#N/A</v>
      </c>
      <c r="D1141" s="19" t="e">
        <f>VLOOKUP($A1141,Config!$B$6:$E$1862,4,FALSE)</f>
        <v>#N/A</v>
      </c>
    </row>
    <row r="1142" spans="1:4" x14ac:dyDescent="0.25">
      <c r="A1142" s="19">
        <v>41290</v>
      </c>
      <c r="B1142" s="19" t="e">
        <f>VLOOKUP($A1142,Config!$B$6:$E$1862,2,FALSE)</f>
        <v>#N/A</v>
      </c>
      <c r="C1142" s="19" t="e">
        <f>VLOOKUP($A1142,Config!$B$6:$E$1862,3,FALSE)</f>
        <v>#N/A</v>
      </c>
      <c r="D1142" s="19" t="e">
        <f>VLOOKUP($A1142,Config!$B$6:$E$1862,4,FALSE)</f>
        <v>#N/A</v>
      </c>
    </row>
    <row r="1143" spans="1:4" x14ac:dyDescent="0.25">
      <c r="A1143" s="19">
        <v>41291</v>
      </c>
      <c r="B1143" s="19" t="e">
        <f>VLOOKUP($A1143,Config!$B$6:$E$1862,2,FALSE)</f>
        <v>#N/A</v>
      </c>
      <c r="C1143" s="19" t="e">
        <f>VLOOKUP($A1143,Config!$B$6:$E$1862,3,FALSE)</f>
        <v>#N/A</v>
      </c>
      <c r="D1143" s="19" t="e">
        <f>VLOOKUP($A1143,Config!$B$6:$E$1862,4,FALSE)</f>
        <v>#N/A</v>
      </c>
    </row>
    <row r="1144" spans="1:4" x14ac:dyDescent="0.25">
      <c r="A1144" s="19">
        <v>41292</v>
      </c>
      <c r="B1144" s="19" t="e">
        <f>VLOOKUP($A1144,Config!$B$6:$E$1862,2,FALSE)</f>
        <v>#N/A</v>
      </c>
      <c r="C1144" s="19" t="e">
        <f>VLOOKUP($A1144,Config!$B$6:$E$1862,3,FALSE)</f>
        <v>#N/A</v>
      </c>
      <c r="D1144" s="19" t="e">
        <f>VLOOKUP($A1144,Config!$B$6:$E$1862,4,FALSE)</f>
        <v>#N/A</v>
      </c>
    </row>
    <row r="1145" spans="1:4" x14ac:dyDescent="0.25">
      <c r="A1145" s="19">
        <v>41293</v>
      </c>
      <c r="B1145" s="19" t="e">
        <f>VLOOKUP($A1145,Config!$B$6:$E$1862,2,FALSE)</f>
        <v>#N/A</v>
      </c>
      <c r="C1145" s="19" t="e">
        <f>VLOOKUP($A1145,Config!$B$6:$E$1862,3,FALSE)</f>
        <v>#N/A</v>
      </c>
      <c r="D1145" s="19" t="e">
        <f>VLOOKUP($A1145,Config!$B$6:$E$1862,4,FALSE)</f>
        <v>#N/A</v>
      </c>
    </row>
    <row r="1146" spans="1:4" x14ac:dyDescent="0.25">
      <c r="A1146" s="19">
        <v>41294</v>
      </c>
      <c r="B1146" s="19" t="e">
        <f>VLOOKUP($A1146,Config!$B$6:$E$1862,2,FALSE)</f>
        <v>#N/A</v>
      </c>
      <c r="C1146" s="19" t="e">
        <f>VLOOKUP($A1146,Config!$B$6:$E$1862,3,FALSE)</f>
        <v>#N/A</v>
      </c>
      <c r="D1146" s="19" t="e">
        <f>VLOOKUP($A1146,Config!$B$6:$E$1862,4,FALSE)</f>
        <v>#N/A</v>
      </c>
    </row>
    <row r="1147" spans="1:4" x14ac:dyDescent="0.25">
      <c r="A1147" s="19">
        <v>41295</v>
      </c>
      <c r="B1147" s="19" t="e">
        <f>VLOOKUP($A1147,Config!$B$6:$E$1862,2,FALSE)</f>
        <v>#N/A</v>
      </c>
      <c r="C1147" s="19" t="e">
        <f>VLOOKUP($A1147,Config!$B$6:$E$1862,3,FALSE)</f>
        <v>#N/A</v>
      </c>
      <c r="D1147" s="19" t="e">
        <f>VLOOKUP($A1147,Config!$B$6:$E$1862,4,FALSE)</f>
        <v>#N/A</v>
      </c>
    </row>
    <row r="1148" spans="1:4" x14ac:dyDescent="0.25">
      <c r="A1148" s="19">
        <v>41296</v>
      </c>
      <c r="B1148" s="19" t="e">
        <f>VLOOKUP($A1148,Config!$B$6:$E$1862,2,FALSE)</f>
        <v>#N/A</v>
      </c>
      <c r="C1148" s="19" t="e">
        <f>VLOOKUP($A1148,Config!$B$6:$E$1862,3,FALSE)</f>
        <v>#N/A</v>
      </c>
      <c r="D1148" s="19" t="e">
        <f>VLOOKUP($A1148,Config!$B$6:$E$1862,4,FALSE)</f>
        <v>#N/A</v>
      </c>
    </row>
    <row r="1149" spans="1:4" x14ac:dyDescent="0.25">
      <c r="A1149" s="19">
        <v>41297</v>
      </c>
      <c r="B1149" s="19" t="e">
        <f>VLOOKUP($A1149,Config!$B$6:$E$1862,2,FALSE)</f>
        <v>#N/A</v>
      </c>
      <c r="C1149" s="19" t="e">
        <f>VLOOKUP($A1149,Config!$B$6:$E$1862,3,FALSE)</f>
        <v>#N/A</v>
      </c>
      <c r="D1149" s="19" t="e">
        <f>VLOOKUP($A1149,Config!$B$6:$E$1862,4,FALSE)</f>
        <v>#N/A</v>
      </c>
    </row>
    <row r="1150" spans="1:4" x14ac:dyDescent="0.25">
      <c r="A1150" s="19">
        <v>41298</v>
      </c>
      <c r="B1150" s="19" t="e">
        <f>VLOOKUP($A1150,Config!$B$6:$E$1862,2,FALSE)</f>
        <v>#N/A</v>
      </c>
      <c r="C1150" s="19" t="e">
        <f>VLOOKUP($A1150,Config!$B$6:$E$1862,3,FALSE)</f>
        <v>#N/A</v>
      </c>
      <c r="D1150" s="19" t="e">
        <f>VLOOKUP($A1150,Config!$B$6:$E$1862,4,FALSE)</f>
        <v>#N/A</v>
      </c>
    </row>
    <row r="1151" spans="1:4" x14ac:dyDescent="0.25">
      <c r="A1151" s="19">
        <v>41299</v>
      </c>
      <c r="B1151" s="19" t="e">
        <f>VLOOKUP($A1151,Config!$B$6:$E$1862,2,FALSE)</f>
        <v>#N/A</v>
      </c>
      <c r="C1151" s="19" t="e">
        <f>VLOOKUP($A1151,Config!$B$6:$E$1862,3,FALSE)</f>
        <v>#N/A</v>
      </c>
      <c r="D1151" s="19" t="e">
        <f>VLOOKUP($A1151,Config!$B$6:$E$1862,4,FALSE)</f>
        <v>#N/A</v>
      </c>
    </row>
    <row r="1152" spans="1:4" x14ac:dyDescent="0.25">
      <c r="A1152" s="19">
        <v>41300</v>
      </c>
      <c r="B1152" s="19" t="e">
        <f>VLOOKUP($A1152,Config!$B$6:$E$1862,2,FALSE)</f>
        <v>#N/A</v>
      </c>
      <c r="C1152" s="19" t="e">
        <f>VLOOKUP($A1152,Config!$B$6:$E$1862,3,FALSE)</f>
        <v>#N/A</v>
      </c>
      <c r="D1152" s="19" t="e">
        <f>VLOOKUP($A1152,Config!$B$6:$E$1862,4,FALSE)</f>
        <v>#N/A</v>
      </c>
    </row>
    <row r="1153" spans="1:4" x14ac:dyDescent="0.25">
      <c r="A1153" s="19">
        <v>41301</v>
      </c>
      <c r="B1153" s="19" t="e">
        <f>VLOOKUP($A1153,Config!$B$6:$E$1862,2,FALSE)</f>
        <v>#N/A</v>
      </c>
      <c r="C1153" s="19" t="e">
        <f>VLOOKUP($A1153,Config!$B$6:$E$1862,3,FALSE)</f>
        <v>#N/A</v>
      </c>
      <c r="D1153" s="19" t="e">
        <f>VLOOKUP($A1153,Config!$B$6:$E$1862,4,FALSE)</f>
        <v>#N/A</v>
      </c>
    </row>
    <row r="1154" spans="1:4" x14ac:dyDescent="0.25">
      <c r="A1154" s="19">
        <v>41302</v>
      </c>
      <c r="B1154" s="19" t="e">
        <f>VLOOKUP($A1154,Config!$B$6:$E$1862,2,FALSE)</f>
        <v>#N/A</v>
      </c>
      <c r="C1154" s="19" t="e">
        <f>VLOOKUP($A1154,Config!$B$6:$E$1862,3,FALSE)</f>
        <v>#N/A</v>
      </c>
      <c r="D1154" s="19" t="e">
        <f>VLOOKUP($A1154,Config!$B$6:$E$1862,4,FALSE)</f>
        <v>#N/A</v>
      </c>
    </row>
    <row r="1155" spans="1:4" x14ac:dyDescent="0.25">
      <c r="A1155" s="19">
        <v>41303</v>
      </c>
      <c r="B1155" s="19" t="e">
        <f>VLOOKUP($A1155,Config!$B$6:$E$1862,2,FALSE)</f>
        <v>#N/A</v>
      </c>
      <c r="C1155" s="19" t="e">
        <f>VLOOKUP($A1155,Config!$B$6:$E$1862,3,FALSE)</f>
        <v>#N/A</v>
      </c>
      <c r="D1155" s="19" t="e">
        <f>VLOOKUP($A1155,Config!$B$6:$E$1862,4,FALSE)</f>
        <v>#N/A</v>
      </c>
    </row>
    <row r="1156" spans="1:4" x14ac:dyDescent="0.25">
      <c r="A1156" s="19">
        <v>41304</v>
      </c>
      <c r="B1156" s="19" t="e">
        <f>VLOOKUP($A1156,Config!$B$6:$E$1862,2,FALSE)</f>
        <v>#N/A</v>
      </c>
      <c r="C1156" s="19" t="e">
        <f>VLOOKUP($A1156,Config!$B$6:$E$1862,3,FALSE)</f>
        <v>#N/A</v>
      </c>
      <c r="D1156" s="19" t="e">
        <f>VLOOKUP($A1156,Config!$B$6:$E$1862,4,FALSE)</f>
        <v>#N/A</v>
      </c>
    </row>
    <row r="1157" spans="1:4" x14ac:dyDescent="0.25">
      <c r="A1157" s="19">
        <v>41305</v>
      </c>
      <c r="B1157" s="19" t="e">
        <f>VLOOKUP($A1157,Config!$B$6:$E$1862,2,FALSE)</f>
        <v>#N/A</v>
      </c>
      <c r="C1157" s="19" t="e">
        <f>VLOOKUP($A1157,Config!$B$6:$E$1862,3,FALSE)</f>
        <v>#N/A</v>
      </c>
      <c r="D1157" s="19" t="e">
        <f>VLOOKUP($A1157,Config!$B$6:$E$1862,4,FALSE)</f>
        <v>#N/A</v>
      </c>
    </row>
    <row r="1158" spans="1:4" x14ac:dyDescent="0.25">
      <c r="A1158" s="19">
        <v>41306</v>
      </c>
      <c r="B1158" s="19" t="e">
        <f>VLOOKUP($A1158,Config!$B$6:$E$1862,2,FALSE)</f>
        <v>#N/A</v>
      </c>
      <c r="C1158" s="19" t="e">
        <f>VLOOKUP($A1158,Config!$B$6:$E$1862,3,FALSE)</f>
        <v>#N/A</v>
      </c>
      <c r="D1158" s="19" t="e">
        <f>VLOOKUP($A1158,Config!$B$6:$E$1862,4,FALSE)</f>
        <v>#N/A</v>
      </c>
    </row>
    <row r="1159" spans="1:4" x14ac:dyDescent="0.25">
      <c r="A1159" s="19">
        <v>41307</v>
      </c>
      <c r="B1159" s="19" t="e">
        <f>VLOOKUP($A1159,Config!$B$6:$E$1862,2,FALSE)</f>
        <v>#N/A</v>
      </c>
      <c r="C1159" s="19" t="e">
        <f>VLOOKUP($A1159,Config!$B$6:$E$1862,3,FALSE)</f>
        <v>#N/A</v>
      </c>
      <c r="D1159" s="19" t="e">
        <f>VLOOKUP($A1159,Config!$B$6:$E$1862,4,FALSE)</f>
        <v>#N/A</v>
      </c>
    </row>
    <row r="1160" spans="1:4" x14ac:dyDescent="0.25">
      <c r="A1160" s="19">
        <v>41308</v>
      </c>
      <c r="B1160" s="19" t="e">
        <f>VLOOKUP($A1160,Config!$B$6:$E$1862,2,FALSE)</f>
        <v>#N/A</v>
      </c>
      <c r="C1160" s="19" t="e">
        <f>VLOOKUP($A1160,Config!$B$6:$E$1862,3,FALSE)</f>
        <v>#N/A</v>
      </c>
      <c r="D1160" s="19" t="e">
        <f>VLOOKUP($A1160,Config!$B$6:$E$1862,4,FALSE)</f>
        <v>#N/A</v>
      </c>
    </row>
    <row r="1161" spans="1:4" x14ac:dyDescent="0.25">
      <c r="A1161" s="19">
        <v>41309</v>
      </c>
      <c r="B1161" s="19" t="e">
        <f>VLOOKUP($A1161,Config!$B$6:$E$1862,2,FALSE)</f>
        <v>#N/A</v>
      </c>
      <c r="C1161" s="19" t="e">
        <f>VLOOKUP($A1161,Config!$B$6:$E$1862,3,FALSE)</f>
        <v>#N/A</v>
      </c>
      <c r="D1161" s="19" t="e">
        <f>VLOOKUP($A1161,Config!$B$6:$E$1862,4,FALSE)</f>
        <v>#N/A</v>
      </c>
    </row>
    <row r="1162" spans="1:4" x14ac:dyDescent="0.25">
      <c r="A1162" s="19">
        <v>41310</v>
      </c>
      <c r="B1162" s="19" t="e">
        <f>VLOOKUP($A1162,Config!$B$6:$E$1862,2,FALSE)</f>
        <v>#N/A</v>
      </c>
      <c r="C1162" s="19" t="e">
        <f>VLOOKUP($A1162,Config!$B$6:$E$1862,3,FALSE)</f>
        <v>#N/A</v>
      </c>
      <c r="D1162" s="19" t="e">
        <f>VLOOKUP($A1162,Config!$B$6:$E$1862,4,FALSE)</f>
        <v>#N/A</v>
      </c>
    </row>
    <row r="1163" spans="1:4" x14ac:dyDescent="0.25">
      <c r="A1163" s="19">
        <v>41311</v>
      </c>
      <c r="B1163" s="19" t="e">
        <f>VLOOKUP($A1163,Config!$B$6:$E$1862,2,FALSE)</f>
        <v>#N/A</v>
      </c>
      <c r="C1163" s="19" t="e">
        <f>VLOOKUP($A1163,Config!$B$6:$E$1862,3,FALSE)</f>
        <v>#N/A</v>
      </c>
      <c r="D1163" s="19" t="e">
        <f>VLOOKUP($A1163,Config!$B$6:$E$1862,4,FALSE)</f>
        <v>#N/A</v>
      </c>
    </row>
    <row r="1164" spans="1:4" x14ac:dyDescent="0.25">
      <c r="A1164" s="19">
        <v>41312</v>
      </c>
      <c r="B1164" s="19" t="e">
        <f>VLOOKUP($A1164,Config!$B$6:$E$1862,2,FALSE)</f>
        <v>#N/A</v>
      </c>
      <c r="C1164" s="19" t="e">
        <f>VLOOKUP($A1164,Config!$B$6:$E$1862,3,FALSE)</f>
        <v>#N/A</v>
      </c>
      <c r="D1164" s="19" t="e">
        <f>VLOOKUP($A1164,Config!$B$6:$E$1862,4,FALSE)</f>
        <v>#N/A</v>
      </c>
    </row>
    <row r="1165" spans="1:4" x14ac:dyDescent="0.25">
      <c r="A1165" s="19">
        <v>41313</v>
      </c>
      <c r="B1165" s="19" t="e">
        <f>VLOOKUP($A1165,Config!$B$6:$E$1862,2,FALSE)</f>
        <v>#N/A</v>
      </c>
      <c r="C1165" s="19" t="e">
        <f>VLOOKUP($A1165,Config!$B$6:$E$1862,3,FALSE)</f>
        <v>#N/A</v>
      </c>
      <c r="D1165" s="19" t="e">
        <f>VLOOKUP($A1165,Config!$B$6:$E$1862,4,FALSE)</f>
        <v>#N/A</v>
      </c>
    </row>
    <row r="1166" spans="1:4" x14ac:dyDescent="0.25">
      <c r="A1166" s="19">
        <v>41314</v>
      </c>
      <c r="B1166" s="19" t="e">
        <f>VLOOKUP($A1166,Config!$B$6:$E$1862,2,FALSE)</f>
        <v>#N/A</v>
      </c>
      <c r="C1166" s="19" t="e">
        <f>VLOOKUP($A1166,Config!$B$6:$E$1862,3,FALSE)</f>
        <v>#N/A</v>
      </c>
      <c r="D1166" s="19" t="e">
        <f>VLOOKUP($A1166,Config!$B$6:$E$1862,4,FALSE)</f>
        <v>#N/A</v>
      </c>
    </row>
    <row r="1167" spans="1:4" x14ac:dyDescent="0.25">
      <c r="A1167" s="19">
        <v>41315</v>
      </c>
      <c r="B1167" s="19" t="e">
        <f>VLOOKUP($A1167,Config!$B$6:$E$1862,2,FALSE)</f>
        <v>#N/A</v>
      </c>
      <c r="C1167" s="19" t="e">
        <f>VLOOKUP($A1167,Config!$B$6:$E$1862,3,FALSE)</f>
        <v>#N/A</v>
      </c>
      <c r="D1167" s="19" t="e">
        <f>VLOOKUP($A1167,Config!$B$6:$E$1862,4,FALSE)</f>
        <v>#N/A</v>
      </c>
    </row>
    <row r="1168" spans="1:4" x14ac:dyDescent="0.25">
      <c r="A1168" s="19">
        <v>41316</v>
      </c>
      <c r="B1168" s="19" t="e">
        <f>VLOOKUP($A1168,Config!$B$6:$E$1862,2,FALSE)</f>
        <v>#N/A</v>
      </c>
      <c r="C1168" s="19" t="e">
        <f>VLOOKUP($A1168,Config!$B$6:$E$1862,3,FALSE)</f>
        <v>#N/A</v>
      </c>
      <c r="D1168" s="19" t="e">
        <f>VLOOKUP($A1168,Config!$B$6:$E$1862,4,FALSE)</f>
        <v>#N/A</v>
      </c>
    </row>
    <row r="1169" spans="1:4" x14ac:dyDescent="0.25">
      <c r="A1169" s="19">
        <v>41317</v>
      </c>
      <c r="B1169" s="19" t="e">
        <f>VLOOKUP($A1169,Config!$B$6:$E$1862,2,FALSE)</f>
        <v>#N/A</v>
      </c>
      <c r="C1169" s="19" t="e">
        <f>VLOOKUP($A1169,Config!$B$6:$E$1862,3,FALSE)</f>
        <v>#N/A</v>
      </c>
      <c r="D1169" s="19" t="e">
        <f>VLOOKUP($A1169,Config!$B$6:$E$1862,4,FALSE)</f>
        <v>#N/A</v>
      </c>
    </row>
    <row r="1170" spans="1:4" x14ac:dyDescent="0.25">
      <c r="A1170" s="19">
        <v>41318</v>
      </c>
      <c r="B1170" s="19" t="e">
        <f>VLOOKUP($A1170,Config!$B$6:$E$1862,2,FALSE)</f>
        <v>#N/A</v>
      </c>
      <c r="C1170" s="19" t="e">
        <f>VLOOKUP($A1170,Config!$B$6:$E$1862,3,FALSE)</f>
        <v>#N/A</v>
      </c>
      <c r="D1170" s="19" t="e">
        <f>VLOOKUP($A1170,Config!$B$6:$E$1862,4,FALSE)</f>
        <v>#N/A</v>
      </c>
    </row>
    <row r="1171" spans="1:4" x14ac:dyDescent="0.25">
      <c r="A1171" s="19">
        <v>41319</v>
      </c>
      <c r="B1171" s="19" t="e">
        <f>VLOOKUP($A1171,Config!$B$6:$E$1862,2,FALSE)</f>
        <v>#N/A</v>
      </c>
      <c r="C1171" s="19" t="e">
        <f>VLOOKUP($A1171,Config!$B$6:$E$1862,3,FALSE)</f>
        <v>#N/A</v>
      </c>
      <c r="D1171" s="19" t="e">
        <f>VLOOKUP($A1171,Config!$B$6:$E$1862,4,FALSE)</f>
        <v>#N/A</v>
      </c>
    </row>
    <row r="1172" spans="1:4" x14ac:dyDescent="0.25">
      <c r="A1172" s="19">
        <v>41320</v>
      </c>
      <c r="B1172" s="19" t="e">
        <f>VLOOKUP($A1172,Config!$B$6:$E$1862,2,FALSE)</f>
        <v>#N/A</v>
      </c>
      <c r="C1172" s="19" t="e">
        <f>VLOOKUP($A1172,Config!$B$6:$E$1862,3,FALSE)</f>
        <v>#N/A</v>
      </c>
      <c r="D1172" s="19" t="e">
        <f>VLOOKUP($A1172,Config!$B$6:$E$1862,4,FALSE)</f>
        <v>#N/A</v>
      </c>
    </row>
    <row r="1173" spans="1:4" x14ac:dyDescent="0.25">
      <c r="A1173" s="19">
        <v>41321</v>
      </c>
      <c r="B1173" s="19" t="e">
        <f>VLOOKUP($A1173,Config!$B$6:$E$1862,2,FALSE)</f>
        <v>#N/A</v>
      </c>
      <c r="C1173" s="19" t="e">
        <f>VLOOKUP($A1173,Config!$B$6:$E$1862,3,FALSE)</f>
        <v>#N/A</v>
      </c>
      <c r="D1173" s="19" t="e">
        <f>VLOOKUP($A1173,Config!$B$6:$E$1862,4,FALSE)</f>
        <v>#N/A</v>
      </c>
    </row>
    <row r="1174" spans="1:4" x14ac:dyDescent="0.25">
      <c r="A1174" s="19">
        <v>41322</v>
      </c>
      <c r="B1174" s="19" t="e">
        <f>VLOOKUP($A1174,Config!$B$6:$E$1862,2,FALSE)</f>
        <v>#N/A</v>
      </c>
      <c r="C1174" s="19" t="e">
        <f>VLOOKUP($A1174,Config!$B$6:$E$1862,3,FALSE)</f>
        <v>#N/A</v>
      </c>
      <c r="D1174" s="19" t="e">
        <f>VLOOKUP($A1174,Config!$B$6:$E$1862,4,FALSE)</f>
        <v>#N/A</v>
      </c>
    </row>
    <row r="1175" spans="1:4" x14ac:dyDescent="0.25">
      <c r="A1175" s="19">
        <v>41323</v>
      </c>
      <c r="B1175" s="19" t="e">
        <f>VLOOKUP($A1175,Config!$B$6:$E$1862,2,FALSE)</f>
        <v>#N/A</v>
      </c>
      <c r="C1175" s="19" t="e">
        <f>VLOOKUP($A1175,Config!$B$6:$E$1862,3,FALSE)</f>
        <v>#N/A</v>
      </c>
      <c r="D1175" s="19" t="e">
        <f>VLOOKUP($A1175,Config!$B$6:$E$1862,4,FALSE)</f>
        <v>#N/A</v>
      </c>
    </row>
    <row r="1176" spans="1:4" x14ac:dyDescent="0.25">
      <c r="A1176" s="19">
        <v>41324</v>
      </c>
      <c r="B1176" s="19" t="e">
        <f>VLOOKUP($A1176,Config!$B$6:$E$1862,2,FALSE)</f>
        <v>#N/A</v>
      </c>
      <c r="C1176" s="19" t="e">
        <f>VLOOKUP($A1176,Config!$B$6:$E$1862,3,FALSE)</f>
        <v>#N/A</v>
      </c>
      <c r="D1176" s="19" t="e">
        <f>VLOOKUP($A1176,Config!$B$6:$E$1862,4,FALSE)</f>
        <v>#N/A</v>
      </c>
    </row>
    <row r="1177" spans="1:4" x14ac:dyDescent="0.25">
      <c r="A1177" s="19">
        <v>41325</v>
      </c>
      <c r="B1177" s="19" t="e">
        <f>VLOOKUP($A1177,Config!$B$6:$E$1862,2,FALSE)</f>
        <v>#N/A</v>
      </c>
      <c r="C1177" s="19" t="e">
        <f>VLOOKUP($A1177,Config!$B$6:$E$1862,3,FALSE)</f>
        <v>#N/A</v>
      </c>
      <c r="D1177" s="19" t="e">
        <f>VLOOKUP($A1177,Config!$B$6:$E$1862,4,FALSE)</f>
        <v>#N/A</v>
      </c>
    </row>
    <row r="1178" spans="1:4" x14ac:dyDescent="0.25">
      <c r="A1178" s="19">
        <v>41326</v>
      </c>
      <c r="B1178" s="19" t="e">
        <f>VLOOKUP($A1178,Config!$B$6:$E$1862,2,FALSE)</f>
        <v>#N/A</v>
      </c>
      <c r="C1178" s="19" t="e">
        <f>VLOOKUP($A1178,Config!$B$6:$E$1862,3,FALSE)</f>
        <v>#N/A</v>
      </c>
      <c r="D1178" s="19" t="e">
        <f>VLOOKUP($A1178,Config!$B$6:$E$1862,4,FALSE)</f>
        <v>#N/A</v>
      </c>
    </row>
    <row r="1179" spans="1:4" x14ac:dyDescent="0.25">
      <c r="A1179" s="19">
        <v>41327</v>
      </c>
      <c r="B1179" s="19" t="e">
        <f>VLOOKUP($A1179,Config!$B$6:$E$1862,2,FALSE)</f>
        <v>#N/A</v>
      </c>
      <c r="C1179" s="19" t="e">
        <f>VLOOKUP($A1179,Config!$B$6:$E$1862,3,FALSE)</f>
        <v>#N/A</v>
      </c>
      <c r="D1179" s="19" t="e">
        <f>VLOOKUP($A1179,Config!$B$6:$E$1862,4,FALSE)</f>
        <v>#N/A</v>
      </c>
    </row>
    <row r="1180" spans="1:4" x14ac:dyDescent="0.25">
      <c r="A1180" s="19">
        <v>41328</v>
      </c>
      <c r="B1180" s="19" t="e">
        <f>VLOOKUP($A1180,Config!$B$6:$E$1862,2,FALSE)</f>
        <v>#N/A</v>
      </c>
      <c r="C1180" s="19" t="e">
        <f>VLOOKUP($A1180,Config!$B$6:$E$1862,3,FALSE)</f>
        <v>#N/A</v>
      </c>
      <c r="D1180" s="19" t="e">
        <f>VLOOKUP($A1180,Config!$B$6:$E$1862,4,FALSE)</f>
        <v>#N/A</v>
      </c>
    </row>
    <row r="1181" spans="1:4" x14ac:dyDescent="0.25">
      <c r="A1181" s="19">
        <v>41329</v>
      </c>
      <c r="B1181" s="19" t="e">
        <f>VLOOKUP($A1181,Config!$B$6:$E$1862,2,FALSE)</f>
        <v>#N/A</v>
      </c>
      <c r="C1181" s="19" t="e">
        <f>VLOOKUP($A1181,Config!$B$6:$E$1862,3,FALSE)</f>
        <v>#N/A</v>
      </c>
      <c r="D1181" s="19" t="e">
        <f>VLOOKUP($A1181,Config!$B$6:$E$1862,4,FALSE)</f>
        <v>#N/A</v>
      </c>
    </row>
    <row r="1182" spans="1:4" x14ac:dyDescent="0.25">
      <c r="A1182" s="19">
        <v>41330</v>
      </c>
      <c r="B1182" s="19" t="e">
        <f>VLOOKUP($A1182,Config!$B$6:$E$1862,2,FALSE)</f>
        <v>#N/A</v>
      </c>
      <c r="C1182" s="19" t="e">
        <f>VLOOKUP($A1182,Config!$B$6:$E$1862,3,FALSE)</f>
        <v>#N/A</v>
      </c>
      <c r="D1182" s="19" t="e">
        <f>VLOOKUP($A1182,Config!$B$6:$E$1862,4,FALSE)</f>
        <v>#N/A</v>
      </c>
    </row>
    <row r="1183" spans="1:4" x14ac:dyDescent="0.25">
      <c r="A1183" s="19">
        <v>41331</v>
      </c>
      <c r="B1183" s="19" t="e">
        <f>VLOOKUP($A1183,Config!$B$6:$E$1862,2,FALSE)</f>
        <v>#N/A</v>
      </c>
      <c r="C1183" s="19" t="e">
        <f>VLOOKUP($A1183,Config!$B$6:$E$1862,3,FALSE)</f>
        <v>#N/A</v>
      </c>
      <c r="D1183" s="19" t="e">
        <f>VLOOKUP($A1183,Config!$B$6:$E$1862,4,FALSE)</f>
        <v>#N/A</v>
      </c>
    </row>
    <row r="1184" spans="1:4" x14ac:dyDescent="0.25">
      <c r="A1184" s="19">
        <v>41332</v>
      </c>
      <c r="B1184" s="19" t="e">
        <f>VLOOKUP($A1184,Config!$B$6:$E$1862,2,FALSE)</f>
        <v>#N/A</v>
      </c>
      <c r="C1184" s="19" t="e">
        <f>VLOOKUP($A1184,Config!$B$6:$E$1862,3,FALSE)</f>
        <v>#N/A</v>
      </c>
      <c r="D1184" s="19" t="e">
        <f>VLOOKUP($A1184,Config!$B$6:$E$1862,4,FALSE)</f>
        <v>#N/A</v>
      </c>
    </row>
    <row r="1185" spans="1:4" x14ac:dyDescent="0.25">
      <c r="A1185" s="19">
        <v>41333</v>
      </c>
      <c r="B1185" s="19" t="e">
        <f>VLOOKUP($A1185,Config!$B$6:$E$1862,2,FALSE)</f>
        <v>#N/A</v>
      </c>
      <c r="C1185" s="19" t="e">
        <f>VLOOKUP($A1185,Config!$B$6:$E$1862,3,FALSE)</f>
        <v>#N/A</v>
      </c>
      <c r="D1185" s="19" t="e">
        <f>VLOOKUP($A1185,Config!$B$6:$E$1862,4,FALSE)</f>
        <v>#N/A</v>
      </c>
    </row>
    <row r="1186" spans="1:4" x14ac:dyDescent="0.25">
      <c r="A1186" s="19">
        <v>41334</v>
      </c>
      <c r="B1186" s="19" t="e">
        <f>VLOOKUP($A1186,Config!$B$6:$E$1862,2,FALSE)</f>
        <v>#N/A</v>
      </c>
      <c r="C1186" s="19" t="e">
        <f>VLOOKUP($A1186,Config!$B$6:$E$1862,3,FALSE)</f>
        <v>#N/A</v>
      </c>
      <c r="D1186" s="19" t="e">
        <f>VLOOKUP($A1186,Config!$B$6:$E$1862,4,FALSE)</f>
        <v>#N/A</v>
      </c>
    </row>
    <row r="1187" spans="1:4" x14ac:dyDescent="0.25">
      <c r="A1187" s="19">
        <v>41335</v>
      </c>
      <c r="B1187" s="19" t="e">
        <f>VLOOKUP($A1187,Config!$B$6:$E$1862,2,FALSE)</f>
        <v>#N/A</v>
      </c>
      <c r="C1187" s="19" t="e">
        <f>VLOOKUP($A1187,Config!$B$6:$E$1862,3,FALSE)</f>
        <v>#N/A</v>
      </c>
      <c r="D1187" s="19" t="e">
        <f>VLOOKUP($A1187,Config!$B$6:$E$1862,4,FALSE)</f>
        <v>#N/A</v>
      </c>
    </row>
    <row r="1188" spans="1:4" x14ac:dyDescent="0.25">
      <c r="A1188" s="19">
        <v>41336</v>
      </c>
      <c r="B1188" s="19" t="e">
        <f>VLOOKUP($A1188,Config!$B$6:$E$1862,2,FALSE)</f>
        <v>#N/A</v>
      </c>
      <c r="C1188" s="19" t="e">
        <f>VLOOKUP($A1188,Config!$B$6:$E$1862,3,FALSE)</f>
        <v>#N/A</v>
      </c>
      <c r="D1188" s="19" t="e">
        <f>VLOOKUP($A1188,Config!$B$6:$E$1862,4,FALSE)</f>
        <v>#N/A</v>
      </c>
    </row>
    <row r="1189" spans="1:4" x14ac:dyDescent="0.25">
      <c r="A1189" s="19">
        <v>41337</v>
      </c>
      <c r="B1189" s="19" t="e">
        <f>VLOOKUP($A1189,Config!$B$6:$E$1862,2,FALSE)</f>
        <v>#N/A</v>
      </c>
      <c r="C1189" s="19" t="e">
        <f>VLOOKUP($A1189,Config!$B$6:$E$1862,3,FALSE)</f>
        <v>#N/A</v>
      </c>
      <c r="D1189" s="19" t="e">
        <f>VLOOKUP($A1189,Config!$B$6:$E$1862,4,FALSE)</f>
        <v>#N/A</v>
      </c>
    </row>
    <row r="1190" spans="1:4" x14ac:dyDescent="0.25">
      <c r="A1190" s="19">
        <v>41338</v>
      </c>
      <c r="B1190" s="19" t="e">
        <f>VLOOKUP($A1190,Config!$B$6:$E$1862,2,FALSE)</f>
        <v>#N/A</v>
      </c>
      <c r="C1190" s="19" t="e">
        <f>VLOOKUP($A1190,Config!$B$6:$E$1862,3,FALSE)</f>
        <v>#N/A</v>
      </c>
      <c r="D1190" s="19" t="e">
        <f>VLOOKUP($A1190,Config!$B$6:$E$1862,4,FALSE)</f>
        <v>#N/A</v>
      </c>
    </row>
    <row r="1191" spans="1:4" x14ac:dyDescent="0.25">
      <c r="A1191" s="19">
        <v>41339</v>
      </c>
      <c r="B1191" s="19" t="e">
        <f>VLOOKUP($A1191,Config!$B$6:$E$1862,2,FALSE)</f>
        <v>#N/A</v>
      </c>
      <c r="C1191" s="19" t="e">
        <f>VLOOKUP($A1191,Config!$B$6:$E$1862,3,FALSE)</f>
        <v>#N/A</v>
      </c>
      <c r="D1191" s="19" t="e">
        <f>VLOOKUP($A1191,Config!$B$6:$E$1862,4,FALSE)</f>
        <v>#N/A</v>
      </c>
    </row>
    <row r="1192" spans="1:4" x14ac:dyDescent="0.25">
      <c r="A1192" s="19">
        <v>41340</v>
      </c>
      <c r="B1192" s="19" t="e">
        <f>VLOOKUP($A1192,Config!$B$6:$E$1862,2,FALSE)</f>
        <v>#N/A</v>
      </c>
      <c r="C1192" s="19" t="e">
        <f>VLOOKUP($A1192,Config!$B$6:$E$1862,3,FALSE)</f>
        <v>#N/A</v>
      </c>
      <c r="D1192" s="19" t="e">
        <f>VLOOKUP($A1192,Config!$B$6:$E$1862,4,FALSE)</f>
        <v>#N/A</v>
      </c>
    </row>
    <row r="1193" spans="1:4" x14ac:dyDescent="0.25">
      <c r="A1193" s="19">
        <v>41341</v>
      </c>
      <c r="B1193" s="19" t="e">
        <f>VLOOKUP($A1193,Config!$B$6:$E$1862,2,FALSE)</f>
        <v>#N/A</v>
      </c>
      <c r="C1193" s="19" t="e">
        <f>VLOOKUP($A1193,Config!$B$6:$E$1862,3,FALSE)</f>
        <v>#N/A</v>
      </c>
      <c r="D1193" s="19" t="e">
        <f>VLOOKUP($A1193,Config!$B$6:$E$1862,4,FALSE)</f>
        <v>#N/A</v>
      </c>
    </row>
    <row r="1194" spans="1:4" x14ac:dyDescent="0.25">
      <c r="A1194" s="19">
        <v>41342</v>
      </c>
      <c r="B1194" s="19" t="e">
        <f>VLOOKUP($A1194,Config!$B$6:$E$1862,2,FALSE)</f>
        <v>#N/A</v>
      </c>
      <c r="C1194" s="19" t="e">
        <f>VLOOKUP($A1194,Config!$B$6:$E$1862,3,FALSE)</f>
        <v>#N/A</v>
      </c>
      <c r="D1194" s="19" t="e">
        <f>VLOOKUP($A1194,Config!$B$6:$E$1862,4,FALSE)</f>
        <v>#N/A</v>
      </c>
    </row>
    <row r="1195" spans="1:4" x14ac:dyDescent="0.25">
      <c r="A1195" s="19">
        <v>41344</v>
      </c>
      <c r="B1195" s="19" t="e">
        <f>VLOOKUP($A1195,Config!$B$6:$E$1862,2,FALSE)</f>
        <v>#N/A</v>
      </c>
      <c r="C1195" s="19" t="e">
        <f>VLOOKUP($A1195,Config!$B$6:$E$1862,3,FALSE)</f>
        <v>#N/A</v>
      </c>
      <c r="D1195" s="19" t="e">
        <f>VLOOKUP($A1195,Config!$B$6:$E$1862,4,FALSE)</f>
        <v>#N/A</v>
      </c>
    </row>
    <row r="1196" spans="1:4" x14ac:dyDescent="0.25">
      <c r="A1196" s="19">
        <v>41347</v>
      </c>
      <c r="B1196" s="19" t="e">
        <f>VLOOKUP($A1196,Config!$B$6:$E$1862,2,FALSE)</f>
        <v>#N/A</v>
      </c>
      <c r="C1196" s="19" t="e">
        <f>VLOOKUP($A1196,Config!$B$6:$E$1862,3,FALSE)</f>
        <v>#N/A</v>
      </c>
      <c r="D1196" s="19" t="e">
        <f>VLOOKUP($A1196,Config!$B$6:$E$1862,4,FALSE)</f>
        <v>#N/A</v>
      </c>
    </row>
    <row r="1197" spans="1:4" x14ac:dyDescent="0.25">
      <c r="A1197" s="19">
        <v>41348</v>
      </c>
      <c r="B1197" s="19" t="e">
        <f>VLOOKUP($A1197,Config!$B$6:$E$1862,2,FALSE)</f>
        <v>#N/A</v>
      </c>
      <c r="C1197" s="19" t="e">
        <f>VLOOKUP($A1197,Config!$B$6:$E$1862,3,FALSE)</f>
        <v>#N/A</v>
      </c>
      <c r="D1197" s="19" t="e">
        <f>VLOOKUP($A1197,Config!$B$6:$E$1862,4,FALSE)</f>
        <v>#N/A</v>
      </c>
    </row>
    <row r="1198" spans="1:4" x14ac:dyDescent="0.25">
      <c r="A1198" s="19">
        <v>41349</v>
      </c>
      <c r="B1198" s="19" t="e">
        <f>VLOOKUP($A1198,Config!$B$6:$E$1862,2,FALSE)</f>
        <v>#N/A</v>
      </c>
      <c r="C1198" s="19" t="e">
        <f>VLOOKUP($A1198,Config!$B$6:$E$1862,3,FALSE)</f>
        <v>#N/A</v>
      </c>
      <c r="D1198" s="19" t="e">
        <f>VLOOKUP($A1198,Config!$B$6:$E$1862,4,FALSE)</f>
        <v>#N/A</v>
      </c>
    </row>
    <row r="1199" spans="1:4" x14ac:dyDescent="0.25">
      <c r="A1199" s="19">
        <v>41353</v>
      </c>
      <c r="B1199" s="19" t="e">
        <f>VLOOKUP($A1199,Config!$B$6:$E$1862,2,FALSE)</f>
        <v>#N/A</v>
      </c>
      <c r="C1199" s="19" t="e">
        <f>VLOOKUP($A1199,Config!$B$6:$E$1862,3,FALSE)</f>
        <v>#N/A</v>
      </c>
      <c r="D1199" s="19" t="e">
        <f>VLOOKUP($A1199,Config!$B$6:$E$1862,4,FALSE)</f>
        <v>#N/A</v>
      </c>
    </row>
    <row r="1200" spans="1:4" x14ac:dyDescent="0.25">
      <c r="A1200" s="19">
        <v>41354</v>
      </c>
      <c r="B1200" s="19" t="e">
        <f>VLOOKUP($A1200,Config!$B$6:$E$1862,2,FALSE)</f>
        <v>#N/A</v>
      </c>
      <c r="C1200" s="19" t="e">
        <f>VLOOKUP($A1200,Config!$B$6:$E$1862,3,FALSE)</f>
        <v>#N/A</v>
      </c>
      <c r="D1200" s="19" t="e">
        <f>VLOOKUP($A1200,Config!$B$6:$E$1862,4,FALSE)</f>
        <v>#N/A</v>
      </c>
    </row>
    <row r="1201" spans="1:4" x14ac:dyDescent="0.25">
      <c r="A1201" s="19">
        <v>41358</v>
      </c>
      <c r="B1201" s="19" t="e">
        <f>VLOOKUP($A1201,Config!$B$6:$E$1862,2,FALSE)</f>
        <v>#N/A</v>
      </c>
      <c r="C1201" s="19" t="e">
        <f>VLOOKUP($A1201,Config!$B$6:$E$1862,3,FALSE)</f>
        <v>#N/A</v>
      </c>
      <c r="D1201" s="19" t="e">
        <f>VLOOKUP($A1201,Config!$B$6:$E$1862,4,FALSE)</f>
        <v>#N/A</v>
      </c>
    </row>
    <row r="1202" spans="1:4" x14ac:dyDescent="0.25">
      <c r="A1202" s="19">
        <v>41359</v>
      </c>
      <c r="B1202" s="19" t="e">
        <f>VLOOKUP($A1202,Config!$B$6:$E$1862,2,FALSE)</f>
        <v>#N/A</v>
      </c>
      <c r="C1202" s="19" t="e">
        <f>VLOOKUP($A1202,Config!$B$6:$E$1862,3,FALSE)</f>
        <v>#N/A</v>
      </c>
      <c r="D1202" s="19" t="e">
        <f>VLOOKUP($A1202,Config!$B$6:$E$1862,4,FALSE)</f>
        <v>#N/A</v>
      </c>
    </row>
    <row r="1203" spans="1:4" x14ac:dyDescent="0.25">
      <c r="A1203" s="19">
        <v>41360</v>
      </c>
      <c r="B1203" s="19" t="e">
        <f>VLOOKUP($A1203,Config!$B$6:$E$1862,2,FALSE)</f>
        <v>#N/A</v>
      </c>
      <c r="C1203" s="19" t="e">
        <f>VLOOKUP($A1203,Config!$B$6:$E$1862,3,FALSE)</f>
        <v>#N/A</v>
      </c>
      <c r="D1203" s="19" t="e">
        <f>VLOOKUP($A1203,Config!$B$6:$E$1862,4,FALSE)</f>
        <v>#N/A</v>
      </c>
    </row>
    <row r="1204" spans="1:4" x14ac:dyDescent="0.25">
      <c r="A1204" s="19">
        <v>41361</v>
      </c>
      <c r="B1204" s="19" t="e">
        <f>VLOOKUP($A1204,Config!$B$6:$E$1862,2,FALSE)</f>
        <v>#N/A</v>
      </c>
      <c r="C1204" s="19" t="e">
        <f>VLOOKUP($A1204,Config!$B$6:$E$1862,3,FALSE)</f>
        <v>#N/A</v>
      </c>
      <c r="D1204" s="19" t="e">
        <f>VLOOKUP($A1204,Config!$B$6:$E$1862,4,FALSE)</f>
        <v>#N/A</v>
      </c>
    </row>
    <row r="1205" spans="1:4" x14ac:dyDescent="0.25">
      <c r="A1205" s="19">
        <v>41364</v>
      </c>
      <c r="B1205" s="19" t="e">
        <f>VLOOKUP($A1205,Config!$B$6:$E$1862,2,FALSE)</f>
        <v>#N/A</v>
      </c>
      <c r="C1205" s="19" t="e">
        <f>VLOOKUP($A1205,Config!$B$6:$E$1862,3,FALSE)</f>
        <v>#N/A</v>
      </c>
      <c r="D1205" s="19" t="e">
        <f>VLOOKUP($A1205,Config!$B$6:$E$1862,4,FALSE)</f>
        <v>#N/A</v>
      </c>
    </row>
    <row r="1206" spans="1:4" x14ac:dyDescent="0.25">
      <c r="A1206" s="19">
        <v>41365</v>
      </c>
      <c r="B1206" s="19" t="e">
        <f>VLOOKUP($A1206,Config!$B$6:$E$1862,2,FALSE)</f>
        <v>#N/A</v>
      </c>
      <c r="C1206" s="19" t="e">
        <f>VLOOKUP($A1206,Config!$B$6:$E$1862,3,FALSE)</f>
        <v>#N/A</v>
      </c>
      <c r="D1206" s="19" t="e">
        <f>VLOOKUP($A1206,Config!$B$6:$E$1862,4,FALSE)</f>
        <v>#N/A</v>
      </c>
    </row>
    <row r="1207" spans="1:4" x14ac:dyDescent="0.25">
      <c r="A1207" s="19">
        <v>41366</v>
      </c>
      <c r="B1207" s="19" t="e">
        <f>VLOOKUP($A1207,Config!$B$6:$E$1862,2,FALSE)</f>
        <v>#N/A</v>
      </c>
      <c r="C1207" s="19" t="e">
        <f>VLOOKUP($A1207,Config!$B$6:$E$1862,3,FALSE)</f>
        <v>#N/A</v>
      </c>
      <c r="D1207" s="19" t="e">
        <f>VLOOKUP($A1207,Config!$B$6:$E$1862,4,FALSE)</f>
        <v>#N/A</v>
      </c>
    </row>
    <row r="1208" spans="1:4" x14ac:dyDescent="0.25">
      <c r="A1208" s="19">
        <v>41368</v>
      </c>
      <c r="B1208" s="19" t="e">
        <f>VLOOKUP($A1208,Config!$B$6:$E$1862,2,FALSE)</f>
        <v>#N/A</v>
      </c>
      <c r="C1208" s="19" t="e">
        <f>VLOOKUP($A1208,Config!$B$6:$E$1862,3,FALSE)</f>
        <v>#N/A</v>
      </c>
      <c r="D1208" s="19" t="e">
        <f>VLOOKUP($A1208,Config!$B$6:$E$1862,4,FALSE)</f>
        <v>#N/A</v>
      </c>
    </row>
    <row r="1209" spans="1:4" x14ac:dyDescent="0.25">
      <c r="A1209" s="19">
        <v>41369</v>
      </c>
      <c r="B1209" s="19" t="e">
        <f>VLOOKUP($A1209,Config!$B$6:$E$1862,2,FALSE)</f>
        <v>#N/A</v>
      </c>
      <c r="C1209" s="19" t="e">
        <f>VLOOKUP($A1209,Config!$B$6:$E$1862,3,FALSE)</f>
        <v>#N/A</v>
      </c>
      <c r="D1209" s="19" t="e">
        <f>VLOOKUP($A1209,Config!$B$6:$E$1862,4,FALSE)</f>
        <v>#N/A</v>
      </c>
    </row>
    <row r="1210" spans="1:4" x14ac:dyDescent="0.25">
      <c r="A1210" s="19">
        <v>41370</v>
      </c>
      <c r="B1210" s="19" t="e">
        <f>VLOOKUP($A1210,Config!$B$6:$E$1862,2,FALSE)</f>
        <v>#N/A</v>
      </c>
      <c r="C1210" s="19" t="e">
        <f>VLOOKUP($A1210,Config!$B$6:$E$1862,3,FALSE)</f>
        <v>#N/A</v>
      </c>
      <c r="D1210" s="19" t="e">
        <f>VLOOKUP($A1210,Config!$B$6:$E$1862,4,FALSE)</f>
        <v>#N/A</v>
      </c>
    </row>
    <row r="1211" spans="1:4" x14ac:dyDescent="0.25">
      <c r="A1211" s="19">
        <v>41371</v>
      </c>
      <c r="B1211" s="19" t="e">
        <f>VLOOKUP($A1211,Config!$B$6:$E$1862,2,FALSE)</f>
        <v>#N/A</v>
      </c>
      <c r="C1211" s="19" t="e">
        <f>VLOOKUP($A1211,Config!$B$6:$E$1862,3,FALSE)</f>
        <v>#N/A</v>
      </c>
      <c r="D1211" s="19" t="e">
        <f>VLOOKUP($A1211,Config!$B$6:$E$1862,4,FALSE)</f>
        <v>#N/A</v>
      </c>
    </row>
    <row r="1212" spans="1:4" x14ac:dyDescent="0.25">
      <c r="A1212" s="19">
        <v>41372</v>
      </c>
      <c r="B1212" s="19" t="e">
        <f>VLOOKUP($A1212,Config!$B$6:$E$1862,2,FALSE)</f>
        <v>#N/A</v>
      </c>
      <c r="C1212" s="19" t="e">
        <f>VLOOKUP($A1212,Config!$B$6:$E$1862,3,FALSE)</f>
        <v>#N/A</v>
      </c>
      <c r="D1212" s="19" t="e">
        <f>VLOOKUP($A1212,Config!$B$6:$E$1862,4,FALSE)</f>
        <v>#N/A</v>
      </c>
    </row>
    <row r="1213" spans="1:4" x14ac:dyDescent="0.25">
      <c r="A1213" s="19">
        <v>41373</v>
      </c>
      <c r="B1213" s="19" t="e">
        <f>VLOOKUP($A1213,Config!$B$6:$E$1862,2,FALSE)</f>
        <v>#N/A</v>
      </c>
      <c r="C1213" s="19" t="e">
        <f>VLOOKUP($A1213,Config!$B$6:$E$1862,3,FALSE)</f>
        <v>#N/A</v>
      </c>
      <c r="D1213" s="19" t="e">
        <f>VLOOKUP($A1213,Config!$B$6:$E$1862,4,FALSE)</f>
        <v>#N/A</v>
      </c>
    </row>
    <row r="1214" spans="1:4" x14ac:dyDescent="0.25">
      <c r="A1214" s="19">
        <v>41374</v>
      </c>
      <c r="B1214" s="19" t="e">
        <f>VLOOKUP($A1214,Config!$B$6:$E$1862,2,FALSE)</f>
        <v>#N/A</v>
      </c>
      <c r="C1214" s="19" t="e">
        <f>VLOOKUP($A1214,Config!$B$6:$E$1862,3,FALSE)</f>
        <v>#N/A</v>
      </c>
      <c r="D1214" s="19" t="e">
        <f>VLOOKUP($A1214,Config!$B$6:$E$1862,4,FALSE)</f>
        <v>#N/A</v>
      </c>
    </row>
    <row r="1215" spans="1:4" x14ac:dyDescent="0.25">
      <c r="A1215" s="19">
        <v>41375</v>
      </c>
      <c r="B1215" s="19" t="e">
        <f>VLOOKUP($A1215,Config!$B$6:$E$1862,2,FALSE)</f>
        <v>#N/A</v>
      </c>
      <c r="C1215" s="19" t="e">
        <f>VLOOKUP($A1215,Config!$B$6:$E$1862,3,FALSE)</f>
        <v>#N/A</v>
      </c>
      <c r="D1215" s="19" t="e">
        <f>VLOOKUP($A1215,Config!$B$6:$E$1862,4,FALSE)</f>
        <v>#N/A</v>
      </c>
    </row>
    <row r="1216" spans="1:4" x14ac:dyDescent="0.25">
      <c r="A1216" s="19">
        <v>41376</v>
      </c>
      <c r="B1216" s="19" t="e">
        <f>VLOOKUP($A1216,Config!$B$6:$E$1862,2,FALSE)</f>
        <v>#N/A</v>
      </c>
      <c r="C1216" s="19" t="e">
        <f>VLOOKUP($A1216,Config!$B$6:$E$1862,3,FALSE)</f>
        <v>#N/A</v>
      </c>
      <c r="D1216" s="19" t="e">
        <f>VLOOKUP($A1216,Config!$B$6:$E$1862,4,FALSE)</f>
        <v>#N/A</v>
      </c>
    </row>
    <row r="1217" spans="1:4" x14ac:dyDescent="0.25">
      <c r="A1217" s="19">
        <v>41377</v>
      </c>
      <c r="B1217" s="19" t="e">
        <f>VLOOKUP($A1217,Config!$B$6:$E$1862,2,FALSE)</f>
        <v>#N/A</v>
      </c>
      <c r="C1217" s="19" t="e">
        <f>VLOOKUP($A1217,Config!$B$6:$E$1862,3,FALSE)</f>
        <v>#N/A</v>
      </c>
      <c r="D1217" s="19" t="e">
        <f>VLOOKUP($A1217,Config!$B$6:$E$1862,4,FALSE)</f>
        <v>#N/A</v>
      </c>
    </row>
    <row r="1218" spans="1:4" x14ac:dyDescent="0.25">
      <c r="A1218" s="19">
        <v>41378</v>
      </c>
      <c r="B1218" s="19" t="e">
        <f>VLOOKUP($A1218,Config!$B$6:$E$1862,2,FALSE)</f>
        <v>#N/A</v>
      </c>
      <c r="C1218" s="19" t="e">
        <f>VLOOKUP($A1218,Config!$B$6:$E$1862,3,FALSE)</f>
        <v>#N/A</v>
      </c>
      <c r="D1218" s="19" t="e">
        <f>VLOOKUP($A1218,Config!$B$6:$E$1862,4,FALSE)</f>
        <v>#N/A</v>
      </c>
    </row>
    <row r="1219" spans="1:4" x14ac:dyDescent="0.25">
      <c r="A1219" s="19">
        <v>41379</v>
      </c>
      <c r="B1219" s="19" t="e">
        <f>VLOOKUP($A1219,Config!$B$6:$E$1862,2,FALSE)</f>
        <v>#N/A</v>
      </c>
      <c r="C1219" s="19" t="e">
        <f>VLOOKUP($A1219,Config!$B$6:$E$1862,3,FALSE)</f>
        <v>#N/A</v>
      </c>
      <c r="D1219" s="19" t="e">
        <f>VLOOKUP($A1219,Config!$B$6:$E$1862,4,FALSE)</f>
        <v>#N/A</v>
      </c>
    </row>
    <row r="1220" spans="1:4" x14ac:dyDescent="0.25">
      <c r="A1220" s="19">
        <v>41380</v>
      </c>
      <c r="B1220" s="19" t="e">
        <f>VLOOKUP($A1220,Config!$B$6:$E$1862,2,FALSE)</f>
        <v>#N/A</v>
      </c>
      <c r="C1220" s="19" t="e">
        <f>VLOOKUP($A1220,Config!$B$6:$E$1862,3,FALSE)</f>
        <v>#N/A</v>
      </c>
      <c r="D1220" s="19" t="e">
        <f>VLOOKUP($A1220,Config!$B$6:$E$1862,4,FALSE)</f>
        <v>#N/A</v>
      </c>
    </row>
    <row r="1221" spans="1:4" x14ac:dyDescent="0.25">
      <c r="A1221" s="19">
        <v>41381</v>
      </c>
      <c r="B1221" s="19" t="e">
        <f>VLOOKUP($A1221,Config!$B$6:$E$1862,2,FALSE)</f>
        <v>#N/A</v>
      </c>
      <c r="C1221" s="19" t="e">
        <f>VLOOKUP($A1221,Config!$B$6:$E$1862,3,FALSE)</f>
        <v>#N/A</v>
      </c>
      <c r="D1221" s="19" t="e">
        <f>VLOOKUP($A1221,Config!$B$6:$E$1862,4,FALSE)</f>
        <v>#N/A</v>
      </c>
    </row>
    <row r="1222" spans="1:4" x14ac:dyDescent="0.25">
      <c r="A1222" s="19">
        <v>41382</v>
      </c>
      <c r="B1222" s="19" t="e">
        <f>VLOOKUP($A1222,Config!$B$6:$E$1862,2,FALSE)</f>
        <v>#N/A</v>
      </c>
      <c r="C1222" s="19" t="e">
        <f>VLOOKUP($A1222,Config!$B$6:$E$1862,3,FALSE)</f>
        <v>#N/A</v>
      </c>
      <c r="D1222" s="19" t="e">
        <f>VLOOKUP($A1222,Config!$B$6:$E$1862,4,FALSE)</f>
        <v>#N/A</v>
      </c>
    </row>
    <row r="1223" spans="1:4" x14ac:dyDescent="0.25">
      <c r="A1223" s="19">
        <v>41383</v>
      </c>
      <c r="B1223" s="19" t="e">
        <f>VLOOKUP($A1223,Config!$B$6:$E$1862,2,FALSE)</f>
        <v>#N/A</v>
      </c>
      <c r="C1223" s="19" t="e">
        <f>VLOOKUP($A1223,Config!$B$6:$E$1862,3,FALSE)</f>
        <v>#N/A</v>
      </c>
      <c r="D1223" s="19" t="e">
        <f>VLOOKUP($A1223,Config!$B$6:$E$1862,4,FALSE)</f>
        <v>#N/A</v>
      </c>
    </row>
    <row r="1224" spans="1:4" x14ac:dyDescent="0.25">
      <c r="A1224" s="19">
        <v>41384</v>
      </c>
      <c r="B1224" s="19" t="e">
        <f>VLOOKUP($A1224,Config!$B$6:$E$1862,2,FALSE)</f>
        <v>#N/A</v>
      </c>
      <c r="C1224" s="19" t="e">
        <f>VLOOKUP($A1224,Config!$B$6:$E$1862,3,FALSE)</f>
        <v>#N/A</v>
      </c>
      <c r="D1224" s="19" t="e">
        <f>VLOOKUP($A1224,Config!$B$6:$E$1862,4,FALSE)</f>
        <v>#N/A</v>
      </c>
    </row>
    <row r="1225" spans="1:4" x14ac:dyDescent="0.25">
      <c r="A1225" s="19">
        <v>41385</v>
      </c>
      <c r="B1225" s="19" t="e">
        <f>VLOOKUP($A1225,Config!$B$6:$E$1862,2,FALSE)</f>
        <v>#N/A</v>
      </c>
      <c r="C1225" s="19" t="e">
        <f>VLOOKUP($A1225,Config!$B$6:$E$1862,3,FALSE)</f>
        <v>#N/A</v>
      </c>
      <c r="D1225" s="19" t="e">
        <f>VLOOKUP($A1225,Config!$B$6:$E$1862,4,FALSE)</f>
        <v>#N/A</v>
      </c>
    </row>
    <row r="1226" spans="1:4" x14ac:dyDescent="0.25">
      <c r="A1226" s="19">
        <v>41386</v>
      </c>
      <c r="B1226" s="19" t="e">
        <f>VLOOKUP($A1226,Config!$B$6:$E$1862,2,FALSE)</f>
        <v>#N/A</v>
      </c>
      <c r="C1226" s="19" t="e">
        <f>VLOOKUP($A1226,Config!$B$6:$E$1862,3,FALSE)</f>
        <v>#N/A</v>
      </c>
      <c r="D1226" s="19" t="e">
        <f>VLOOKUP($A1226,Config!$B$6:$E$1862,4,FALSE)</f>
        <v>#N/A</v>
      </c>
    </row>
    <row r="1227" spans="1:4" x14ac:dyDescent="0.25">
      <c r="A1227" s="19">
        <v>41387</v>
      </c>
      <c r="B1227" s="19" t="e">
        <f>VLOOKUP($A1227,Config!$B$6:$E$1862,2,FALSE)</f>
        <v>#N/A</v>
      </c>
      <c r="C1227" s="19" t="e">
        <f>VLOOKUP($A1227,Config!$B$6:$E$1862,3,FALSE)</f>
        <v>#N/A</v>
      </c>
      <c r="D1227" s="19" t="e">
        <f>VLOOKUP($A1227,Config!$B$6:$E$1862,4,FALSE)</f>
        <v>#N/A</v>
      </c>
    </row>
    <row r="1228" spans="1:4" x14ac:dyDescent="0.25">
      <c r="A1228" s="19">
        <v>41388</v>
      </c>
      <c r="B1228" s="19" t="e">
        <f>VLOOKUP($A1228,Config!$B$6:$E$1862,2,FALSE)</f>
        <v>#N/A</v>
      </c>
      <c r="C1228" s="19" t="e">
        <f>VLOOKUP($A1228,Config!$B$6:$E$1862,3,FALSE)</f>
        <v>#N/A</v>
      </c>
      <c r="D1228" s="19" t="e">
        <f>VLOOKUP($A1228,Config!$B$6:$E$1862,4,FALSE)</f>
        <v>#N/A</v>
      </c>
    </row>
    <row r="1229" spans="1:4" x14ac:dyDescent="0.25">
      <c r="A1229" s="19">
        <v>41389</v>
      </c>
      <c r="B1229" s="19" t="e">
        <f>VLOOKUP($A1229,Config!$B$6:$E$1862,2,FALSE)</f>
        <v>#N/A</v>
      </c>
      <c r="C1229" s="19" t="e">
        <f>VLOOKUP($A1229,Config!$B$6:$E$1862,3,FALSE)</f>
        <v>#N/A</v>
      </c>
      <c r="D1229" s="19" t="e">
        <f>VLOOKUP($A1229,Config!$B$6:$E$1862,4,FALSE)</f>
        <v>#N/A</v>
      </c>
    </row>
    <row r="1230" spans="1:4" x14ac:dyDescent="0.25">
      <c r="A1230" s="19">
        <v>41390</v>
      </c>
      <c r="B1230" s="19" t="e">
        <f>VLOOKUP($A1230,Config!$B$6:$E$1862,2,FALSE)</f>
        <v>#N/A</v>
      </c>
      <c r="C1230" s="19" t="e">
        <f>VLOOKUP($A1230,Config!$B$6:$E$1862,3,FALSE)</f>
        <v>#N/A</v>
      </c>
      <c r="D1230" s="19" t="e">
        <f>VLOOKUP($A1230,Config!$B$6:$E$1862,4,FALSE)</f>
        <v>#N/A</v>
      </c>
    </row>
    <row r="1231" spans="1:4" x14ac:dyDescent="0.25">
      <c r="A1231" s="19">
        <v>41391</v>
      </c>
      <c r="B1231" s="19" t="e">
        <f>VLOOKUP($A1231,Config!$B$6:$E$1862,2,FALSE)</f>
        <v>#N/A</v>
      </c>
      <c r="C1231" s="19" t="e">
        <f>VLOOKUP($A1231,Config!$B$6:$E$1862,3,FALSE)</f>
        <v>#N/A</v>
      </c>
      <c r="D1231" s="19" t="e">
        <f>VLOOKUP($A1231,Config!$B$6:$E$1862,4,FALSE)</f>
        <v>#N/A</v>
      </c>
    </row>
    <row r="1232" spans="1:4" x14ac:dyDescent="0.25">
      <c r="A1232" s="19">
        <v>41392</v>
      </c>
      <c r="B1232" s="19" t="e">
        <f>VLOOKUP($A1232,Config!$B$6:$E$1862,2,FALSE)</f>
        <v>#N/A</v>
      </c>
      <c r="C1232" s="19" t="e">
        <f>VLOOKUP($A1232,Config!$B$6:$E$1862,3,FALSE)</f>
        <v>#N/A</v>
      </c>
      <c r="D1232" s="19" t="e">
        <f>VLOOKUP($A1232,Config!$B$6:$E$1862,4,FALSE)</f>
        <v>#N/A</v>
      </c>
    </row>
    <row r="1233" spans="1:4" x14ac:dyDescent="0.25">
      <c r="A1233" s="19">
        <v>41393</v>
      </c>
      <c r="B1233" s="19" t="e">
        <f>VLOOKUP($A1233,Config!$B$6:$E$1862,2,FALSE)</f>
        <v>#N/A</v>
      </c>
      <c r="C1233" s="19" t="e">
        <f>VLOOKUP($A1233,Config!$B$6:$E$1862,3,FALSE)</f>
        <v>#N/A</v>
      </c>
      <c r="D1233" s="19" t="e">
        <f>VLOOKUP($A1233,Config!$B$6:$E$1862,4,FALSE)</f>
        <v>#N/A</v>
      </c>
    </row>
    <row r="1234" spans="1:4" x14ac:dyDescent="0.25">
      <c r="A1234" s="19">
        <v>41394</v>
      </c>
      <c r="B1234" s="19" t="e">
        <f>VLOOKUP($A1234,Config!$B$6:$E$1862,2,FALSE)</f>
        <v>#N/A</v>
      </c>
      <c r="C1234" s="19" t="e">
        <f>VLOOKUP($A1234,Config!$B$6:$E$1862,3,FALSE)</f>
        <v>#N/A</v>
      </c>
      <c r="D1234" s="19" t="e">
        <f>VLOOKUP($A1234,Config!$B$6:$E$1862,4,FALSE)</f>
        <v>#N/A</v>
      </c>
    </row>
    <row r="1235" spans="1:4" x14ac:dyDescent="0.25">
      <c r="A1235" s="19">
        <v>41395</v>
      </c>
      <c r="B1235" s="19" t="e">
        <f>VLOOKUP($A1235,Config!$B$6:$E$1862,2,FALSE)</f>
        <v>#N/A</v>
      </c>
      <c r="C1235" s="19" t="e">
        <f>VLOOKUP($A1235,Config!$B$6:$E$1862,3,FALSE)</f>
        <v>#N/A</v>
      </c>
      <c r="D1235" s="19" t="e">
        <f>VLOOKUP($A1235,Config!$B$6:$E$1862,4,FALSE)</f>
        <v>#N/A</v>
      </c>
    </row>
    <row r="1236" spans="1:4" x14ac:dyDescent="0.25">
      <c r="A1236" s="19">
        <v>41396</v>
      </c>
      <c r="B1236" s="19" t="e">
        <f>VLOOKUP($A1236,Config!$B$6:$E$1862,2,FALSE)</f>
        <v>#N/A</v>
      </c>
      <c r="C1236" s="19" t="e">
        <f>VLOOKUP($A1236,Config!$B$6:$E$1862,3,FALSE)</f>
        <v>#N/A</v>
      </c>
      <c r="D1236" s="19" t="e">
        <f>VLOOKUP($A1236,Config!$B$6:$E$1862,4,FALSE)</f>
        <v>#N/A</v>
      </c>
    </row>
    <row r="1237" spans="1:4" x14ac:dyDescent="0.25">
      <c r="A1237" s="19">
        <v>41397</v>
      </c>
      <c r="B1237" s="19" t="e">
        <f>VLOOKUP($A1237,Config!$B$6:$E$1862,2,FALSE)</f>
        <v>#N/A</v>
      </c>
      <c r="C1237" s="19" t="e">
        <f>VLOOKUP($A1237,Config!$B$6:$E$1862,3,FALSE)</f>
        <v>#N/A</v>
      </c>
      <c r="D1237" s="19" t="e">
        <f>VLOOKUP($A1237,Config!$B$6:$E$1862,4,FALSE)</f>
        <v>#N/A</v>
      </c>
    </row>
    <row r="1238" spans="1:4" x14ac:dyDescent="0.25">
      <c r="A1238" s="19">
        <v>41399</v>
      </c>
      <c r="B1238" s="19" t="e">
        <f>VLOOKUP($A1238,Config!$B$6:$E$1862,2,FALSE)</f>
        <v>#N/A</v>
      </c>
      <c r="C1238" s="19" t="e">
        <f>VLOOKUP($A1238,Config!$B$6:$E$1862,3,FALSE)</f>
        <v>#N/A</v>
      </c>
      <c r="D1238" s="19" t="e">
        <f>VLOOKUP($A1238,Config!$B$6:$E$1862,4,FALSE)</f>
        <v>#N/A</v>
      </c>
    </row>
    <row r="1239" spans="1:4" x14ac:dyDescent="0.25">
      <c r="A1239" s="19">
        <v>41400</v>
      </c>
      <c r="B1239" s="19" t="e">
        <f>VLOOKUP($A1239,Config!$B$6:$E$1862,2,FALSE)</f>
        <v>#N/A</v>
      </c>
      <c r="C1239" s="19" t="e">
        <f>VLOOKUP($A1239,Config!$B$6:$E$1862,3,FALSE)</f>
        <v>#N/A</v>
      </c>
      <c r="D1239" s="19" t="e">
        <f>VLOOKUP($A1239,Config!$B$6:$E$1862,4,FALSE)</f>
        <v>#N/A</v>
      </c>
    </row>
    <row r="1240" spans="1:4" x14ac:dyDescent="0.25">
      <c r="A1240" s="19">
        <v>41401</v>
      </c>
      <c r="B1240" s="19" t="e">
        <f>VLOOKUP($A1240,Config!$B$6:$E$1862,2,FALSE)</f>
        <v>#N/A</v>
      </c>
      <c r="C1240" s="19" t="e">
        <f>VLOOKUP($A1240,Config!$B$6:$E$1862,3,FALSE)</f>
        <v>#N/A</v>
      </c>
      <c r="D1240" s="19" t="e">
        <f>VLOOKUP($A1240,Config!$B$6:$E$1862,4,FALSE)</f>
        <v>#N/A</v>
      </c>
    </row>
    <row r="1241" spans="1:4" x14ac:dyDescent="0.25">
      <c r="A1241" s="19">
        <v>41402</v>
      </c>
      <c r="B1241" s="19" t="e">
        <f>VLOOKUP($A1241,Config!$B$6:$E$1862,2,FALSE)</f>
        <v>#N/A</v>
      </c>
      <c r="C1241" s="19" t="e">
        <f>VLOOKUP($A1241,Config!$B$6:$E$1862,3,FALSE)</f>
        <v>#N/A</v>
      </c>
      <c r="D1241" s="19" t="e">
        <f>VLOOKUP($A1241,Config!$B$6:$E$1862,4,FALSE)</f>
        <v>#N/A</v>
      </c>
    </row>
    <row r="1242" spans="1:4" x14ac:dyDescent="0.25">
      <c r="A1242" s="19">
        <v>41404</v>
      </c>
      <c r="B1242" s="19" t="e">
        <f>VLOOKUP($A1242,Config!$B$6:$E$1862,2,FALSE)</f>
        <v>#N/A</v>
      </c>
      <c r="C1242" s="19" t="e">
        <f>VLOOKUP($A1242,Config!$B$6:$E$1862,3,FALSE)</f>
        <v>#N/A</v>
      </c>
      <c r="D1242" s="19" t="e">
        <f>VLOOKUP($A1242,Config!$B$6:$E$1862,4,FALSE)</f>
        <v>#N/A</v>
      </c>
    </row>
    <row r="1243" spans="1:4" x14ac:dyDescent="0.25">
      <c r="A1243" s="19">
        <v>41405</v>
      </c>
      <c r="B1243" s="19" t="e">
        <f>VLOOKUP($A1243,Config!$B$6:$E$1862,2,FALSE)</f>
        <v>#N/A</v>
      </c>
      <c r="C1243" s="19" t="e">
        <f>VLOOKUP($A1243,Config!$B$6:$E$1862,3,FALSE)</f>
        <v>#N/A</v>
      </c>
      <c r="D1243" s="19" t="e">
        <f>VLOOKUP($A1243,Config!$B$6:$E$1862,4,FALSE)</f>
        <v>#N/A</v>
      </c>
    </row>
    <row r="1244" spans="1:4" x14ac:dyDescent="0.25">
      <c r="A1244" s="19">
        <v>41407</v>
      </c>
      <c r="B1244" s="19" t="e">
        <f>VLOOKUP($A1244,Config!$B$6:$E$1862,2,FALSE)</f>
        <v>#N/A</v>
      </c>
      <c r="C1244" s="19" t="e">
        <f>VLOOKUP($A1244,Config!$B$6:$E$1862,3,FALSE)</f>
        <v>#N/A</v>
      </c>
      <c r="D1244" s="19" t="e">
        <f>VLOOKUP($A1244,Config!$B$6:$E$1862,4,FALSE)</f>
        <v>#N/A</v>
      </c>
    </row>
    <row r="1245" spans="1:4" x14ac:dyDescent="0.25">
      <c r="A1245" s="19">
        <v>41408</v>
      </c>
      <c r="B1245" s="19" t="e">
        <f>VLOOKUP($A1245,Config!$B$6:$E$1862,2,FALSE)</f>
        <v>#N/A</v>
      </c>
      <c r="C1245" s="19" t="e">
        <f>VLOOKUP($A1245,Config!$B$6:$E$1862,3,FALSE)</f>
        <v>#N/A</v>
      </c>
      <c r="D1245" s="19" t="e">
        <f>VLOOKUP($A1245,Config!$B$6:$E$1862,4,FALSE)</f>
        <v>#N/A</v>
      </c>
    </row>
    <row r="1246" spans="1:4" x14ac:dyDescent="0.25">
      <c r="A1246" s="19">
        <v>41409</v>
      </c>
      <c r="B1246" s="19" t="e">
        <f>VLOOKUP($A1246,Config!$B$6:$E$1862,2,FALSE)</f>
        <v>#N/A</v>
      </c>
      <c r="C1246" s="19" t="e">
        <f>VLOOKUP($A1246,Config!$B$6:$E$1862,3,FALSE)</f>
        <v>#N/A</v>
      </c>
      <c r="D1246" s="19" t="e">
        <f>VLOOKUP($A1246,Config!$B$6:$E$1862,4,FALSE)</f>
        <v>#N/A</v>
      </c>
    </row>
    <row r="1247" spans="1:4" x14ac:dyDescent="0.25">
      <c r="A1247" s="19">
        <v>41410</v>
      </c>
      <c r="B1247" s="19" t="e">
        <f>VLOOKUP($A1247,Config!$B$6:$E$1862,2,FALSE)</f>
        <v>#N/A</v>
      </c>
      <c r="C1247" s="19" t="e">
        <f>VLOOKUP($A1247,Config!$B$6:$E$1862,3,FALSE)</f>
        <v>#N/A</v>
      </c>
      <c r="D1247" s="19" t="e">
        <f>VLOOKUP($A1247,Config!$B$6:$E$1862,4,FALSE)</f>
        <v>#N/A</v>
      </c>
    </row>
    <row r="1248" spans="1:4" x14ac:dyDescent="0.25">
      <c r="A1248" s="19">
        <v>41412</v>
      </c>
      <c r="B1248" s="19" t="e">
        <f>VLOOKUP($A1248,Config!$B$6:$E$1862,2,FALSE)</f>
        <v>#N/A</v>
      </c>
      <c r="C1248" s="19" t="e">
        <f>VLOOKUP($A1248,Config!$B$6:$E$1862,3,FALSE)</f>
        <v>#N/A</v>
      </c>
      <c r="D1248" s="19" t="e">
        <f>VLOOKUP($A1248,Config!$B$6:$E$1862,4,FALSE)</f>
        <v>#N/A</v>
      </c>
    </row>
    <row r="1249" spans="1:4" x14ac:dyDescent="0.25">
      <c r="A1249" s="19">
        <v>41413</v>
      </c>
      <c r="B1249" s="19" t="e">
        <f>VLOOKUP($A1249,Config!$B$6:$E$1862,2,FALSE)</f>
        <v>#N/A</v>
      </c>
      <c r="C1249" s="19" t="e">
        <f>VLOOKUP($A1249,Config!$B$6:$E$1862,3,FALSE)</f>
        <v>#N/A</v>
      </c>
      <c r="D1249" s="19" t="e">
        <f>VLOOKUP($A1249,Config!$B$6:$E$1862,4,FALSE)</f>
        <v>#N/A</v>
      </c>
    </row>
    <row r="1250" spans="1:4" x14ac:dyDescent="0.25">
      <c r="A1250" s="19">
        <v>41414</v>
      </c>
      <c r="B1250" s="19" t="e">
        <f>VLOOKUP($A1250,Config!$B$6:$E$1862,2,FALSE)</f>
        <v>#N/A</v>
      </c>
      <c r="C1250" s="19" t="e">
        <f>VLOOKUP($A1250,Config!$B$6:$E$1862,3,FALSE)</f>
        <v>#N/A</v>
      </c>
      <c r="D1250" s="19" t="e">
        <f>VLOOKUP($A1250,Config!$B$6:$E$1862,4,FALSE)</f>
        <v>#N/A</v>
      </c>
    </row>
    <row r="1251" spans="1:4" x14ac:dyDescent="0.25">
      <c r="A1251" s="19">
        <v>41415</v>
      </c>
      <c r="B1251" s="19" t="e">
        <f>VLOOKUP($A1251,Config!$B$6:$E$1862,2,FALSE)</f>
        <v>#N/A</v>
      </c>
      <c r="C1251" s="19" t="e">
        <f>VLOOKUP($A1251,Config!$B$6:$E$1862,3,FALSE)</f>
        <v>#N/A</v>
      </c>
      <c r="D1251" s="19" t="e">
        <f>VLOOKUP($A1251,Config!$B$6:$E$1862,4,FALSE)</f>
        <v>#N/A</v>
      </c>
    </row>
    <row r="1252" spans="1:4" x14ac:dyDescent="0.25">
      <c r="A1252" s="19">
        <v>41416</v>
      </c>
      <c r="B1252" s="19" t="e">
        <f>VLOOKUP($A1252,Config!$B$6:$E$1862,2,FALSE)</f>
        <v>#N/A</v>
      </c>
      <c r="C1252" s="19" t="e">
        <f>VLOOKUP($A1252,Config!$B$6:$E$1862,3,FALSE)</f>
        <v>#N/A</v>
      </c>
      <c r="D1252" s="19" t="e">
        <f>VLOOKUP($A1252,Config!$B$6:$E$1862,4,FALSE)</f>
        <v>#N/A</v>
      </c>
    </row>
    <row r="1253" spans="1:4" x14ac:dyDescent="0.25">
      <c r="A1253" s="19">
        <v>41417</v>
      </c>
      <c r="B1253" s="19" t="e">
        <f>VLOOKUP($A1253,Config!$B$6:$E$1862,2,FALSE)</f>
        <v>#N/A</v>
      </c>
      <c r="C1253" s="19" t="e">
        <f>VLOOKUP($A1253,Config!$B$6:$E$1862,3,FALSE)</f>
        <v>#N/A</v>
      </c>
      <c r="D1253" s="19" t="e">
        <f>VLOOKUP($A1253,Config!$B$6:$E$1862,4,FALSE)</f>
        <v>#N/A</v>
      </c>
    </row>
    <row r="1254" spans="1:4" x14ac:dyDescent="0.25">
      <c r="A1254" s="19">
        <v>41418</v>
      </c>
      <c r="B1254" s="19" t="e">
        <f>VLOOKUP($A1254,Config!$B$6:$E$1862,2,FALSE)</f>
        <v>#N/A</v>
      </c>
      <c r="C1254" s="19" t="e">
        <f>VLOOKUP($A1254,Config!$B$6:$E$1862,3,FALSE)</f>
        <v>#N/A</v>
      </c>
      <c r="D1254" s="19" t="e">
        <f>VLOOKUP($A1254,Config!$B$6:$E$1862,4,FALSE)</f>
        <v>#N/A</v>
      </c>
    </row>
    <row r="1255" spans="1:4" x14ac:dyDescent="0.25">
      <c r="A1255" s="19">
        <v>41419</v>
      </c>
      <c r="B1255" s="19" t="e">
        <f>VLOOKUP($A1255,Config!$B$6:$E$1862,2,FALSE)</f>
        <v>#N/A</v>
      </c>
      <c r="C1255" s="19" t="e">
        <f>VLOOKUP($A1255,Config!$B$6:$E$1862,3,FALSE)</f>
        <v>#N/A</v>
      </c>
      <c r="D1255" s="19" t="e">
        <f>VLOOKUP($A1255,Config!$B$6:$E$1862,4,FALSE)</f>
        <v>#N/A</v>
      </c>
    </row>
    <row r="1256" spans="1:4" x14ac:dyDescent="0.25">
      <c r="A1256" s="19">
        <v>41420</v>
      </c>
      <c r="B1256" s="19" t="e">
        <f>VLOOKUP($A1256,Config!$B$6:$E$1862,2,FALSE)</f>
        <v>#N/A</v>
      </c>
      <c r="C1256" s="19" t="e">
        <f>VLOOKUP($A1256,Config!$B$6:$E$1862,3,FALSE)</f>
        <v>#N/A</v>
      </c>
      <c r="D1256" s="19" t="e">
        <f>VLOOKUP($A1256,Config!$B$6:$E$1862,4,FALSE)</f>
        <v>#N/A</v>
      </c>
    </row>
    <row r="1257" spans="1:4" x14ac:dyDescent="0.25">
      <c r="A1257" s="19">
        <v>41421</v>
      </c>
      <c r="B1257" s="19" t="e">
        <f>VLOOKUP($A1257,Config!$B$6:$E$1862,2,FALSE)</f>
        <v>#N/A</v>
      </c>
      <c r="C1257" s="19" t="e">
        <f>VLOOKUP($A1257,Config!$B$6:$E$1862,3,FALSE)</f>
        <v>#N/A</v>
      </c>
      <c r="D1257" s="19" t="e">
        <f>VLOOKUP($A1257,Config!$B$6:$E$1862,4,FALSE)</f>
        <v>#N/A</v>
      </c>
    </row>
    <row r="1258" spans="1:4" x14ac:dyDescent="0.25">
      <c r="A1258" s="19">
        <v>41422</v>
      </c>
      <c r="B1258" s="19" t="e">
        <f>VLOOKUP($A1258,Config!$B$6:$E$1862,2,FALSE)</f>
        <v>#N/A</v>
      </c>
      <c r="C1258" s="19" t="e">
        <f>VLOOKUP($A1258,Config!$B$6:$E$1862,3,FALSE)</f>
        <v>#N/A</v>
      </c>
      <c r="D1258" s="19" t="e">
        <f>VLOOKUP($A1258,Config!$B$6:$E$1862,4,FALSE)</f>
        <v>#N/A</v>
      </c>
    </row>
    <row r="1259" spans="1:4" x14ac:dyDescent="0.25">
      <c r="A1259" s="19">
        <v>41423</v>
      </c>
      <c r="B1259" s="19" t="e">
        <f>VLOOKUP($A1259,Config!$B$6:$E$1862,2,FALSE)</f>
        <v>#N/A</v>
      </c>
      <c r="C1259" s="19" t="e">
        <f>VLOOKUP($A1259,Config!$B$6:$E$1862,3,FALSE)</f>
        <v>#N/A</v>
      </c>
      <c r="D1259" s="19" t="e">
        <f>VLOOKUP($A1259,Config!$B$6:$E$1862,4,FALSE)</f>
        <v>#N/A</v>
      </c>
    </row>
    <row r="1260" spans="1:4" x14ac:dyDescent="0.25">
      <c r="A1260" s="19">
        <v>41424</v>
      </c>
      <c r="B1260" s="19" t="e">
        <f>VLOOKUP($A1260,Config!$B$6:$E$1862,2,FALSE)</f>
        <v>#N/A</v>
      </c>
      <c r="C1260" s="19" t="e">
        <f>VLOOKUP($A1260,Config!$B$6:$E$1862,3,FALSE)</f>
        <v>#N/A</v>
      </c>
      <c r="D1260" s="19" t="e">
        <f>VLOOKUP($A1260,Config!$B$6:$E$1862,4,FALSE)</f>
        <v>#N/A</v>
      </c>
    </row>
    <row r="1261" spans="1:4" x14ac:dyDescent="0.25">
      <c r="A1261" s="19">
        <v>41425</v>
      </c>
      <c r="B1261" s="19" t="e">
        <f>VLOOKUP($A1261,Config!$B$6:$E$1862,2,FALSE)</f>
        <v>#N/A</v>
      </c>
      <c r="C1261" s="19" t="e">
        <f>VLOOKUP($A1261,Config!$B$6:$E$1862,3,FALSE)</f>
        <v>#N/A</v>
      </c>
      <c r="D1261" s="19" t="e">
        <f>VLOOKUP($A1261,Config!$B$6:$E$1862,4,FALSE)</f>
        <v>#N/A</v>
      </c>
    </row>
    <row r="1262" spans="1:4" x14ac:dyDescent="0.25">
      <c r="A1262" s="19">
        <v>41426</v>
      </c>
      <c r="B1262" s="19" t="e">
        <f>VLOOKUP($A1262,Config!$B$6:$E$1862,2,FALSE)</f>
        <v>#N/A</v>
      </c>
      <c r="C1262" s="19" t="e">
        <f>VLOOKUP($A1262,Config!$B$6:$E$1862,3,FALSE)</f>
        <v>#N/A</v>
      </c>
      <c r="D1262" s="19" t="e">
        <f>VLOOKUP($A1262,Config!$B$6:$E$1862,4,FALSE)</f>
        <v>#N/A</v>
      </c>
    </row>
    <row r="1263" spans="1:4" x14ac:dyDescent="0.25">
      <c r="A1263" s="19">
        <v>41427</v>
      </c>
      <c r="B1263" s="19" t="e">
        <f>VLOOKUP($A1263,Config!$B$6:$E$1862,2,FALSE)</f>
        <v>#N/A</v>
      </c>
      <c r="C1263" s="19" t="e">
        <f>VLOOKUP($A1263,Config!$B$6:$E$1862,3,FALSE)</f>
        <v>#N/A</v>
      </c>
      <c r="D1263" s="19" t="e">
        <f>VLOOKUP($A1263,Config!$B$6:$E$1862,4,FALSE)</f>
        <v>#N/A</v>
      </c>
    </row>
    <row r="1264" spans="1:4" x14ac:dyDescent="0.25">
      <c r="A1264" s="19">
        <v>41428</v>
      </c>
      <c r="B1264" s="19" t="e">
        <f>VLOOKUP($A1264,Config!$B$6:$E$1862,2,FALSE)</f>
        <v>#N/A</v>
      </c>
      <c r="C1264" s="19" t="e">
        <f>VLOOKUP($A1264,Config!$B$6:$E$1862,3,FALSE)</f>
        <v>#N/A</v>
      </c>
      <c r="D1264" s="19" t="e">
        <f>VLOOKUP($A1264,Config!$B$6:$E$1862,4,FALSE)</f>
        <v>#N/A</v>
      </c>
    </row>
    <row r="1265" spans="1:4" x14ac:dyDescent="0.25">
      <c r="A1265" s="19">
        <v>41429</v>
      </c>
      <c r="B1265" s="19" t="e">
        <f>VLOOKUP($A1265,Config!$B$6:$E$1862,2,FALSE)</f>
        <v>#N/A</v>
      </c>
      <c r="C1265" s="19" t="e">
        <f>VLOOKUP($A1265,Config!$B$6:$E$1862,3,FALSE)</f>
        <v>#N/A</v>
      </c>
      <c r="D1265" s="19" t="e">
        <f>VLOOKUP($A1265,Config!$B$6:$E$1862,4,FALSE)</f>
        <v>#N/A</v>
      </c>
    </row>
    <row r="1266" spans="1:4" x14ac:dyDescent="0.25">
      <c r="A1266" s="19">
        <v>41430</v>
      </c>
      <c r="B1266" s="19" t="e">
        <f>VLOOKUP($A1266,Config!$B$6:$E$1862,2,FALSE)</f>
        <v>#N/A</v>
      </c>
      <c r="C1266" s="19" t="e">
        <f>VLOOKUP($A1266,Config!$B$6:$E$1862,3,FALSE)</f>
        <v>#N/A</v>
      </c>
      <c r="D1266" s="19" t="e">
        <f>VLOOKUP($A1266,Config!$B$6:$E$1862,4,FALSE)</f>
        <v>#N/A</v>
      </c>
    </row>
    <row r="1267" spans="1:4" x14ac:dyDescent="0.25">
      <c r="A1267" s="19">
        <v>41431</v>
      </c>
      <c r="B1267" s="19" t="e">
        <f>VLOOKUP($A1267,Config!$B$6:$E$1862,2,FALSE)</f>
        <v>#N/A</v>
      </c>
      <c r="C1267" s="19" t="e">
        <f>VLOOKUP($A1267,Config!$B$6:$E$1862,3,FALSE)</f>
        <v>#N/A</v>
      </c>
      <c r="D1267" s="19" t="e">
        <f>VLOOKUP($A1267,Config!$B$6:$E$1862,4,FALSE)</f>
        <v>#N/A</v>
      </c>
    </row>
    <row r="1268" spans="1:4" x14ac:dyDescent="0.25">
      <c r="A1268" s="19">
        <v>41432</v>
      </c>
      <c r="B1268" s="19" t="e">
        <f>VLOOKUP($A1268,Config!$B$6:$E$1862,2,FALSE)</f>
        <v>#N/A</v>
      </c>
      <c r="C1268" s="19" t="e">
        <f>VLOOKUP($A1268,Config!$B$6:$E$1862,3,FALSE)</f>
        <v>#N/A</v>
      </c>
      <c r="D1268" s="19" t="e">
        <f>VLOOKUP($A1268,Config!$B$6:$E$1862,4,FALSE)</f>
        <v>#N/A</v>
      </c>
    </row>
    <row r="1269" spans="1:4" x14ac:dyDescent="0.25">
      <c r="A1269" s="19">
        <v>41433</v>
      </c>
      <c r="B1269" s="19" t="e">
        <f>VLOOKUP($A1269,Config!$B$6:$E$1862,2,FALSE)</f>
        <v>#N/A</v>
      </c>
      <c r="C1269" s="19" t="e">
        <f>VLOOKUP($A1269,Config!$B$6:$E$1862,3,FALSE)</f>
        <v>#N/A</v>
      </c>
      <c r="D1269" s="19" t="e">
        <f>VLOOKUP($A1269,Config!$B$6:$E$1862,4,FALSE)</f>
        <v>#N/A</v>
      </c>
    </row>
    <row r="1270" spans="1:4" x14ac:dyDescent="0.25">
      <c r="A1270" s="19">
        <v>41434</v>
      </c>
      <c r="B1270" s="19" t="e">
        <f>VLOOKUP($A1270,Config!$B$6:$E$1862,2,FALSE)</f>
        <v>#N/A</v>
      </c>
      <c r="C1270" s="19" t="e">
        <f>VLOOKUP($A1270,Config!$B$6:$E$1862,3,FALSE)</f>
        <v>#N/A</v>
      </c>
      <c r="D1270" s="19" t="e">
        <f>VLOOKUP($A1270,Config!$B$6:$E$1862,4,FALSE)</f>
        <v>#N/A</v>
      </c>
    </row>
    <row r="1271" spans="1:4" x14ac:dyDescent="0.25">
      <c r="A1271" s="19">
        <v>41435</v>
      </c>
      <c r="B1271" s="19" t="e">
        <f>VLOOKUP($A1271,Config!$B$6:$E$1862,2,FALSE)</f>
        <v>#N/A</v>
      </c>
      <c r="C1271" s="19" t="e">
        <f>VLOOKUP($A1271,Config!$B$6:$E$1862,3,FALSE)</f>
        <v>#N/A</v>
      </c>
      <c r="D1271" s="19" t="e">
        <f>VLOOKUP($A1271,Config!$B$6:$E$1862,4,FALSE)</f>
        <v>#N/A</v>
      </c>
    </row>
    <row r="1272" spans="1:4" x14ac:dyDescent="0.25">
      <c r="A1272" s="19">
        <v>41436</v>
      </c>
      <c r="B1272" s="19" t="e">
        <f>VLOOKUP($A1272,Config!$B$6:$E$1862,2,FALSE)</f>
        <v>#N/A</v>
      </c>
      <c r="C1272" s="19" t="e">
        <f>VLOOKUP($A1272,Config!$B$6:$E$1862,3,FALSE)</f>
        <v>#N/A</v>
      </c>
      <c r="D1272" s="19" t="e">
        <f>VLOOKUP($A1272,Config!$B$6:$E$1862,4,FALSE)</f>
        <v>#N/A</v>
      </c>
    </row>
    <row r="1273" spans="1:4" x14ac:dyDescent="0.25">
      <c r="A1273" s="19">
        <v>41437</v>
      </c>
      <c r="B1273" s="19" t="e">
        <f>VLOOKUP($A1273,Config!$B$6:$E$1862,2,FALSE)</f>
        <v>#N/A</v>
      </c>
      <c r="C1273" s="19" t="e">
        <f>VLOOKUP($A1273,Config!$B$6:$E$1862,3,FALSE)</f>
        <v>#N/A</v>
      </c>
      <c r="D1273" s="19" t="e">
        <f>VLOOKUP($A1273,Config!$B$6:$E$1862,4,FALSE)</f>
        <v>#N/A</v>
      </c>
    </row>
    <row r="1274" spans="1:4" x14ac:dyDescent="0.25">
      <c r="A1274" s="19">
        <v>41438</v>
      </c>
      <c r="B1274" s="19" t="e">
        <f>VLOOKUP($A1274,Config!$B$6:$E$1862,2,FALSE)</f>
        <v>#N/A</v>
      </c>
      <c r="C1274" s="19" t="e">
        <f>VLOOKUP($A1274,Config!$B$6:$E$1862,3,FALSE)</f>
        <v>#N/A</v>
      </c>
      <c r="D1274" s="19" t="e">
        <f>VLOOKUP($A1274,Config!$B$6:$E$1862,4,FALSE)</f>
        <v>#N/A</v>
      </c>
    </row>
    <row r="1275" spans="1:4" x14ac:dyDescent="0.25">
      <c r="A1275" s="19">
        <v>41439</v>
      </c>
      <c r="B1275" s="19" t="e">
        <f>VLOOKUP($A1275,Config!$B$6:$E$1862,2,FALSE)</f>
        <v>#N/A</v>
      </c>
      <c r="C1275" s="19" t="e">
        <f>VLOOKUP($A1275,Config!$B$6:$E$1862,3,FALSE)</f>
        <v>#N/A</v>
      </c>
      <c r="D1275" s="19" t="e">
        <f>VLOOKUP($A1275,Config!$B$6:$E$1862,4,FALSE)</f>
        <v>#N/A</v>
      </c>
    </row>
    <row r="1276" spans="1:4" x14ac:dyDescent="0.25">
      <c r="A1276" s="19">
        <v>41440</v>
      </c>
      <c r="B1276" s="19" t="e">
        <f>VLOOKUP($A1276,Config!$B$6:$E$1862,2,FALSE)</f>
        <v>#N/A</v>
      </c>
      <c r="C1276" s="19" t="e">
        <f>VLOOKUP($A1276,Config!$B$6:$E$1862,3,FALSE)</f>
        <v>#N/A</v>
      </c>
      <c r="D1276" s="19" t="e">
        <f>VLOOKUP($A1276,Config!$B$6:$E$1862,4,FALSE)</f>
        <v>#N/A</v>
      </c>
    </row>
    <row r="1277" spans="1:4" x14ac:dyDescent="0.25">
      <c r="A1277" s="19">
        <v>41441</v>
      </c>
      <c r="B1277" s="19" t="e">
        <f>VLOOKUP($A1277,Config!$B$6:$E$1862,2,FALSE)</f>
        <v>#N/A</v>
      </c>
      <c r="C1277" s="19" t="e">
        <f>VLOOKUP($A1277,Config!$B$6:$E$1862,3,FALSE)</f>
        <v>#N/A</v>
      </c>
      <c r="D1277" s="19" t="e">
        <f>VLOOKUP($A1277,Config!$B$6:$E$1862,4,FALSE)</f>
        <v>#N/A</v>
      </c>
    </row>
    <row r="1278" spans="1:4" x14ac:dyDescent="0.25">
      <c r="A1278" s="19">
        <v>41442</v>
      </c>
      <c r="B1278" s="19" t="e">
        <f>VLOOKUP($A1278,Config!$B$6:$E$1862,2,FALSE)</f>
        <v>#N/A</v>
      </c>
      <c r="C1278" s="19" t="e">
        <f>VLOOKUP($A1278,Config!$B$6:$E$1862,3,FALSE)</f>
        <v>#N/A</v>
      </c>
      <c r="D1278" s="19" t="e">
        <f>VLOOKUP($A1278,Config!$B$6:$E$1862,4,FALSE)</f>
        <v>#N/A</v>
      </c>
    </row>
    <row r="1279" spans="1:4" x14ac:dyDescent="0.25">
      <c r="A1279" s="19">
        <v>41443</v>
      </c>
      <c r="B1279" s="19" t="e">
        <f>VLOOKUP($A1279,Config!$B$6:$E$1862,2,FALSE)</f>
        <v>#N/A</v>
      </c>
      <c r="C1279" s="19" t="e">
        <f>VLOOKUP($A1279,Config!$B$6:$E$1862,3,FALSE)</f>
        <v>#N/A</v>
      </c>
      <c r="D1279" s="19" t="e">
        <f>VLOOKUP($A1279,Config!$B$6:$E$1862,4,FALSE)</f>
        <v>#N/A</v>
      </c>
    </row>
    <row r="1280" spans="1:4" x14ac:dyDescent="0.25">
      <c r="A1280" s="19">
        <v>41444</v>
      </c>
      <c r="B1280" s="19" t="e">
        <f>VLOOKUP($A1280,Config!$B$6:$E$1862,2,FALSE)</f>
        <v>#N/A</v>
      </c>
      <c r="C1280" s="19" t="e">
        <f>VLOOKUP($A1280,Config!$B$6:$E$1862,3,FALSE)</f>
        <v>#N/A</v>
      </c>
      <c r="D1280" s="19" t="e">
        <f>VLOOKUP($A1280,Config!$B$6:$E$1862,4,FALSE)</f>
        <v>#N/A</v>
      </c>
    </row>
    <row r="1281" spans="1:4" x14ac:dyDescent="0.25">
      <c r="A1281" s="19">
        <v>41445</v>
      </c>
      <c r="B1281" s="19" t="e">
        <f>VLOOKUP($A1281,Config!$B$6:$E$1862,2,FALSE)</f>
        <v>#N/A</v>
      </c>
      <c r="C1281" s="19" t="e">
        <f>VLOOKUP($A1281,Config!$B$6:$E$1862,3,FALSE)</f>
        <v>#N/A</v>
      </c>
      <c r="D1281" s="19" t="e">
        <f>VLOOKUP($A1281,Config!$B$6:$E$1862,4,FALSE)</f>
        <v>#N/A</v>
      </c>
    </row>
    <row r="1282" spans="1:4" x14ac:dyDescent="0.25">
      <c r="A1282" s="19">
        <v>41446</v>
      </c>
      <c r="B1282" s="19" t="e">
        <f>VLOOKUP($A1282,Config!$B$6:$E$1862,2,FALSE)</f>
        <v>#N/A</v>
      </c>
      <c r="C1282" s="19" t="e">
        <f>VLOOKUP($A1282,Config!$B$6:$E$1862,3,FALSE)</f>
        <v>#N/A</v>
      </c>
      <c r="D1282" s="19" t="e">
        <f>VLOOKUP($A1282,Config!$B$6:$E$1862,4,FALSE)</f>
        <v>#N/A</v>
      </c>
    </row>
    <row r="1283" spans="1:4" x14ac:dyDescent="0.25">
      <c r="A1283" s="19">
        <v>41447</v>
      </c>
      <c r="B1283" s="19" t="e">
        <f>VLOOKUP($A1283,Config!$B$6:$E$1862,2,FALSE)</f>
        <v>#N/A</v>
      </c>
      <c r="C1283" s="19" t="e">
        <f>VLOOKUP($A1283,Config!$B$6:$E$1862,3,FALSE)</f>
        <v>#N/A</v>
      </c>
      <c r="D1283" s="19" t="e">
        <f>VLOOKUP($A1283,Config!$B$6:$E$1862,4,FALSE)</f>
        <v>#N/A</v>
      </c>
    </row>
    <row r="1284" spans="1:4" x14ac:dyDescent="0.25">
      <c r="A1284" s="19">
        <v>41448</v>
      </c>
      <c r="B1284" s="19" t="e">
        <f>VLOOKUP($A1284,Config!$B$6:$E$1862,2,FALSE)</f>
        <v>#N/A</v>
      </c>
      <c r="C1284" s="19" t="e">
        <f>VLOOKUP($A1284,Config!$B$6:$E$1862,3,FALSE)</f>
        <v>#N/A</v>
      </c>
      <c r="D1284" s="19" t="e">
        <f>VLOOKUP($A1284,Config!$B$6:$E$1862,4,FALSE)</f>
        <v>#N/A</v>
      </c>
    </row>
    <row r="1285" spans="1:4" x14ac:dyDescent="0.25">
      <c r="A1285" s="19">
        <v>41449</v>
      </c>
      <c r="B1285" s="19" t="e">
        <f>VLOOKUP($A1285,Config!$B$6:$E$1862,2,FALSE)</f>
        <v>#N/A</v>
      </c>
      <c r="C1285" s="19" t="e">
        <f>VLOOKUP($A1285,Config!$B$6:$E$1862,3,FALSE)</f>
        <v>#N/A</v>
      </c>
      <c r="D1285" s="19" t="e">
        <f>VLOOKUP($A1285,Config!$B$6:$E$1862,4,FALSE)</f>
        <v>#N/A</v>
      </c>
    </row>
    <row r="1286" spans="1:4" x14ac:dyDescent="0.25">
      <c r="A1286" s="19">
        <v>41450</v>
      </c>
      <c r="B1286" s="19" t="e">
        <f>VLOOKUP($A1286,Config!$B$6:$E$1862,2,FALSE)</f>
        <v>#N/A</v>
      </c>
      <c r="C1286" s="19" t="e">
        <f>VLOOKUP($A1286,Config!$B$6:$E$1862,3,FALSE)</f>
        <v>#N/A</v>
      </c>
      <c r="D1286" s="19" t="e">
        <f>VLOOKUP($A1286,Config!$B$6:$E$1862,4,FALSE)</f>
        <v>#N/A</v>
      </c>
    </row>
    <row r="1287" spans="1:4" x14ac:dyDescent="0.25">
      <c r="A1287" s="19">
        <v>41451</v>
      </c>
      <c r="B1287" s="19" t="e">
        <f>VLOOKUP($A1287,Config!$B$6:$E$1862,2,FALSE)</f>
        <v>#N/A</v>
      </c>
      <c r="C1287" s="19" t="e">
        <f>VLOOKUP($A1287,Config!$B$6:$E$1862,3,FALSE)</f>
        <v>#N/A</v>
      </c>
      <c r="D1287" s="19" t="e">
        <f>VLOOKUP($A1287,Config!$B$6:$E$1862,4,FALSE)</f>
        <v>#N/A</v>
      </c>
    </row>
    <row r="1288" spans="1:4" x14ac:dyDescent="0.25">
      <c r="A1288" s="19">
        <v>41452</v>
      </c>
      <c r="B1288" s="19" t="e">
        <f>VLOOKUP($A1288,Config!$B$6:$E$1862,2,FALSE)</f>
        <v>#N/A</v>
      </c>
      <c r="C1288" s="19" t="e">
        <f>VLOOKUP($A1288,Config!$B$6:$E$1862,3,FALSE)</f>
        <v>#N/A</v>
      </c>
      <c r="D1288" s="19" t="e">
        <f>VLOOKUP($A1288,Config!$B$6:$E$1862,4,FALSE)</f>
        <v>#N/A</v>
      </c>
    </row>
    <row r="1289" spans="1:4" x14ac:dyDescent="0.25">
      <c r="A1289" s="19">
        <v>41453</v>
      </c>
      <c r="B1289" s="19" t="e">
        <f>VLOOKUP($A1289,Config!$B$6:$E$1862,2,FALSE)</f>
        <v>#N/A</v>
      </c>
      <c r="C1289" s="19" t="e">
        <f>VLOOKUP($A1289,Config!$B$6:$E$1862,3,FALSE)</f>
        <v>#N/A</v>
      </c>
      <c r="D1289" s="19" t="e">
        <f>VLOOKUP($A1289,Config!$B$6:$E$1862,4,FALSE)</f>
        <v>#N/A</v>
      </c>
    </row>
    <row r="1290" spans="1:4" x14ac:dyDescent="0.25">
      <c r="A1290" s="19">
        <v>41454</v>
      </c>
      <c r="B1290" s="19" t="e">
        <f>VLOOKUP($A1290,Config!$B$6:$E$1862,2,FALSE)</f>
        <v>#N/A</v>
      </c>
      <c r="C1290" s="19" t="e">
        <f>VLOOKUP($A1290,Config!$B$6:$E$1862,3,FALSE)</f>
        <v>#N/A</v>
      </c>
      <c r="D1290" s="19" t="e">
        <f>VLOOKUP($A1290,Config!$B$6:$E$1862,4,FALSE)</f>
        <v>#N/A</v>
      </c>
    </row>
    <row r="1291" spans="1:4" x14ac:dyDescent="0.25">
      <c r="A1291" s="19">
        <v>41455</v>
      </c>
      <c r="B1291" s="19" t="e">
        <f>VLOOKUP($A1291,Config!$B$6:$E$1862,2,FALSE)</f>
        <v>#N/A</v>
      </c>
      <c r="C1291" s="19" t="e">
        <f>VLOOKUP($A1291,Config!$B$6:$E$1862,3,FALSE)</f>
        <v>#N/A</v>
      </c>
      <c r="D1291" s="19" t="e">
        <f>VLOOKUP($A1291,Config!$B$6:$E$1862,4,FALSE)</f>
        <v>#N/A</v>
      </c>
    </row>
    <row r="1292" spans="1:4" x14ac:dyDescent="0.25">
      <c r="A1292" s="19">
        <v>41456</v>
      </c>
      <c r="B1292" s="19" t="e">
        <f>VLOOKUP($A1292,Config!$B$6:$E$1862,2,FALSE)</f>
        <v>#N/A</v>
      </c>
      <c r="C1292" s="19" t="e">
        <f>VLOOKUP($A1292,Config!$B$6:$E$1862,3,FALSE)</f>
        <v>#N/A</v>
      </c>
      <c r="D1292" s="19" t="e">
        <f>VLOOKUP($A1292,Config!$B$6:$E$1862,4,FALSE)</f>
        <v>#N/A</v>
      </c>
    </row>
    <row r="1293" spans="1:4" x14ac:dyDescent="0.25">
      <c r="A1293" s="19">
        <v>41457</v>
      </c>
      <c r="B1293" s="19" t="e">
        <f>VLOOKUP($A1293,Config!$B$6:$E$1862,2,FALSE)</f>
        <v>#N/A</v>
      </c>
      <c r="C1293" s="19" t="e">
        <f>VLOOKUP($A1293,Config!$B$6:$E$1862,3,FALSE)</f>
        <v>#N/A</v>
      </c>
      <c r="D1293" s="19" t="e">
        <f>VLOOKUP($A1293,Config!$B$6:$E$1862,4,FALSE)</f>
        <v>#N/A</v>
      </c>
    </row>
    <row r="1294" spans="1:4" x14ac:dyDescent="0.25">
      <c r="A1294" s="19">
        <v>41458</v>
      </c>
      <c r="B1294" s="19" t="e">
        <f>VLOOKUP($A1294,Config!$B$6:$E$1862,2,FALSE)</f>
        <v>#N/A</v>
      </c>
      <c r="C1294" s="19" t="e">
        <f>VLOOKUP($A1294,Config!$B$6:$E$1862,3,FALSE)</f>
        <v>#N/A</v>
      </c>
      <c r="D1294" s="19" t="e">
        <f>VLOOKUP($A1294,Config!$B$6:$E$1862,4,FALSE)</f>
        <v>#N/A</v>
      </c>
    </row>
    <row r="1295" spans="1:4" x14ac:dyDescent="0.25">
      <c r="A1295" s="19">
        <v>41459</v>
      </c>
      <c r="B1295" s="19" t="e">
        <f>VLOOKUP($A1295,Config!$B$6:$E$1862,2,FALSE)</f>
        <v>#N/A</v>
      </c>
      <c r="C1295" s="19" t="e">
        <f>VLOOKUP($A1295,Config!$B$6:$E$1862,3,FALSE)</f>
        <v>#N/A</v>
      </c>
      <c r="D1295" s="19" t="e">
        <f>VLOOKUP($A1295,Config!$B$6:$E$1862,4,FALSE)</f>
        <v>#N/A</v>
      </c>
    </row>
    <row r="1296" spans="1:4" x14ac:dyDescent="0.25">
      <c r="A1296" s="19">
        <v>41460</v>
      </c>
      <c r="B1296" s="19" t="e">
        <f>VLOOKUP($A1296,Config!$B$6:$E$1862,2,FALSE)</f>
        <v>#N/A</v>
      </c>
      <c r="C1296" s="19" t="e">
        <f>VLOOKUP($A1296,Config!$B$6:$E$1862,3,FALSE)</f>
        <v>#N/A</v>
      </c>
      <c r="D1296" s="19" t="e">
        <f>VLOOKUP($A1296,Config!$B$6:$E$1862,4,FALSE)</f>
        <v>#N/A</v>
      </c>
    </row>
    <row r="1297" spans="1:4" x14ac:dyDescent="0.25">
      <c r="A1297" s="19">
        <v>41461</v>
      </c>
      <c r="B1297" s="19" t="e">
        <f>VLOOKUP($A1297,Config!$B$6:$E$1862,2,FALSE)</f>
        <v>#N/A</v>
      </c>
      <c r="C1297" s="19" t="e">
        <f>VLOOKUP($A1297,Config!$B$6:$E$1862,3,FALSE)</f>
        <v>#N/A</v>
      </c>
      <c r="D1297" s="19" t="e">
        <f>VLOOKUP($A1297,Config!$B$6:$E$1862,4,FALSE)</f>
        <v>#N/A</v>
      </c>
    </row>
    <row r="1298" spans="1:4" x14ac:dyDescent="0.25">
      <c r="A1298" s="19">
        <v>41462</v>
      </c>
      <c r="B1298" s="19" t="e">
        <f>VLOOKUP($A1298,Config!$B$6:$E$1862,2,FALSE)</f>
        <v>#N/A</v>
      </c>
      <c r="C1298" s="19" t="e">
        <f>VLOOKUP($A1298,Config!$B$6:$E$1862,3,FALSE)</f>
        <v>#N/A</v>
      </c>
      <c r="D1298" s="19" t="e">
        <f>VLOOKUP($A1298,Config!$B$6:$E$1862,4,FALSE)</f>
        <v>#N/A</v>
      </c>
    </row>
    <row r="1299" spans="1:4" x14ac:dyDescent="0.25">
      <c r="A1299" s="19">
        <v>41464</v>
      </c>
      <c r="B1299" s="19" t="e">
        <f>VLOOKUP($A1299,Config!$B$6:$E$1862,2,FALSE)</f>
        <v>#N/A</v>
      </c>
      <c r="C1299" s="19" t="e">
        <f>VLOOKUP($A1299,Config!$B$6:$E$1862,3,FALSE)</f>
        <v>#N/A</v>
      </c>
      <c r="D1299" s="19" t="e">
        <f>VLOOKUP($A1299,Config!$B$6:$E$1862,4,FALSE)</f>
        <v>#N/A</v>
      </c>
    </row>
    <row r="1300" spans="1:4" x14ac:dyDescent="0.25">
      <c r="A1300" s="19">
        <v>41465</v>
      </c>
      <c r="B1300" s="19" t="e">
        <f>VLOOKUP($A1300,Config!$B$6:$E$1862,2,FALSE)</f>
        <v>#N/A</v>
      </c>
      <c r="C1300" s="19" t="e">
        <f>VLOOKUP($A1300,Config!$B$6:$E$1862,3,FALSE)</f>
        <v>#N/A</v>
      </c>
      <c r="D1300" s="19" t="e">
        <f>VLOOKUP($A1300,Config!$B$6:$E$1862,4,FALSE)</f>
        <v>#N/A</v>
      </c>
    </row>
    <row r="1301" spans="1:4" x14ac:dyDescent="0.25">
      <c r="A1301" s="19">
        <v>41466</v>
      </c>
      <c r="B1301" s="19" t="e">
        <f>VLOOKUP($A1301,Config!$B$6:$E$1862,2,FALSE)</f>
        <v>#N/A</v>
      </c>
      <c r="C1301" s="19" t="e">
        <f>VLOOKUP($A1301,Config!$B$6:$E$1862,3,FALSE)</f>
        <v>#N/A</v>
      </c>
      <c r="D1301" s="19" t="e">
        <f>VLOOKUP($A1301,Config!$B$6:$E$1862,4,FALSE)</f>
        <v>#N/A</v>
      </c>
    </row>
    <row r="1302" spans="1:4" x14ac:dyDescent="0.25">
      <c r="A1302" s="19">
        <v>41467</v>
      </c>
      <c r="B1302" s="19" t="e">
        <f>VLOOKUP($A1302,Config!$B$6:$E$1862,2,FALSE)</f>
        <v>#N/A</v>
      </c>
      <c r="C1302" s="19" t="e">
        <f>VLOOKUP($A1302,Config!$B$6:$E$1862,3,FALSE)</f>
        <v>#N/A</v>
      </c>
      <c r="D1302" s="19" t="e">
        <f>VLOOKUP($A1302,Config!$B$6:$E$1862,4,FALSE)</f>
        <v>#N/A</v>
      </c>
    </row>
    <row r="1303" spans="1:4" x14ac:dyDescent="0.25">
      <c r="A1303" s="19">
        <v>41468</v>
      </c>
      <c r="B1303" s="19" t="e">
        <f>VLOOKUP($A1303,Config!$B$6:$E$1862,2,FALSE)</f>
        <v>#N/A</v>
      </c>
      <c r="C1303" s="19" t="e">
        <f>VLOOKUP($A1303,Config!$B$6:$E$1862,3,FALSE)</f>
        <v>#N/A</v>
      </c>
      <c r="D1303" s="19" t="e">
        <f>VLOOKUP($A1303,Config!$B$6:$E$1862,4,FALSE)</f>
        <v>#N/A</v>
      </c>
    </row>
    <row r="1304" spans="1:4" x14ac:dyDescent="0.25">
      <c r="A1304" s="19">
        <v>41469</v>
      </c>
      <c r="B1304" s="19" t="e">
        <f>VLOOKUP($A1304,Config!$B$6:$E$1862,2,FALSE)</f>
        <v>#N/A</v>
      </c>
      <c r="C1304" s="19" t="e">
        <f>VLOOKUP($A1304,Config!$B$6:$E$1862,3,FALSE)</f>
        <v>#N/A</v>
      </c>
      <c r="D1304" s="19" t="e">
        <f>VLOOKUP($A1304,Config!$B$6:$E$1862,4,FALSE)</f>
        <v>#N/A</v>
      </c>
    </row>
    <row r="1305" spans="1:4" x14ac:dyDescent="0.25">
      <c r="A1305" s="19">
        <v>41472</v>
      </c>
      <c r="B1305" s="19" t="e">
        <f>VLOOKUP($A1305,Config!$B$6:$E$1862,2,FALSE)</f>
        <v>#N/A</v>
      </c>
      <c r="C1305" s="19" t="e">
        <f>VLOOKUP($A1305,Config!$B$6:$E$1862,3,FALSE)</f>
        <v>#N/A</v>
      </c>
      <c r="D1305" s="19" t="e">
        <f>VLOOKUP($A1305,Config!$B$6:$E$1862,4,FALSE)</f>
        <v>#N/A</v>
      </c>
    </row>
    <row r="1306" spans="1:4" x14ac:dyDescent="0.25">
      <c r="A1306" s="19">
        <v>41473</v>
      </c>
      <c r="B1306" s="19" t="e">
        <f>VLOOKUP($A1306,Config!$B$6:$E$1862,2,FALSE)</f>
        <v>#N/A</v>
      </c>
      <c r="C1306" s="19" t="e">
        <f>VLOOKUP($A1306,Config!$B$6:$E$1862,3,FALSE)</f>
        <v>#N/A</v>
      </c>
      <c r="D1306" s="19" t="e">
        <f>VLOOKUP($A1306,Config!$B$6:$E$1862,4,FALSE)</f>
        <v>#N/A</v>
      </c>
    </row>
    <row r="1307" spans="1:4" x14ac:dyDescent="0.25">
      <c r="A1307" s="19">
        <v>41474</v>
      </c>
      <c r="B1307" s="19" t="e">
        <f>VLOOKUP($A1307,Config!$B$6:$E$1862,2,FALSE)</f>
        <v>#N/A</v>
      </c>
      <c r="C1307" s="19" t="e">
        <f>VLOOKUP($A1307,Config!$B$6:$E$1862,3,FALSE)</f>
        <v>#N/A</v>
      </c>
      <c r="D1307" s="19" t="e">
        <f>VLOOKUP($A1307,Config!$B$6:$E$1862,4,FALSE)</f>
        <v>#N/A</v>
      </c>
    </row>
    <row r="1308" spans="1:4" x14ac:dyDescent="0.25">
      <c r="A1308" s="19">
        <v>41475</v>
      </c>
      <c r="B1308" s="19" t="e">
        <f>VLOOKUP($A1308,Config!$B$6:$E$1862,2,FALSE)</f>
        <v>#N/A</v>
      </c>
      <c r="C1308" s="19" t="e">
        <f>VLOOKUP($A1308,Config!$B$6:$E$1862,3,FALSE)</f>
        <v>#N/A</v>
      </c>
      <c r="D1308" s="19" t="e">
        <f>VLOOKUP($A1308,Config!$B$6:$E$1862,4,FALSE)</f>
        <v>#N/A</v>
      </c>
    </row>
    <row r="1309" spans="1:4" x14ac:dyDescent="0.25">
      <c r="A1309" s="19">
        <v>41480</v>
      </c>
      <c r="B1309" s="19" t="e">
        <f>VLOOKUP($A1309,Config!$B$6:$E$1862,2,FALSE)</f>
        <v>#N/A</v>
      </c>
      <c r="C1309" s="19" t="e">
        <f>VLOOKUP($A1309,Config!$B$6:$E$1862,3,FALSE)</f>
        <v>#N/A</v>
      </c>
      <c r="D1309" s="19" t="e">
        <f>VLOOKUP($A1309,Config!$B$6:$E$1862,4,FALSE)</f>
        <v>#N/A</v>
      </c>
    </row>
    <row r="1310" spans="1:4" x14ac:dyDescent="0.25">
      <c r="A1310" s="19">
        <v>41482</v>
      </c>
      <c r="B1310" s="19" t="e">
        <f>VLOOKUP($A1310,Config!$B$6:$E$1862,2,FALSE)</f>
        <v>#N/A</v>
      </c>
      <c r="C1310" s="19" t="e">
        <f>VLOOKUP($A1310,Config!$B$6:$E$1862,3,FALSE)</f>
        <v>#N/A</v>
      </c>
      <c r="D1310" s="19" t="e">
        <f>VLOOKUP($A1310,Config!$B$6:$E$1862,4,FALSE)</f>
        <v>#N/A</v>
      </c>
    </row>
    <row r="1311" spans="1:4" x14ac:dyDescent="0.25">
      <c r="A1311" s="19">
        <v>41483</v>
      </c>
      <c r="B1311" s="19" t="e">
        <f>VLOOKUP($A1311,Config!$B$6:$E$1862,2,FALSE)</f>
        <v>#N/A</v>
      </c>
      <c r="C1311" s="19" t="e">
        <f>VLOOKUP($A1311,Config!$B$6:$E$1862,3,FALSE)</f>
        <v>#N/A</v>
      </c>
      <c r="D1311" s="19" t="e">
        <f>VLOOKUP($A1311,Config!$B$6:$E$1862,4,FALSE)</f>
        <v>#N/A</v>
      </c>
    </row>
    <row r="1312" spans="1:4" x14ac:dyDescent="0.25">
      <c r="A1312" s="19">
        <v>41484</v>
      </c>
      <c r="B1312" s="19" t="e">
        <f>VLOOKUP($A1312,Config!$B$6:$E$1862,2,FALSE)</f>
        <v>#N/A</v>
      </c>
      <c r="C1312" s="19" t="e">
        <f>VLOOKUP($A1312,Config!$B$6:$E$1862,3,FALSE)</f>
        <v>#N/A</v>
      </c>
      <c r="D1312" s="19" t="e">
        <f>VLOOKUP($A1312,Config!$B$6:$E$1862,4,FALSE)</f>
        <v>#N/A</v>
      </c>
    </row>
    <row r="1313" spans="1:4" x14ac:dyDescent="0.25">
      <c r="A1313" s="19">
        <v>41486</v>
      </c>
      <c r="B1313" s="19" t="e">
        <f>VLOOKUP($A1313,Config!$B$6:$E$1862,2,FALSE)</f>
        <v>#N/A</v>
      </c>
      <c r="C1313" s="19" t="e">
        <f>VLOOKUP($A1313,Config!$B$6:$E$1862,3,FALSE)</f>
        <v>#N/A</v>
      </c>
      <c r="D1313" s="19" t="e">
        <f>VLOOKUP($A1313,Config!$B$6:$E$1862,4,FALSE)</f>
        <v>#N/A</v>
      </c>
    </row>
    <row r="1314" spans="1:4" x14ac:dyDescent="0.25">
      <c r="A1314" s="19">
        <v>41488</v>
      </c>
      <c r="B1314" s="19" t="e">
        <f>VLOOKUP($A1314,Config!$B$6:$E$1862,2,FALSE)</f>
        <v>#N/A</v>
      </c>
      <c r="C1314" s="19" t="e">
        <f>VLOOKUP($A1314,Config!$B$6:$E$1862,3,FALSE)</f>
        <v>#N/A</v>
      </c>
      <c r="D1314" s="19" t="e">
        <f>VLOOKUP($A1314,Config!$B$6:$E$1862,4,FALSE)</f>
        <v>#N/A</v>
      </c>
    </row>
    <row r="1315" spans="1:4" x14ac:dyDescent="0.25">
      <c r="A1315" s="19">
        <v>41489</v>
      </c>
      <c r="B1315" s="19" t="e">
        <f>VLOOKUP($A1315,Config!$B$6:$E$1862,2,FALSE)</f>
        <v>#N/A</v>
      </c>
      <c r="C1315" s="19" t="e">
        <f>VLOOKUP($A1315,Config!$B$6:$E$1862,3,FALSE)</f>
        <v>#N/A</v>
      </c>
      <c r="D1315" s="19" t="e">
        <f>VLOOKUP($A1315,Config!$B$6:$E$1862,4,FALSE)</f>
        <v>#N/A</v>
      </c>
    </row>
    <row r="1316" spans="1:4" x14ac:dyDescent="0.25">
      <c r="A1316" s="19">
        <v>41490</v>
      </c>
      <c r="B1316" s="19" t="e">
        <f>VLOOKUP($A1316,Config!$B$6:$E$1862,2,FALSE)</f>
        <v>#N/A</v>
      </c>
      <c r="C1316" s="19" t="e">
        <f>VLOOKUP($A1316,Config!$B$6:$E$1862,3,FALSE)</f>
        <v>#N/A</v>
      </c>
      <c r="D1316" s="19" t="e">
        <f>VLOOKUP($A1316,Config!$B$6:$E$1862,4,FALSE)</f>
        <v>#N/A</v>
      </c>
    </row>
    <row r="1317" spans="1:4" x14ac:dyDescent="0.25">
      <c r="A1317" s="19">
        <v>41491</v>
      </c>
      <c r="B1317" s="19" t="e">
        <f>VLOOKUP($A1317,Config!$B$6:$E$1862,2,FALSE)</f>
        <v>#N/A</v>
      </c>
      <c r="C1317" s="19" t="e">
        <f>VLOOKUP($A1317,Config!$B$6:$E$1862,3,FALSE)</f>
        <v>#N/A</v>
      </c>
      <c r="D1317" s="19" t="e">
        <f>VLOOKUP($A1317,Config!$B$6:$E$1862,4,FALSE)</f>
        <v>#N/A</v>
      </c>
    </row>
    <row r="1318" spans="1:4" x14ac:dyDescent="0.25">
      <c r="A1318" s="19">
        <v>41493</v>
      </c>
      <c r="B1318" s="19" t="e">
        <f>VLOOKUP($A1318,Config!$B$6:$E$1862,2,FALSE)</f>
        <v>#N/A</v>
      </c>
      <c r="C1318" s="19" t="e">
        <f>VLOOKUP($A1318,Config!$B$6:$E$1862,3,FALSE)</f>
        <v>#N/A</v>
      </c>
      <c r="D1318" s="19" t="e">
        <f>VLOOKUP($A1318,Config!$B$6:$E$1862,4,FALSE)</f>
        <v>#N/A</v>
      </c>
    </row>
    <row r="1319" spans="1:4" x14ac:dyDescent="0.25">
      <c r="A1319" s="19">
        <v>41494</v>
      </c>
      <c r="B1319" s="19" t="e">
        <f>VLOOKUP($A1319,Config!$B$6:$E$1862,2,FALSE)</f>
        <v>#N/A</v>
      </c>
      <c r="C1319" s="19" t="e">
        <f>VLOOKUP($A1319,Config!$B$6:$E$1862,3,FALSE)</f>
        <v>#N/A</v>
      </c>
      <c r="D1319" s="19" t="e">
        <f>VLOOKUP($A1319,Config!$B$6:$E$1862,4,FALSE)</f>
        <v>#N/A</v>
      </c>
    </row>
    <row r="1320" spans="1:4" x14ac:dyDescent="0.25">
      <c r="A1320" s="19">
        <v>41495</v>
      </c>
      <c r="B1320" s="19" t="e">
        <f>VLOOKUP($A1320,Config!$B$6:$E$1862,2,FALSE)</f>
        <v>#N/A</v>
      </c>
      <c r="C1320" s="19" t="e">
        <f>VLOOKUP($A1320,Config!$B$6:$E$1862,3,FALSE)</f>
        <v>#N/A</v>
      </c>
      <c r="D1320" s="19" t="e">
        <f>VLOOKUP($A1320,Config!$B$6:$E$1862,4,FALSE)</f>
        <v>#N/A</v>
      </c>
    </row>
    <row r="1321" spans="1:4" x14ac:dyDescent="0.25">
      <c r="A1321" s="19">
        <v>41497</v>
      </c>
      <c r="B1321" s="19" t="e">
        <f>VLOOKUP($A1321,Config!$B$6:$E$1862,2,FALSE)</f>
        <v>#N/A</v>
      </c>
      <c r="C1321" s="19" t="e">
        <f>VLOOKUP($A1321,Config!$B$6:$E$1862,3,FALSE)</f>
        <v>#N/A</v>
      </c>
      <c r="D1321" s="19" t="e">
        <f>VLOOKUP($A1321,Config!$B$6:$E$1862,4,FALSE)</f>
        <v>#N/A</v>
      </c>
    </row>
    <row r="1322" spans="1:4" x14ac:dyDescent="0.25">
      <c r="A1322" s="19">
        <v>41502</v>
      </c>
      <c r="B1322" s="19" t="e">
        <f>VLOOKUP($A1322,Config!$B$6:$E$1862,2,FALSE)</f>
        <v>#N/A</v>
      </c>
      <c r="C1322" s="19" t="e">
        <f>VLOOKUP($A1322,Config!$B$6:$E$1862,3,FALSE)</f>
        <v>#N/A</v>
      </c>
      <c r="D1322" s="19" t="e">
        <f>VLOOKUP($A1322,Config!$B$6:$E$1862,4,FALSE)</f>
        <v>#N/A</v>
      </c>
    </row>
    <row r="1323" spans="1:4" x14ac:dyDescent="0.25">
      <c r="A1323" s="19">
        <v>41503</v>
      </c>
      <c r="B1323" s="19" t="e">
        <f>VLOOKUP($A1323,Config!$B$6:$E$1862,2,FALSE)</f>
        <v>#N/A</v>
      </c>
      <c r="C1323" s="19" t="e">
        <f>VLOOKUP($A1323,Config!$B$6:$E$1862,3,FALSE)</f>
        <v>#N/A</v>
      </c>
      <c r="D1323" s="19" t="e">
        <f>VLOOKUP($A1323,Config!$B$6:$E$1862,4,FALSE)</f>
        <v>#N/A</v>
      </c>
    </row>
    <row r="1324" spans="1:4" x14ac:dyDescent="0.25">
      <c r="A1324" s="19">
        <v>41504</v>
      </c>
      <c r="B1324" s="19" t="e">
        <f>VLOOKUP($A1324,Config!$B$6:$E$1862,2,FALSE)</f>
        <v>#N/A</v>
      </c>
      <c r="C1324" s="19" t="e">
        <f>VLOOKUP($A1324,Config!$B$6:$E$1862,3,FALSE)</f>
        <v>#N/A</v>
      </c>
      <c r="D1324" s="19" t="e">
        <f>VLOOKUP($A1324,Config!$B$6:$E$1862,4,FALSE)</f>
        <v>#N/A</v>
      </c>
    </row>
    <row r="1325" spans="1:4" x14ac:dyDescent="0.25">
      <c r="A1325" s="19">
        <v>41505</v>
      </c>
      <c r="B1325" s="19" t="e">
        <f>VLOOKUP($A1325,Config!$B$6:$E$1862,2,FALSE)</f>
        <v>#N/A</v>
      </c>
      <c r="C1325" s="19" t="e">
        <f>VLOOKUP($A1325,Config!$B$6:$E$1862,3,FALSE)</f>
        <v>#N/A</v>
      </c>
      <c r="D1325" s="19" t="e">
        <f>VLOOKUP($A1325,Config!$B$6:$E$1862,4,FALSE)</f>
        <v>#N/A</v>
      </c>
    </row>
    <row r="1326" spans="1:4" x14ac:dyDescent="0.25">
      <c r="A1326" s="19">
        <v>41506</v>
      </c>
      <c r="B1326" s="19" t="e">
        <f>VLOOKUP($A1326,Config!$B$6:$E$1862,2,FALSE)</f>
        <v>#N/A</v>
      </c>
      <c r="C1326" s="19" t="e">
        <f>VLOOKUP($A1326,Config!$B$6:$E$1862,3,FALSE)</f>
        <v>#N/A</v>
      </c>
      <c r="D1326" s="19" t="e">
        <f>VLOOKUP($A1326,Config!$B$6:$E$1862,4,FALSE)</f>
        <v>#N/A</v>
      </c>
    </row>
    <row r="1327" spans="1:4" x14ac:dyDescent="0.25">
      <c r="A1327" s="19">
        <v>41507</v>
      </c>
      <c r="B1327" s="19" t="e">
        <f>VLOOKUP($A1327,Config!$B$6:$E$1862,2,FALSE)</f>
        <v>#N/A</v>
      </c>
      <c r="C1327" s="19" t="e">
        <f>VLOOKUP($A1327,Config!$B$6:$E$1862,3,FALSE)</f>
        <v>#N/A</v>
      </c>
      <c r="D1327" s="19" t="e">
        <f>VLOOKUP($A1327,Config!$B$6:$E$1862,4,FALSE)</f>
        <v>#N/A</v>
      </c>
    </row>
    <row r="1328" spans="1:4" x14ac:dyDescent="0.25">
      <c r="A1328" s="19">
        <v>41508</v>
      </c>
      <c r="B1328" s="19" t="e">
        <f>VLOOKUP($A1328,Config!$B$6:$E$1862,2,FALSE)</f>
        <v>#N/A</v>
      </c>
      <c r="C1328" s="19" t="e">
        <f>VLOOKUP($A1328,Config!$B$6:$E$1862,3,FALSE)</f>
        <v>#N/A</v>
      </c>
      <c r="D1328" s="19" t="e">
        <f>VLOOKUP($A1328,Config!$B$6:$E$1862,4,FALSE)</f>
        <v>#N/A</v>
      </c>
    </row>
    <row r="1329" spans="1:4" x14ac:dyDescent="0.25">
      <c r="A1329" s="19">
        <v>41509</v>
      </c>
      <c r="B1329" s="19" t="e">
        <f>VLOOKUP($A1329,Config!$B$6:$E$1862,2,FALSE)</f>
        <v>#N/A</v>
      </c>
      <c r="C1329" s="19" t="e">
        <f>VLOOKUP($A1329,Config!$B$6:$E$1862,3,FALSE)</f>
        <v>#N/A</v>
      </c>
      <c r="D1329" s="19" t="e">
        <f>VLOOKUP($A1329,Config!$B$6:$E$1862,4,FALSE)</f>
        <v>#N/A</v>
      </c>
    </row>
    <row r="1330" spans="1:4" x14ac:dyDescent="0.25">
      <c r="A1330" s="19">
        <v>41510</v>
      </c>
      <c r="B1330" s="19" t="e">
        <f>VLOOKUP($A1330,Config!$B$6:$E$1862,2,FALSE)</f>
        <v>#N/A</v>
      </c>
      <c r="C1330" s="19" t="e">
        <f>VLOOKUP($A1330,Config!$B$6:$E$1862,3,FALSE)</f>
        <v>#N/A</v>
      </c>
      <c r="D1330" s="19" t="e">
        <f>VLOOKUP($A1330,Config!$B$6:$E$1862,4,FALSE)</f>
        <v>#N/A</v>
      </c>
    </row>
    <row r="1331" spans="1:4" x14ac:dyDescent="0.25">
      <c r="A1331" s="19">
        <v>41511</v>
      </c>
      <c r="B1331" s="19" t="e">
        <f>VLOOKUP($A1331,Config!$B$6:$E$1862,2,FALSE)</f>
        <v>#N/A</v>
      </c>
      <c r="C1331" s="19" t="e">
        <f>VLOOKUP($A1331,Config!$B$6:$E$1862,3,FALSE)</f>
        <v>#N/A</v>
      </c>
      <c r="D1331" s="19" t="e">
        <f>VLOOKUP($A1331,Config!$B$6:$E$1862,4,FALSE)</f>
        <v>#N/A</v>
      </c>
    </row>
    <row r="1332" spans="1:4" x14ac:dyDescent="0.25">
      <c r="A1332" s="19">
        <v>41512</v>
      </c>
      <c r="B1332" s="19" t="e">
        <f>VLOOKUP($A1332,Config!$B$6:$E$1862,2,FALSE)</f>
        <v>#N/A</v>
      </c>
      <c r="C1332" s="19" t="e">
        <f>VLOOKUP($A1332,Config!$B$6:$E$1862,3,FALSE)</f>
        <v>#N/A</v>
      </c>
      <c r="D1332" s="19" t="e">
        <f>VLOOKUP($A1332,Config!$B$6:$E$1862,4,FALSE)</f>
        <v>#N/A</v>
      </c>
    </row>
    <row r="1333" spans="1:4" x14ac:dyDescent="0.25">
      <c r="A1333" s="19">
        <v>41513</v>
      </c>
      <c r="B1333" s="19" t="e">
        <f>VLOOKUP($A1333,Config!$B$6:$E$1862,2,FALSE)</f>
        <v>#N/A</v>
      </c>
      <c r="C1333" s="19" t="e">
        <f>VLOOKUP($A1333,Config!$B$6:$E$1862,3,FALSE)</f>
        <v>#N/A</v>
      </c>
      <c r="D1333" s="19" t="e">
        <f>VLOOKUP($A1333,Config!$B$6:$E$1862,4,FALSE)</f>
        <v>#N/A</v>
      </c>
    </row>
    <row r="1334" spans="1:4" x14ac:dyDescent="0.25">
      <c r="A1334" s="19">
        <v>41514</v>
      </c>
      <c r="B1334" s="19" t="e">
        <f>VLOOKUP($A1334,Config!$B$6:$E$1862,2,FALSE)</f>
        <v>#N/A</v>
      </c>
      <c r="C1334" s="19" t="e">
        <f>VLOOKUP($A1334,Config!$B$6:$E$1862,3,FALSE)</f>
        <v>#N/A</v>
      </c>
      <c r="D1334" s="19" t="e">
        <f>VLOOKUP($A1334,Config!$B$6:$E$1862,4,FALSE)</f>
        <v>#N/A</v>
      </c>
    </row>
    <row r="1335" spans="1:4" x14ac:dyDescent="0.25">
      <c r="A1335" s="19">
        <v>41515</v>
      </c>
      <c r="B1335" s="19" t="e">
        <f>VLOOKUP($A1335,Config!$B$6:$E$1862,2,FALSE)</f>
        <v>#N/A</v>
      </c>
      <c r="C1335" s="19" t="e">
        <f>VLOOKUP($A1335,Config!$B$6:$E$1862,3,FALSE)</f>
        <v>#N/A</v>
      </c>
      <c r="D1335" s="19" t="e">
        <f>VLOOKUP($A1335,Config!$B$6:$E$1862,4,FALSE)</f>
        <v>#N/A</v>
      </c>
    </row>
    <row r="1336" spans="1:4" x14ac:dyDescent="0.25">
      <c r="A1336" s="19">
        <v>41516</v>
      </c>
      <c r="B1336" s="19" t="e">
        <f>VLOOKUP($A1336,Config!$B$6:$E$1862,2,FALSE)</f>
        <v>#N/A</v>
      </c>
      <c r="C1336" s="19" t="e">
        <f>VLOOKUP($A1336,Config!$B$6:$E$1862,3,FALSE)</f>
        <v>#N/A</v>
      </c>
      <c r="D1336" s="19" t="e">
        <f>VLOOKUP($A1336,Config!$B$6:$E$1862,4,FALSE)</f>
        <v>#N/A</v>
      </c>
    </row>
    <row r="1337" spans="1:4" x14ac:dyDescent="0.25">
      <c r="A1337" s="19">
        <v>41519</v>
      </c>
      <c r="B1337" s="19" t="e">
        <f>VLOOKUP($A1337,Config!$B$6:$E$1862,2,FALSE)</f>
        <v>#N/A</v>
      </c>
      <c r="C1337" s="19" t="e">
        <f>VLOOKUP($A1337,Config!$B$6:$E$1862,3,FALSE)</f>
        <v>#N/A</v>
      </c>
      <c r="D1337" s="19" t="e">
        <f>VLOOKUP($A1337,Config!$B$6:$E$1862,4,FALSE)</f>
        <v>#N/A</v>
      </c>
    </row>
    <row r="1338" spans="1:4" x14ac:dyDescent="0.25">
      <c r="A1338" s="19">
        <v>41521</v>
      </c>
      <c r="B1338" s="19" t="e">
        <f>VLOOKUP($A1338,Config!$B$6:$E$1862,2,FALSE)</f>
        <v>#N/A</v>
      </c>
      <c r="C1338" s="19" t="e">
        <f>VLOOKUP($A1338,Config!$B$6:$E$1862,3,FALSE)</f>
        <v>#N/A</v>
      </c>
      <c r="D1338" s="19" t="e">
        <f>VLOOKUP($A1338,Config!$B$6:$E$1862,4,FALSE)</f>
        <v>#N/A</v>
      </c>
    </row>
    <row r="1339" spans="1:4" x14ac:dyDescent="0.25">
      <c r="A1339" s="19">
        <v>41522</v>
      </c>
      <c r="B1339" s="19" t="e">
        <f>VLOOKUP($A1339,Config!$B$6:$E$1862,2,FALSE)</f>
        <v>#N/A</v>
      </c>
      <c r="C1339" s="19" t="e">
        <f>VLOOKUP($A1339,Config!$B$6:$E$1862,3,FALSE)</f>
        <v>#N/A</v>
      </c>
      <c r="D1339" s="19" t="e">
        <f>VLOOKUP($A1339,Config!$B$6:$E$1862,4,FALSE)</f>
        <v>#N/A</v>
      </c>
    </row>
    <row r="1340" spans="1:4" x14ac:dyDescent="0.25">
      <c r="A1340" s="19">
        <v>41523</v>
      </c>
      <c r="B1340" s="19" t="e">
        <f>VLOOKUP($A1340,Config!$B$6:$E$1862,2,FALSE)</f>
        <v>#N/A</v>
      </c>
      <c r="C1340" s="19" t="e">
        <f>VLOOKUP($A1340,Config!$B$6:$E$1862,3,FALSE)</f>
        <v>#N/A</v>
      </c>
      <c r="D1340" s="19" t="e">
        <f>VLOOKUP($A1340,Config!$B$6:$E$1862,4,FALSE)</f>
        <v>#N/A</v>
      </c>
    </row>
    <row r="1341" spans="1:4" x14ac:dyDescent="0.25">
      <c r="A1341" s="19">
        <v>41524</v>
      </c>
      <c r="B1341" s="19" t="e">
        <f>VLOOKUP($A1341,Config!$B$6:$E$1862,2,FALSE)</f>
        <v>#N/A</v>
      </c>
      <c r="C1341" s="19" t="e">
        <f>VLOOKUP($A1341,Config!$B$6:$E$1862,3,FALSE)</f>
        <v>#N/A</v>
      </c>
      <c r="D1341" s="19" t="e">
        <f>VLOOKUP($A1341,Config!$B$6:$E$1862,4,FALSE)</f>
        <v>#N/A</v>
      </c>
    </row>
    <row r="1342" spans="1:4" x14ac:dyDescent="0.25">
      <c r="A1342" s="19">
        <v>41525</v>
      </c>
      <c r="B1342" s="19" t="e">
        <f>VLOOKUP($A1342,Config!$B$6:$E$1862,2,FALSE)</f>
        <v>#N/A</v>
      </c>
      <c r="C1342" s="19" t="e">
        <f>VLOOKUP($A1342,Config!$B$6:$E$1862,3,FALSE)</f>
        <v>#N/A</v>
      </c>
      <c r="D1342" s="19" t="e">
        <f>VLOOKUP($A1342,Config!$B$6:$E$1862,4,FALSE)</f>
        <v>#N/A</v>
      </c>
    </row>
    <row r="1343" spans="1:4" x14ac:dyDescent="0.25">
      <c r="A1343" s="19">
        <v>41527</v>
      </c>
      <c r="B1343" s="19" t="e">
        <f>VLOOKUP($A1343,Config!$B$6:$E$1862,2,FALSE)</f>
        <v>#N/A</v>
      </c>
      <c r="C1343" s="19" t="e">
        <f>VLOOKUP($A1343,Config!$B$6:$E$1862,3,FALSE)</f>
        <v>#N/A</v>
      </c>
      <c r="D1343" s="19" t="e">
        <f>VLOOKUP($A1343,Config!$B$6:$E$1862,4,FALSE)</f>
        <v>#N/A</v>
      </c>
    </row>
    <row r="1344" spans="1:4" x14ac:dyDescent="0.25">
      <c r="A1344" s="19">
        <v>41528</v>
      </c>
      <c r="B1344" s="19" t="e">
        <f>VLOOKUP($A1344,Config!$B$6:$E$1862,2,FALSE)</f>
        <v>#N/A</v>
      </c>
      <c r="C1344" s="19" t="e">
        <f>VLOOKUP($A1344,Config!$B$6:$E$1862,3,FALSE)</f>
        <v>#N/A</v>
      </c>
      <c r="D1344" s="19" t="e">
        <f>VLOOKUP($A1344,Config!$B$6:$E$1862,4,FALSE)</f>
        <v>#N/A</v>
      </c>
    </row>
    <row r="1345" spans="1:4" x14ac:dyDescent="0.25">
      <c r="A1345" s="19">
        <v>41529</v>
      </c>
      <c r="B1345" s="19" t="e">
        <f>VLOOKUP($A1345,Config!$B$6:$E$1862,2,FALSE)</f>
        <v>#N/A</v>
      </c>
      <c r="C1345" s="19" t="e">
        <f>VLOOKUP($A1345,Config!$B$6:$E$1862,3,FALSE)</f>
        <v>#N/A</v>
      </c>
      <c r="D1345" s="19" t="e">
        <f>VLOOKUP($A1345,Config!$B$6:$E$1862,4,FALSE)</f>
        <v>#N/A</v>
      </c>
    </row>
    <row r="1346" spans="1:4" x14ac:dyDescent="0.25">
      <c r="A1346" s="19">
        <v>41530</v>
      </c>
      <c r="B1346" s="19" t="e">
        <f>VLOOKUP($A1346,Config!$B$6:$E$1862,2,FALSE)</f>
        <v>#N/A</v>
      </c>
      <c r="C1346" s="19" t="e">
        <f>VLOOKUP($A1346,Config!$B$6:$E$1862,3,FALSE)</f>
        <v>#N/A</v>
      </c>
      <c r="D1346" s="19" t="e">
        <f>VLOOKUP($A1346,Config!$B$6:$E$1862,4,FALSE)</f>
        <v>#N/A</v>
      </c>
    </row>
    <row r="1347" spans="1:4" x14ac:dyDescent="0.25">
      <c r="A1347" s="19">
        <v>41531</v>
      </c>
      <c r="B1347" s="19" t="e">
        <f>VLOOKUP($A1347,Config!$B$6:$E$1862,2,FALSE)</f>
        <v>#N/A</v>
      </c>
      <c r="C1347" s="19" t="e">
        <f>VLOOKUP($A1347,Config!$B$6:$E$1862,3,FALSE)</f>
        <v>#N/A</v>
      </c>
      <c r="D1347" s="19" t="e">
        <f>VLOOKUP($A1347,Config!$B$6:$E$1862,4,FALSE)</f>
        <v>#N/A</v>
      </c>
    </row>
    <row r="1348" spans="1:4" x14ac:dyDescent="0.25">
      <c r="A1348" s="19">
        <v>41532</v>
      </c>
      <c r="B1348" s="19" t="e">
        <f>VLOOKUP($A1348,Config!$B$6:$E$1862,2,FALSE)</f>
        <v>#N/A</v>
      </c>
      <c r="C1348" s="19" t="e">
        <f>VLOOKUP($A1348,Config!$B$6:$E$1862,3,FALSE)</f>
        <v>#N/A</v>
      </c>
      <c r="D1348" s="19" t="e">
        <f>VLOOKUP($A1348,Config!$B$6:$E$1862,4,FALSE)</f>
        <v>#N/A</v>
      </c>
    </row>
    <row r="1349" spans="1:4" x14ac:dyDescent="0.25">
      <c r="A1349" s="19">
        <v>41533</v>
      </c>
      <c r="B1349" s="19" t="e">
        <f>VLOOKUP($A1349,Config!$B$6:$E$1862,2,FALSE)</f>
        <v>#N/A</v>
      </c>
      <c r="C1349" s="19" t="e">
        <f>VLOOKUP($A1349,Config!$B$6:$E$1862,3,FALSE)</f>
        <v>#N/A</v>
      </c>
      <c r="D1349" s="19" t="e">
        <f>VLOOKUP($A1349,Config!$B$6:$E$1862,4,FALSE)</f>
        <v>#N/A</v>
      </c>
    </row>
    <row r="1350" spans="1:4" x14ac:dyDescent="0.25">
      <c r="A1350" s="19">
        <v>41534</v>
      </c>
      <c r="B1350" s="19" t="e">
        <f>VLOOKUP($A1350,Config!$B$6:$E$1862,2,FALSE)</f>
        <v>#N/A</v>
      </c>
      <c r="C1350" s="19" t="e">
        <f>VLOOKUP($A1350,Config!$B$6:$E$1862,3,FALSE)</f>
        <v>#N/A</v>
      </c>
      <c r="D1350" s="19" t="e">
        <f>VLOOKUP($A1350,Config!$B$6:$E$1862,4,FALSE)</f>
        <v>#N/A</v>
      </c>
    </row>
    <row r="1351" spans="1:4" x14ac:dyDescent="0.25">
      <c r="A1351" s="19">
        <v>41535</v>
      </c>
      <c r="B1351" s="19" t="e">
        <f>VLOOKUP($A1351,Config!$B$6:$E$1862,2,FALSE)</f>
        <v>#N/A</v>
      </c>
      <c r="C1351" s="19" t="e">
        <f>VLOOKUP($A1351,Config!$B$6:$E$1862,3,FALSE)</f>
        <v>#N/A</v>
      </c>
      <c r="D1351" s="19" t="e">
        <f>VLOOKUP($A1351,Config!$B$6:$E$1862,4,FALSE)</f>
        <v>#N/A</v>
      </c>
    </row>
    <row r="1352" spans="1:4" x14ac:dyDescent="0.25">
      <c r="A1352" s="19">
        <v>41536</v>
      </c>
      <c r="B1352" s="19" t="e">
        <f>VLOOKUP($A1352,Config!$B$6:$E$1862,2,FALSE)</f>
        <v>#N/A</v>
      </c>
      <c r="C1352" s="19" t="e">
        <f>VLOOKUP($A1352,Config!$B$6:$E$1862,3,FALSE)</f>
        <v>#N/A</v>
      </c>
      <c r="D1352" s="19" t="e">
        <f>VLOOKUP($A1352,Config!$B$6:$E$1862,4,FALSE)</f>
        <v>#N/A</v>
      </c>
    </row>
    <row r="1353" spans="1:4" x14ac:dyDescent="0.25">
      <c r="A1353" s="19">
        <v>41537</v>
      </c>
      <c r="B1353" s="19" t="e">
        <f>VLOOKUP($A1353,Config!$B$6:$E$1862,2,FALSE)</f>
        <v>#N/A</v>
      </c>
      <c r="C1353" s="19" t="e">
        <f>VLOOKUP($A1353,Config!$B$6:$E$1862,3,FALSE)</f>
        <v>#N/A</v>
      </c>
      <c r="D1353" s="19" t="e">
        <f>VLOOKUP($A1353,Config!$B$6:$E$1862,4,FALSE)</f>
        <v>#N/A</v>
      </c>
    </row>
    <row r="1354" spans="1:4" x14ac:dyDescent="0.25">
      <c r="A1354" s="19">
        <v>41538</v>
      </c>
      <c r="B1354" s="19" t="e">
        <f>VLOOKUP($A1354,Config!$B$6:$E$1862,2,FALSE)</f>
        <v>#N/A</v>
      </c>
      <c r="C1354" s="19" t="e">
        <f>VLOOKUP($A1354,Config!$B$6:$E$1862,3,FALSE)</f>
        <v>#N/A</v>
      </c>
      <c r="D1354" s="19" t="e">
        <f>VLOOKUP($A1354,Config!$B$6:$E$1862,4,FALSE)</f>
        <v>#N/A</v>
      </c>
    </row>
    <row r="1355" spans="1:4" x14ac:dyDescent="0.25">
      <c r="A1355" s="19">
        <v>41539</v>
      </c>
      <c r="B1355" s="19" t="e">
        <f>VLOOKUP($A1355,Config!$B$6:$E$1862,2,FALSE)</f>
        <v>#N/A</v>
      </c>
      <c r="C1355" s="19" t="e">
        <f>VLOOKUP($A1355,Config!$B$6:$E$1862,3,FALSE)</f>
        <v>#N/A</v>
      </c>
      <c r="D1355" s="19" t="e">
        <f>VLOOKUP($A1355,Config!$B$6:$E$1862,4,FALSE)</f>
        <v>#N/A</v>
      </c>
    </row>
    <row r="1356" spans="1:4" x14ac:dyDescent="0.25">
      <c r="A1356" s="19">
        <v>41540</v>
      </c>
      <c r="B1356" s="19" t="e">
        <f>VLOOKUP($A1356,Config!$B$6:$E$1862,2,FALSE)</f>
        <v>#N/A</v>
      </c>
      <c r="C1356" s="19" t="e">
        <f>VLOOKUP($A1356,Config!$B$6:$E$1862,3,FALSE)</f>
        <v>#N/A</v>
      </c>
      <c r="D1356" s="19" t="e">
        <f>VLOOKUP($A1356,Config!$B$6:$E$1862,4,FALSE)</f>
        <v>#N/A</v>
      </c>
    </row>
    <row r="1357" spans="1:4" x14ac:dyDescent="0.25">
      <c r="A1357" s="19">
        <v>41541</v>
      </c>
      <c r="B1357" s="19" t="e">
        <f>VLOOKUP($A1357,Config!$B$6:$E$1862,2,FALSE)</f>
        <v>#N/A</v>
      </c>
      <c r="C1357" s="19" t="e">
        <f>VLOOKUP($A1357,Config!$B$6:$E$1862,3,FALSE)</f>
        <v>#N/A</v>
      </c>
      <c r="D1357" s="19" t="e">
        <f>VLOOKUP($A1357,Config!$B$6:$E$1862,4,FALSE)</f>
        <v>#N/A</v>
      </c>
    </row>
    <row r="1358" spans="1:4" x14ac:dyDescent="0.25">
      <c r="A1358" s="19">
        <v>41542</v>
      </c>
      <c r="B1358" s="19" t="e">
        <f>VLOOKUP($A1358,Config!$B$6:$E$1862,2,FALSE)</f>
        <v>#N/A</v>
      </c>
      <c r="C1358" s="19" t="e">
        <f>VLOOKUP($A1358,Config!$B$6:$E$1862,3,FALSE)</f>
        <v>#N/A</v>
      </c>
      <c r="D1358" s="19" t="e">
        <f>VLOOKUP($A1358,Config!$B$6:$E$1862,4,FALSE)</f>
        <v>#N/A</v>
      </c>
    </row>
    <row r="1359" spans="1:4" x14ac:dyDescent="0.25">
      <c r="A1359" s="19">
        <v>41543</v>
      </c>
      <c r="B1359" s="19" t="e">
        <f>VLOOKUP($A1359,Config!$B$6:$E$1862,2,FALSE)</f>
        <v>#N/A</v>
      </c>
      <c r="C1359" s="19" t="e">
        <f>VLOOKUP($A1359,Config!$B$6:$E$1862,3,FALSE)</f>
        <v>#N/A</v>
      </c>
      <c r="D1359" s="19" t="e">
        <f>VLOOKUP($A1359,Config!$B$6:$E$1862,4,FALSE)</f>
        <v>#N/A</v>
      </c>
    </row>
    <row r="1360" spans="1:4" x14ac:dyDescent="0.25">
      <c r="A1360" s="19">
        <v>41544</v>
      </c>
      <c r="B1360" s="19" t="e">
        <f>VLOOKUP($A1360,Config!$B$6:$E$1862,2,FALSE)</f>
        <v>#N/A</v>
      </c>
      <c r="C1360" s="19" t="e">
        <f>VLOOKUP($A1360,Config!$B$6:$E$1862,3,FALSE)</f>
        <v>#N/A</v>
      </c>
      <c r="D1360" s="19" t="e">
        <f>VLOOKUP($A1360,Config!$B$6:$E$1862,4,FALSE)</f>
        <v>#N/A</v>
      </c>
    </row>
    <row r="1361" spans="1:4" x14ac:dyDescent="0.25">
      <c r="A1361" s="19">
        <v>41545</v>
      </c>
      <c r="B1361" s="19" t="e">
        <f>VLOOKUP($A1361,Config!$B$6:$E$1862,2,FALSE)</f>
        <v>#N/A</v>
      </c>
      <c r="C1361" s="19" t="e">
        <f>VLOOKUP($A1361,Config!$B$6:$E$1862,3,FALSE)</f>
        <v>#N/A</v>
      </c>
      <c r="D1361" s="19" t="e">
        <f>VLOOKUP($A1361,Config!$B$6:$E$1862,4,FALSE)</f>
        <v>#N/A</v>
      </c>
    </row>
    <row r="1362" spans="1:4" x14ac:dyDescent="0.25">
      <c r="A1362" s="19">
        <v>41546</v>
      </c>
      <c r="B1362" s="19" t="e">
        <f>VLOOKUP($A1362,Config!$B$6:$E$1862,2,FALSE)</f>
        <v>#N/A</v>
      </c>
      <c r="C1362" s="19" t="e">
        <f>VLOOKUP($A1362,Config!$B$6:$E$1862,3,FALSE)</f>
        <v>#N/A</v>
      </c>
      <c r="D1362" s="19" t="e">
        <f>VLOOKUP($A1362,Config!$B$6:$E$1862,4,FALSE)</f>
        <v>#N/A</v>
      </c>
    </row>
    <row r="1363" spans="1:4" x14ac:dyDescent="0.25">
      <c r="A1363" s="19">
        <v>41547</v>
      </c>
      <c r="B1363" s="19" t="e">
        <f>VLOOKUP($A1363,Config!$B$6:$E$1862,2,FALSE)</f>
        <v>#N/A</v>
      </c>
      <c r="C1363" s="19" t="e">
        <f>VLOOKUP($A1363,Config!$B$6:$E$1862,3,FALSE)</f>
        <v>#N/A</v>
      </c>
      <c r="D1363" s="19" t="e">
        <f>VLOOKUP($A1363,Config!$B$6:$E$1862,4,FALSE)</f>
        <v>#N/A</v>
      </c>
    </row>
    <row r="1364" spans="1:4" x14ac:dyDescent="0.25">
      <c r="A1364" s="19">
        <v>41548</v>
      </c>
      <c r="B1364" s="19" t="e">
        <f>VLOOKUP($A1364,Config!$B$6:$E$1862,2,FALSE)</f>
        <v>#N/A</v>
      </c>
      <c r="C1364" s="19" t="e">
        <f>VLOOKUP($A1364,Config!$B$6:$E$1862,3,FALSE)</f>
        <v>#N/A</v>
      </c>
      <c r="D1364" s="19" t="e">
        <f>VLOOKUP($A1364,Config!$B$6:$E$1862,4,FALSE)</f>
        <v>#N/A</v>
      </c>
    </row>
    <row r="1365" spans="1:4" x14ac:dyDescent="0.25">
      <c r="A1365" s="19">
        <v>41549</v>
      </c>
      <c r="B1365" s="19" t="e">
        <f>VLOOKUP($A1365,Config!$B$6:$E$1862,2,FALSE)</f>
        <v>#N/A</v>
      </c>
      <c r="C1365" s="19" t="e">
        <f>VLOOKUP($A1365,Config!$B$6:$E$1862,3,FALSE)</f>
        <v>#N/A</v>
      </c>
      <c r="D1365" s="19" t="e">
        <f>VLOOKUP($A1365,Config!$B$6:$E$1862,4,FALSE)</f>
        <v>#N/A</v>
      </c>
    </row>
    <row r="1366" spans="1:4" x14ac:dyDescent="0.25">
      <c r="A1366" s="19">
        <v>41550</v>
      </c>
      <c r="B1366" s="19" t="e">
        <f>VLOOKUP($A1366,Config!$B$6:$E$1862,2,FALSE)</f>
        <v>#N/A</v>
      </c>
      <c r="C1366" s="19" t="e">
        <f>VLOOKUP($A1366,Config!$B$6:$E$1862,3,FALSE)</f>
        <v>#N/A</v>
      </c>
      <c r="D1366" s="19" t="e">
        <f>VLOOKUP($A1366,Config!$B$6:$E$1862,4,FALSE)</f>
        <v>#N/A</v>
      </c>
    </row>
    <row r="1367" spans="1:4" x14ac:dyDescent="0.25">
      <c r="A1367" s="19">
        <v>41551</v>
      </c>
      <c r="B1367" s="19" t="e">
        <f>VLOOKUP($A1367,Config!$B$6:$E$1862,2,FALSE)</f>
        <v>#N/A</v>
      </c>
      <c r="C1367" s="19" t="e">
        <f>VLOOKUP($A1367,Config!$B$6:$E$1862,3,FALSE)</f>
        <v>#N/A</v>
      </c>
      <c r="D1367" s="19" t="e">
        <f>VLOOKUP($A1367,Config!$B$6:$E$1862,4,FALSE)</f>
        <v>#N/A</v>
      </c>
    </row>
    <row r="1368" spans="1:4" x14ac:dyDescent="0.25">
      <c r="A1368" s="19">
        <v>41552</v>
      </c>
      <c r="B1368" s="19" t="e">
        <f>VLOOKUP($A1368,Config!$B$6:$E$1862,2,FALSE)</f>
        <v>#N/A</v>
      </c>
      <c r="C1368" s="19" t="e">
        <f>VLOOKUP($A1368,Config!$B$6:$E$1862,3,FALSE)</f>
        <v>#N/A</v>
      </c>
      <c r="D1368" s="19" t="e">
        <f>VLOOKUP($A1368,Config!$B$6:$E$1862,4,FALSE)</f>
        <v>#N/A</v>
      </c>
    </row>
    <row r="1369" spans="1:4" x14ac:dyDescent="0.25">
      <c r="A1369" s="19">
        <v>41553</v>
      </c>
      <c r="B1369" s="19" t="e">
        <f>VLOOKUP($A1369,Config!$B$6:$E$1862,2,FALSE)</f>
        <v>#N/A</v>
      </c>
      <c r="C1369" s="19" t="e">
        <f>VLOOKUP($A1369,Config!$B$6:$E$1862,3,FALSE)</f>
        <v>#N/A</v>
      </c>
      <c r="D1369" s="19" t="e">
        <f>VLOOKUP($A1369,Config!$B$6:$E$1862,4,FALSE)</f>
        <v>#N/A</v>
      </c>
    </row>
    <row r="1370" spans="1:4" x14ac:dyDescent="0.25">
      <c r="A1370" s="19">
        <v>41554</v>
      </c>
      <c r="B1370" s="19" t="e">
        <f>VLOOKUP($A1370,Config!$B$6:$E$1862,2,FALSE)</f>
        <v>#N/A</v>
      </c>
      <c r="C1370" s="19" t="e">
        <f>VLOOKUP($A1370,Config!$B$6:$E$1862,3,FALSE)</f>
        <v>#N/A</v>
      </c>
      <c r="D1370" s="19" t="e">
        <f>VLOOKUP($A1370,Config!$B$6:$E$1862,4,FALSE)</f>
        <v>#N/A</v>
      </c>
    </row>
    <row r="1371" spans="1:4" x14ac:dyDescent="0.25">
      <c r="A1371" s="19">
        <v>41556</v>
      </c>
      <c r="B1371" s="19" t="e">
        <f>VLOOKUP($A1371,Config!$B$6:$E$1862,2,FALSE)</f>
        <v>#N/A</v>
      </c>
      <c r="C1371" s="19" t="e">
        <f>VLOOKUP($A1371,Config!$B$6:$E$1862,3,FALSE)</f>
        <v>#N/A</v>
      </c>
      <c r="D1371" s="19" t="e">
        <f>VLOOKUP($A1371,Config!$B$6:$E$1862,4,FALSE)</f>
        <v>#N/A</v>
      </c>
    </row>
    <row r="1372" spans="1:4" x14ac:dyDescent="0.25">
      <c r="A1372" s="19">
        <v>540000</v>
      </c>
      <c r="B1372" s="19" t="e">
        <f>VLOOKUP($A1372,Config!$B$6:$E$1862,2,FALSE)</f>
        <v>#N/A</v>
      </c>
      <c r="C1372" s="19" t="e">
        <f>VLOOKUP($A1372,Config!$B$6:$E$1862,3,FALSE)</f>
        <v>#N/A</v>
      </c>
      <c r="D1372" s="19" t="e">
        <f>VLOOKUP($A1372,Config!$B$6:$E$1862,4,FALSE)</f>
        <v>#N/A</v>
      </c>
    </row>
    <row r="1373" spans="1:4" x14ac:dyDescent="0.25">
      <c r="A1373" s="19">
        <v>540001</v>
      </c>
      <c r="B1373" s="19" t="e">
        <f>VLOOKUP($A1373,Config!$B$6:$E$1862,2,FALSE)</f>
        <v>#N/A</v>
      </c>
      <c r="C1373" s="19" t="e">
        <f>VLOOKUP($A1373,Config!$B$6:$E$1862,3,FALSE)</f>
        <v>#N/A</v>
      </c>
      <c r="D1373" s="19" t="e">
        <f>VLOOKUP($A1373,Config!$B$6:$E$1862,4,FALSE)</f>
        <v>#N/A</v>
      </c>
    </row>
    <row r="1374" spans="1:4" x14ac:dyDescent="0.25">
      <c r="A1374" s="19">
        <v>540002</v>
      </c>
      <c r="B1374" s="19" t="e">
        <f>VLOOKUP($A1374,Config!$B$6:$E$1862,2,FALSE)</f>
        <v>#N/A</v>
      </c>
      <c r="C1374" s="19" t="e">
        <f>VLOOKUP($A1374,Config!$B$6:$E$1862,3,FALSE)</f>
        <v>#N/A</v>
      </c>
      <c r="D1374" s="19" t="e">
        <f>VLOOKUP($A1374,Config!$B$6:$E$1862,4,FALSE)</f>
        <v>#N/A</v>
      </c>
    </row>
    <row r="1375" spans="1:4" x14ac:dyDescent="0.25">
      <c r="A1375" s="19">
        <v>540003</v>
      </c>
      <c r="B1375" s="19" t="e">
        <f>VLOOKUP($A1375,Config!$B$6:$E$1862,2,FALSE)</f>
        <v>#N/A</v>
      </c>
      <c r="C1375" s="19" t="e">
        <f>VLOOKUP($A1375,Config!$B$6:$E$1862,3,FALSE)</f>
        <v>#N/A</v>
      </c>
      <c r="D1375" s="19" t="e">
        <f>VLOOKUP($A1375,Config!$B$6:$E$1862,4,FALSE)</f>
        <v>#N/A</v>
      </c>
    </row>
    <row r="1376" spans="1:4" x14ac:dyDescent="0.25">
      <c r="A1376" s="19">
        <v>540004</v>
      </c>
      <c r="B1376" s="19" t="e">
        <f>VLOOKUP($A1376,Config!$B$6:$E$1862,2,FALSE)</f>
        <v>#N/A</v>
      </c>
      <c r="C1376" s="19" t="e">
        <f>VLOOKUP($A1376,Config!$B$6:$E$1862,3,FALSE)</f>
        <v>#N/A</v>
      </c>
      <c r="D1376" s="19" t="e">
        <f>VLOOKUP($A1376,Config!$B$6:$E$1862,4,FALSE)</f>
        <v>#N/A</v>
      </c>
    </row>
    <row r="1377" spans="1:4" x14ac:dyDescent="0.25">
      <c r="A1377" s="19">
        <v>540005</v>
      </c>
      <c r="B1377" s="19" t="e">
        <f>VLOOKUP($A1377,Config!$B$6:$E$1862,2,FALSE)</f>
        <v>#N/A</v>
      </c>
      <c r="C1377" s="19" t="e">
        <f>VLOOKUP($A1377,Config!$B$6:$E$1862,3,FALSE)</f>
        <v>#N/A</v>
      </c>
      <c r="D1377" s="19" t="e">
        <f>VLOOKUP($A1377,Config!$B$6:$E$1862,4,FALSE)</f>
        <v>#N/A</v>
      </c>
    </row>
    <row r="1378" spans="1:4" x14ac:dyDescent="0.25">
      <c r="A1378" s="19">
        <v>540006</v>
      </c>
      <c r="B1378" s="19" t="e">
        <f>VLOOKUP($A1378,Config!$B$6:$E$1862,2,FALSE)</f>
        <v>#N/A</v>
      </c>
      <c r="C1378" s="19" t="e">
        <f>VLOOKUP($A1378,Config!$B$6:$E$1862,3,FALSE)</f>
        <v>#N/A</v>
      </c>
      <c r="D1378" s="19" t="e">
        <f>VLOOKUP($A1378,Config!$B$6:$E$1862,4,FALSE)</f>
        <v>#N/A</v>
      </c>
    </row>
    <row r="1379" spans="1:4" x14ac:dyDescent="0.25">
      <c r="A1379" s="19">
        <v>540007</v>
      </c>
      <c r="B1379" s="19" t="e">
        <f>VLOOKUP($A1379,Config!$B$6:$E$1862,2,FALSE)</f>
        <v>#N/A</v>
      </c>
      <c r="C1379" s="19" t="e">
        <f>VLOOKUP($A1379,Config!$B$6:$E$1862,3,FALSE)</f>
        <v>#N/A</v>
      </c>
      <c r="D1379" s="19" t="e">
        <f>VLOOKUP($A1379,Config!$B$6:$E$1862,4,FALSE)</f>
        <v>#N/A</v>
      </c>
    </row>
    <row r="1380" spans="1:4" x14ac:dyDescent="0.25">
      <c r="A1380" s="19">
        <v>540008</v>
      </c>
      <c r="B1380" s="19" t="e">
        <f>VLOOKUP($A1380,Config!$B$6:$E$1862,2,FALSE)</f>
        <v>#N/A</v>
      </c>
      <c r="C1380" s="19" t="e">
        <f>VLOOKUP($A1380,Config!$B$6:$E$1862,3,FALSE)</f>
        <v>#N/A</v>
      </c>
      <c r="D1380" s="19" t="e">
        <f>VLOOKUP($A1380,Config!$B$6:$E$1862,4,FALSE)</f>
        <v>#N/A</v>
      </c>
    </row>
    <row r="1381" spans="1:4" x14ac:dyDescent="0.25">
      <c r="A1381" s="19">
        <v>540009</v>
      </c>
      <c r="B1381" s="19" t="e">
        <f>VLOOKUP($A1381,Config!$B$6:$E$1862,2,FALSE)</f>
        <v>#N/A</v>
      </c>
      <c r="C1381" s="19" t="e">
        <f>VLOOKUP($A1381,Config!$B$6:$E$1862,3,FALSE)</f>
        <v>#N/A</v>
      </c>
      <c r="D1381" s="19" t="e">
        <f>VLOOKUP($A1381,Config!$B$6:$E$1862,4,FALSE)</f>
        <v>#N/A</v>
      </c>
    </row>
    <row r="1382" spans="1:4" x14ac:dyDescent="0.25">
      <c r="A1382" s="19">
        <v>540010</v>
      </c>
      <c r="B1382" s="19" t="e">
        <f>VLOOKUP($A1382,Config!$B$6:$E$1862,2,FALSE)</f>
        <v>#N/A</v>
      </c>
      <c r="C1382" s="19" t="e">
        <f>VLOOKUP($A1382,Config!$B$6:$E$1862,3,FALSE)</f>
        <v>#N/A</v>
      </c>
      <c r="D1382" s="19" t="e">
        <f>VLOOKUP($A1382,Config!$B$6:$E$1862,4,FALSE)</f>
        <v>#N/A</v>
      </c>
    </row>
    <row r="1383" spans="1:4" x14ac:dyDescent="0.25">
      <c r="A1383" s="19">
        <v>540011</v>
      </c>
      <c r="B1383" s="19" t="e">
        <f>VLOOKUP($A1383,Config!$B$6:$E$1862,2,FALSE)</f>
        <v>#N/A</v>
      </c>
      <c r="C1383" s="19" t="e">
        <f>VLOOKUP($A1383,Config!$B$6:$E$1862,3,FALSE)</f>
        <v>#N/A</v>
      </c>
      <c r="D1383" s="19" t="e">
        <f>VLOOKUP($A1383,Config!$B$6:$E$1862,4,FALSE)</f>
        <v>#N/A</v>
      </c>
    </row>
    <row r="1384" spans="1:4" x14ac:dyDescent="0.25">
      <c r="A1384" s="19">
        <v>540012</v>
      </c>
      <c r="B1384" s="19" t="e">
        <f>VLOOKUP($A1384,Config!$B$6:$E$1862,2,FALSE)</f>
        <v>#N/A</v>
      </c>
      <c r="C1384" s="19" t="e">
        <f>VLOOKUP($A1384,Config!$B$6:$E$1862,3,FALSE)</f>
        <v>#N/A</v>
      </c>
      <c r="D1384" s="19" t="e">
        <f>VLOOKUP($A1384,Config!$B$6:$E$1862,4,FALSE)</f>
        <v>#N/A</v>
      </c>
    </row>
    <row r="1385" spans="1:4" x14ac:dyDescent="0.25">
      <c r="A1385" s="19">
        <v>540013</v>
      </c>
      <c r="B1385" s="19" t="e">
        <f>VLOOKUP($A1385,Config!$B$6:$E$1862,2,FALSE)</f>
        <v>#N/A</v>
      </c>
      <c r="C1385" s="19" t="e">
        <f>VLOOKUP($A1385,Config!$B$6:$E$1862,3,FALSE)</f>
        <v>#N/A</v>
      </c>
      <c r="D1385" s="19" t="e">
        <f>VLOOKUP($A1385,Config!$B$6:$E$1862,4,FALSE)</f>
        <v>#N/A</v>
      </c>
    </row>
    <row r="1386" spans="1:4" x14ac:dyDescent="0.25">
      <c r="A1386" s="19">
        <v>540014</v>
      </c>
      <c r="B1386" s="19" t="e">
        <f>VLOOKUP($A1386,Config!$B$6:$E$1862,2,FALSE)</f>
        <v>#N/A</v>
      </c>
      <c r="C1386" s="19" t="e">
        <f>VLOOKUP($A1386,Config!$B$6:$E$1862,3,FALSE)</f>
        <v>#N/A</v>
      </c>
      <c r="D1386" s="19" t="e">
        <f>VLOOKUP($A1386,Config!$B$6:$E$1862,4,FALSE)</f>
        <v>#N/A</v>
      </c>
    </row>
    <row r="1387" spans="1:4" x14ac:dyDescent="0.25">
      <c r="A1387" s="19">
        <v>540015</v>
      </c>
      <c r="B1387" s="19" t="e">
        <f>VLOOKUP($A1387,Config!$B$6:$E$1862,2,FALSE)</f>
        <v>#N/A</v>
      </c>
      <c r="C1387" s="19" t="e">
        <f>VLOOKUP($A1387,Config!$B$6:$E$1862,3,FALSE)</f>
        <v>#N/A</v>
      </c>
      <c r="D1387" s="19" t="e">
        <f>VLOOKUP($A1387,Config!$B$6:$E$1862,4,FALSE)</f>
        <v>#N/A</v>
      </c>
    </row>
    <row r="1388" spans="1:4" x14ac:dyDescent="0.25">
      <c r="A1388" s="19">
        <v>540016</v>
      </c>
      <c r="B1388" s="19" t="e">
        <f>VLOOKUP($A1388,Config!$B$6:$E$1862,2,FALSE)</f>
        <v>#N/A</v>
      </c>
      <c r="C1388" s="19" t="e">
        <f>VLOOKUP($A1388,Config!$B$6:$E$1862,3,FALSE)</f>
        <v>#N/A</v>
      </c>
      <c r="D1388" s="19" t="e">
        <f>VLOOKUP($A1388,Config!$B$6:$E$1862,4,FALSE)</f>
        <v>#N/A</v>
      </c>
    </row>
    <row r="1389" spans="1:4" x14ac:dyDescent="0.25">
      <c r="A1389" s="19">
        <v>540017</v>
      </c>
      <c r="B1389" s="19" t="e">
        <f>VLOOKUP($A1389,Config!$B$6:$E$1862,2,FALSE)</f>
        <v>#N/A</v>
      </c>
      <c r="C1389" s="19" t="e">
        <f>VLOOKUP($A1389,Config!$B$6:$E$1862,3,FALSE)</f>
        <v>#N/A</v>
      </c>
      <c r="D1389" s="19" t="e">
        <f>VLOOKUP($A1389,Config!$B$6:$E$1862,4,FALSE)</f>
        <v>#N/A</v>
      </c>
    </row>
    <row r="1390" spans="1:4" x14ac:dyDescent="0.25">
      <c r="A1390" s="19">
        <v>540018</v>
      </c>
      <c r="B1390" s="19" t="e">
        <f>VLOOKUP($A1390,Config!$B$6:$E$1862,2,FALSE)</f>
        <v>#N/A</v>
      </c>
      <c r="C1390" s="19" t="e">
        <f>VLOOKUP($A1390,Config!$B$6:$E$1862,3,FALSE)</f>
        <v>#N/A</v>
      </c>
      <c r="D1390" s="19" t="e">
        <f>VLOOKUP($A1390,Config!$B$6:$E$1862,4,FALSE)</f>
        <v>#N/A</v>
      </c>
    </row>
    <row r="1391" spans="1:4" x14ac:dyDescent="0.25">
      <c r="A1391" s="19">
        <v>540021</v>
      </c>
      <c r="B1391" s="19" t="e">
        <f>VLOOKUP($A1391,Config!$B$6:$E$1862,2,FALSE)</f>
        <v>#N/A</v>
      </c>
      <c r="C1391" s="19" t="e">
        <f>VLOOKUP($A1391,Config!$B$6:$E$1862,3,FALSE)</f>
        <v>#N/A</v>
      </c>
      <c r="D1391" s="19" t="e">
        <f>VLOOKUP($A1391,Config!$B$6:$E$1862,4,FALSE)</f>
        <v>#N/A</v>
      </c>
    </row>
    <row r="1392" spans="1:4" x14ac:dyDescent="0.25">
      <c r="A1392" s="19">
        <v>540023</v>
      </c>
      <c r="B1392" s="19" t="e">
        <f>VLOOKUP($A1392,Config!$B$6:$E$1862,2,FALSE)</f>
        <v>#N/A</v>
      </c>
      <c r="C1392" s="19" t="e">
        <f>VLOOKUP($A1392,Config!$B$6:$E$1862,3,FALSE)</f>
        <v>#N/A</v>
      </c>
      <c r="D1392" s="19" t="e">
        <f>VLOOKUP($A1392,Config!$B$6:$E$1862,4,FALSE)</f>
        <v>#N/A</v>
      </c>
    </row>
    <row r="1393" spans="1:4" x14ac:dyDescent="0.25">
      <c r="A1393" s="19">
        <v>540024</v>
      </c>
      <c r="B1393" s="19" t="e">
        <f>VLOOKUP($A1393,Config!$B$6:$E$1862,2,FALSE)</f>
        <v>#N/A</v>
      </c>
      <c r="C1393" s="19" t="e">
        <f>VLOOKUP($A1393,Config!$B$6:$E$1862,3,FALSE)</f>
        <v>#N/A</v>
      </c>
      <c r="D1393" s="19" t="e">
        <f>VLOOKUP($A1393,Config!$B$6:$E$1862,4,FALSE)</f>
        <v>#N/A</v>
      </c>
    </row>
    <row r="1394" spans="1:4" x14ac:dyDescent="0.25">
      <c r="A1394" s="19">
        <v>540025</v>
      </c>
      <c r="B1394" s="19" t="e">
        <f>VLOOKUP($A1394,Config!$B$6:$E$1862,2,FALSE)</f>
        <v>#N/A</v>
      </c>
      <c r="C1394" s="19" t="e">
        <f>VLOOKUP($A1394,Config!$B$6:$E$1862,3,FALSE)</f>
        <v>#N/A</v>
      </c>
      <c r="D1394" s="19" t="e">
        <f>VLOOKUP($A1394,Config!$B$6:$E$1862,4,FALSE)</f>
        <v>#N/A</v>
      </c>
    </row>
    <row r="1395" spans="1:4" x14ac:dyDescent="0.25">
      <c r="A1395" s="19">
        <v>540026</v>
      </c>
      <c r="B1395" s="19" t="e">
        <f>VLOOKUP($A1395,Config!$B$6:$E$1862,2,FALSE)</f>
        <v>#N/A</v>
      </c>
      <c r="C1395" s="19" t="e">
        <f>VLOOKUP($A1395,Config!$B$6:$E$1862,3,FALSE)</f>
        <v>#N/A</v>
      </c>
      <c r="D1395" s="19" t="e">
        <f>VLOOKUP($A1395,Config!$B$6:$E$1862,4,FALSE)</f>
        <v>#N/A</v>
      </c>
    </row>
    <row r="1396" spans="1:4" x14ac:dyDescent="0.25">
      <c r="A1396" s="19">
        <v>540027</v>
      </c>
      <c r="B1396" s="19" t="e">
        <f>VLOOKUP($A1396,Config!$B$6:$E$1862,2,FALSE)</f>
        <v>#N/A</v>
      </c>
      <c r="C1396" s="19" t="e">
        <f>VLOOKUP($A1396,Config!$B$6:$E$1862,3,FALSE)</f>
        <v>#N/A</v>
      </c>
      <c r="D1396" s="19" t="e">
        <f>VLOOKUP($A1396,Config!$B$6:$E$1862,4,FALSE)</f>
        <v>#N/A</v>
      </c>
    </row>
    <row r="1397" spans="1:4" x14ac:dyDescent="0.25">
      <c r="A1397" s="19">
        <v>540028</v>
      </c>
      <c r="B1397" s="19" t="e">
        <f>VLOOKUP($A1397,Config!$B$6:$E$1862,2,FALSE)</f>
        <v>#N/A</v>
      </c>
      <c r="C1397" s="19" t="e">
        <f>VLOOKUP($A1397,Config!$B$6:$E$1862,3,FALSE)</f>
        <v>#N/A</v>
      </c>
      <c r="D1397" s="19" t="e">
        <f>VLOOKUP($A1397,Config!$B$6:$E$1862,4,FALSE)</f>
        <v>#N/A</v>
      </c>
    </row>
    <row r="1398" spans="1:4" x14ac:dyDescent="0.25">
      <c r="A1398" s="19">
        <v>540029</v>
      </c>
      <c r="B1398" s="19" t="e">
        <f>VLOOKUP($A1398,Config!$B$6:$E$1862,2,FALSE)</f>
        <v>#N/A</v>
      </c>
      <c r="C1398" s="19" t="e">
        <f>VLOOKUP($A1398,Config!$B$6:$E$1862,3,FALSE)</f>
        <v>#N/A</v>
      </c>
      <c r="D1398" s="19" t="e">
        <f>VLOOKUP($A1398,Config!$B$6:$E$1862,4,FALSE)</f>
        <v>#N/A</v>
      </c>
    </row>
    <row r="1399" spans="1:4" x14ac:dyDescent="0.25">
      <c r="A1399" s="19">
        <v>540030</v>
      </c>
      <c r="B1399" s="19" t="e">
        <f>VLOOKUP($A1399,Config!$B$6:$E$1862,2,FALSE)</f>
        <v>#N/A</v>
      </c>
      <c r="C1399" s="19" t="e">
        <f>VLOOKUP($A1399,Config!$B$6:$E$1862,3,FALSE)</f>
        <v>#N/A</v>
      </c>
      <c r="D1399" s="19" t="e">
        <f>VLOOKUP($A1399,Config!$B$6:$E$1862,4,FALSE)</f>
        <v>#N/A</v>
      </c>
    </row>
    <row r="1400" spans="1:4" x14ac:dyDescent="0.25">
      <c r="A1400" s="19">
        <v>540031</v>
      </c>
      <c r="B1400" s="19" t="e">
        <f>VLOOKUP($A1400,Config!$B$6:$E$1862,2,FALSE)</f>
        <v>#N/A</v>
      </c>
      <c r="C1400" s="19" t="e">
        <f>VLOOKUP($A1400,Config!$B$6:$E$1862,3,FALSE)</f>
        <v>#N/A</v>
      </c>
      <c r="D1400" s="19" t="e">
        <f>VLOOKUP($A1400,Config!$B$6:$E$1862,4,FALSE)</f>
        <v>#N/A</v>
      </c>
    </row>
    <row r="1401" spans="1:4" x14ac:dyDescent="0.25">
      <c r="A1401" s="19">
        <v>540032</v>
      </c>
      <c r="B1401" s="19" t="e">
        <f>VLOOKUP($A1401,Config!$B$6:$E$1862,2,FALSE)</f>
        <v>#N/A</v>
      </c>
      <c r="C1401" s="19" t="e">
        <f>VLOOKUP($A1401,Config!$B$6:$E$1862,3,FALSE)</f>
        <v>#N/A</v>
      </c>
      <c r="D1401" s="19" t="e">
        <f>VLOOKUP($A1401,Config!$B$6:$E$1862,4,FALSE)</f>
        <v>#N/A</v>
      </c>
    </row>
    <row r="1402" spans="1:4" x14ac:dyDescent="0.25">
      <c r="A1402" s="19">
        <v>540033</v>
      </c>
      <c r="B1402" s="19" t="e">
        <f>VLOOKUP($A1402,Config!$B$6:$E$1862,2,FALSE)</f>
        <v>#N/A</v>
      </c>
      <c r="C1402" s="19" t="e">
        <f>VLOOKUP($A1402,Config!$B$6:$E$1862,3,FALSE)</f>
        <v>#N/A</v>
      </c>
      <c r="D1402" s="19" t="e">
        <f>VLOOKUP($A1402,Config!$B$6:$E$1862,4,FALSE)</f>
        <v>#N/A</v>
      </c>
    </row>
    <row r="1403" spans="1:4" x14ac:dyDescent="0.25">
      <c r="A1403" s="19">
        <v>540034</v>
      </c>
      <c r="B1403" s="19" t="e">
        <f>VLOOKUP($A1403,Config!$B$6:$E$1862,2,FALSE)</f>
        <v>#N/A</v>
      </c>
      <c r="C1403" s="19" t="e">
        <f>VLOOKUP($A1403,Config!$B$6:$E$1862,3,FALSE)</f>
        <v>#N/A</v>
      </c>
      <c r="D1403" s="19" t="e">
        <f>VLOOKUP($A1403,Config!$B$6:$E$1862,4,FALSE)</f>
        <v>#N/A</v>
      </c>
    </row>
    <row r="1404" spans="1:4" x14ac:dyDescent="0.25">
      <c r="A1404" s="19">
        <v>540035</v>
      </c>
      <c r="B1404" s="19" t="e">
        <f>VLOOKUP($A1404,Config!$B$6:$E$1862,2,FALSE)</f>
        <v>#N/A</v>
      </c>
      <c r="C1404" s="19" t="e">
        <f>VLOOKUP($A1404,Config!$B$6:$E$1862,3,FALSE)</f>
        <v>#N/A</v>
      </c>
      <c r="D1404" s="19" t="e">
        <f>VLOOKUP($A1404,Config!$B$6:$E$1862,4,FALSE)</f>
        <v>#N/A</v>
      </c>
    </row>
    <row r="1405" spans="1:4" x14ac:dyDescent="0.25">
      <c r="A1405" s="19">
        <v>540038</v>
      </c>
      <c r="B1405" s="19" t="e">
        <f>VLOOKUP($A1405,Config!$B$6:$E$1862,2,FALSE)</f>
        <v>#N/A</v>
      </c>
      <c r="C1405" s="19" t="e">
        <f>VLOOKUP($A1405,Config!$B$6:$E$1862,3,FALSE)</f>
        <v>#N/A</v>
      </c>
      <c r="D1405" s="19" t="e">
        <f>VLOOKUP($A1405,Config!$B$6:$E$1862,4,FALSE)</f>
        <v>#N/A</v>
      </c>
    </row>
    <row r="1406" spans="1:4" x14ac:dyDescent="0.25">
      <c r="A1406" s="19">
        <v>540039</v>
      </c>
      <c r="B1406" s="19" t="e">
        <f>VLOOKUP($A1406,Config!$B$6:$E$1862,2,FALSE)</f>
        <v>#N/A</v>
      </c>
      <c r="C1406" s="19" t="e">
        <f>VLOOKUP($A1406,Config!$B$6:$E$1862,3,FALSE)</f>
        <v>#N/A</v>
      </c>
      <c r="D1406" s="19" t="e">
        <f>VLOOKUP($A1406,Config!$B$6:$E$1862,4,FALSE)</f>
        <v>#N/A</v>
      </c>
    </row>
    <row r="1407" spans="1:4" x14ac:dyDescent="0.25">
      <c r="A1407" s="19">
        <v>540040</v>
      </c>
      <c r="B1407" s="19" t="e">
        <f>VLOOKUP($A1407,Config!$B$6:$E$1862,2,FALSE)</f>
        <v>#N/A</v>
      </c>
      <c r="C1407" s="19" t="e">
        <f>VLOOKUP($A1407,Config!$B$6:$E$1862,3,FALSE)</f>
        <v>#N/A</v>
      </c>
      <c r="D1407" s="19" t="e">
        <f>VLOOKUP($A1407,Config!$B$6:$E$1862,4,FALSE)</f>
        <v>#N/A</v>
      </c>
    </row>
    <row r="1408" spans="1:4" x14ac:dyDescent="0.25">
      <c r="A1408" s="19">
        <v>540041</v>
      </c>
      <c r="B1408" s="19" t="e">
        <f>VLOOKUP($A1408,Config!$B$6:$E$1862,2,FALSE)</f>
        <v>#N/A</v>
      </c>
      <c r="C1408" s="19" t="e">
        <f>VLOOKUP($A1408,Config!$B$6:$E$1862,3,FALSE)</f>
        <v>#N/A</v>
      </c>
      <c r="D1408" s="19" t="e">
        <f>VLOOKUP($A1408,Config!$B$6:$E$1862,4,FALSE)</f>
        <v>#N/A</v>
      </c>
    </row>
    <row r="1409" spans="1:4" x14ac:dyDescent="0.25">
      <c r="A1409" s="19">
        <v>540042</v>
      </c>
      <c r="B1409" s="19" t="e">
        <f>VLOOKUP($A1409,Config!$B$6:$E$1862,2,FALSE)</f>
        <v>#N/A</v>
      </c>
      <c r="C1409" s="19" t="e">
        <f>VLOOKUP($A1409,Config!$B$6:$E$1862,3,FALSE)</f>
        <v>#N/A</v>
      </c>
      <c r="D1409" s="19" t="e">
        <f>VLOOKUP($A1409,Config!$B$6:$E$1862,4,FALSE)</f>
        <v>#N/A</v>
      </c>
    </row>
    <row r="1410" spans="1:4" x14ac:dyDescent="0.25">
      <c r="A1410" s="19">
        <v>540043</v>
      </c>
      <c r="B1410" s="19" t="e">
        <f>VLOOKUP($A1410,Config!$B$6:$E$1862,2,FALSE)</f>
        <v>#N/A</v>
      </c>
      <c r="C1410" s="19" t="e">
        <f>VLOOKUP($A1410,Config!$B$6:$E$1862,3,FALSE)</f>
        <v>#N/A</v>
      </c>
      <c r="D1410" s="19" t="e">
        <f>VLOOKUP($A1410,Config!$B$6:$E$1862,4,FALSE)</f>
        <v>#N/A</v>
      </c>
    </row>
    <row r="1411" spans="1:4" x14ac:dyDescent="0.25">
      <c r="A1411" s="19">
        <v>540044</v>
      </c>
      <c r="B1411" s="19" t="e">
        <f>VLOOKUP($A1411,Config!$B$6:$E$1862,2,FALSE)</f>
        <v>#N/A</v>
      </c>
      <c r="C1411" s="19" t="e">
        <f>VLOOKUP($A1411,Config!$B$6:$E$1862,3,FALSE)</f>
        <v>#N/A</v>
      </c>
      <c r="D1411" s="19" t="e">
        <f>VLOOKUP($A1411,Config!$B$6:$E$1862,4,FALSE)</f>
        <v>#N/A</v>
      </c>
    </row>
    <row r="1412" spans="1:4" x14ac:dyDescent="0.25">
      <c r="A1412" s="19">
        <v>540045</v>
      </c>
      <c r="B1412" s="19" t="e">
        <f>VLOOKUP($A1412,Config!$B$6:$E$1862,2,FALSE)</f>
        <v>#N/A</v>
      </c>
      <c r="C1412" s="19" t="e">
        <f>VLOOKUP($A1412,Config!$B$6:$E$1862,3,FALSE)</f>
        <v>#N/A</v>
      </c>
      <c r="D1412" s="19" t="e">
        <f>VLOOKUP($A1412,Config!$B$6:$E$1862,4,FALSE)</f>
        <v>#N/A</v>
      </c>
    </row>
    <row r="1413" spans="1:4" x14ac:dyDescent="0.25">
      <c r="A1413" s="19">
        <v>540046</v>
      </c>
      <c r="B1413" s="19" t="e">
        <f>VLOOKUP($A1413,Config!$B$6:$E$1862,2,FALSE)</f>
        <v>#N/A</v>
      </c>
      <c r="C1413" s="19" t="e">
        <f>VLOOKUP($A1413,Config!$B$6:$E$1862,3,FALSE)</f>
        <v>#N/A</v>
      </c>
      <c r="D1413" s="19" t="e">
        <f>VLOOKUP($A1413,Config!$B$6:$E$1862,4,FALSE)</f>
        <v>#N/A</v>
      </c>
    </row>
    <row r="1414" spans="1:4" x14ac:dyDescent="0.25">
      <c r="A1414" s="19">
        <v>540047</v>
      </c>
      <c r="B1414" s="19" t="e">
        <f>VLOOKUP($A1414,Config!$B$6:$E$1862,2,FALSE)</f>
        <v>#N/A</v>
      </c>
      <c r="C1414" s="19" t="e">
        <f>VLOOKUP($A1414,Config!$B$6:$E$1862,3,FALSE)</f>
        <v>#N/A</v>
      </c>
      <c r="D1414" s="19" t="e">
        <f>VLOOKUP($A1414,Config!$B$6:$E$1862,4,FALSE)</f>
        <v>#N/A</v>
      </c>
    </row>
    <row r="1415" spans="1:4" x14ac:dyDescent="0.25">
      <c r="A1415" s="19">
        <v>540048</v>
      </c>
      <c r="B1415" s="19" t="e">
        <f>VLOOKUP($A1415,Config!$B$6:$E$1862,2,FALSE)</f>
        <v>#N/A</v>
      </c>
      <c r="C1415" s="19" t="e">
        <f>VLOOKUP($A1415,Config!$B$6:$E$1862,3,FALSE)</f>
        <v>#N/A</v>
      </c>
      <c r="D1415" s="19" t="e">
        <f>VLOOKUP($A1415,Config!$B$6:$E$1862,4,FALSE)</f>
        <v>#N/A</v>
      </c>
    </row>
    <row r="1416" spans="1:4" x14ac:dyDescent="0.25">
      <c r="A1416" s="19">
        <v>540049</v>
      </c>
      <c r="B1416" s="19" t="e">
        <f>VLOOKUP($A1416,Config!$B$6:$E$1862,2,FALSE)</f>
        <v>#N/A</v>
      </c>
      <c r="C1416" s="19" t="e">
        <f>VLOOKUP($A1416,Config!$B$6:$E$1862,3,FALSE)</f>
        <v>#N/A</v>
      </c>
      <c r="D1416" s="19" t="e">
        <f>VLOOKUP($A1416,Config!$B$6:$E$1862,4,FALSE)</f>
        <v>#N/A</v>
      </c>
    </row>
    <row r="1417" spans="1:4" x14ac:dyDescent="0.25">
      <c r="A1417" s="19">
        <v>540051</v>
      </c>
      <c r="B1417" s="19" t="e">
        <f>VLOOKUP($A1417,Config!$B$6:$E$1862,2,FALSE)</f>
        <v>#N/A</v>
      </c>
      <c r="C1417" s="19" t="e">
        <f>VLOOKUP($A1417,Config!$B$6:$E$1862,3,FALSE)</f>
        <v>#N/A</v>
      </c>
      <c r="D1417" s="19" t="e">
        <f>VLOOKUP($A1417,Config!$B$6:$E$1862,4,FALSE)</f>
        <v>#N/A</v>
      </c>
    </row>
    <row r="1418" spans="1:4" x14ac:dyDescent="0.25">
      <c r="A1418" s="19">
        <v>540052</v>
      </c>
      <c r="B1418" s="19" t="e">
        <f>VLOOKUP($A1418,Config!$B$6:$E$1862,2,FALSE)</f>
        <v>#N/A</v>
      </c>
      <c r="C1418" s="19" t="e">
        <f>VLOOKUP($A1418,Config!$B$6:$E$1862,3,FALSE)</f>
        <v>#N/A</v>
      </c>
      <c r="D1418" s="19" t="e">
        <f>VLOOKUP($A1418,Config!$B$6:$E$1862,4,FALSE)</f>
        <v>#N/A</v>
      </c>
    </row>
    <row r="1419" spans="1:4" x14ac:dyDescent="0.25">
      <c r="A1419" s="19">
        <v>540053</v>
      </c>
      <c r="B1419" s="19" t="e">
        <f>VLOOKUP($A1419,Config!$B$6:$E$1862,2,FALSE)</f>
        <v>#N/A</v>
      </c>
      <c r="C1419" s="19" t="e">
        <f>VLOOKUP($A1419,Config!$B$6:$E$1862,3,FALSE)</f>
        <v>#N/A</v>
      </c>
      <c r="D1419" s="19" t="e">
        <f>VLOOKUP($A1419,Config!$B$6:$E$1862,4,FALSE)</f>
        <v>#N/A</v>
      </c>
    </row>
    <row r="1420" spans="1:4" x14ac:dyDescent="0.25">
      <c r="A1420" s="19">
        <v>540054</v>
      </c>
      <c r="B1420" s="19" t="e">
        <f>VLOOKUP($A1420,Config!$B$6:$E$1862,2,FALSE)</f>
        <v>#N/A</v>
      </c>
      <c r="C1420" s="19" t="e">
        <f>VLOOKUP($A1420,Config!$B$6:$E$1862,3,FALSE)</f>
        <v>#N/A</v>
      </c>
      <c r="D1420" s="19" t="e">
        <f>VLOOKUP($A1420,Config!$B$6:$E$1862,4,FALSE)</f>
        <v>#N/A</v>
      </c>
    </row>
    <row r="1421" spans="1:4" x14ac:dyDescent="0.25">
      <c r="A1421" s="19">
        <v>540055</v>
      </c>
      <c r="B1421" s="19" t="e">
        <f>VLOOKUP($A1421,Config!$B$6:$E$1862,2,FALSE)</f>
        <v>#N/A</v>
      </c>
      <c r="C1421" s="19" t="e">
        <f>VLOOKUP($A1421,Config!$B$6:$E$1862,3,FALSE)</f>
        <v>#N/A</v>
      </c>
      <c r="D1421" s="19" t="e">
        <f>VLOOKUP($A1421,Config!$B$6:$E$1862,4,FALSE)</f>
        <v>#N/A</v>
      </c>
    </row>
    <row r="1422" spans="1:4" x14ac:dyDescent="0.25">
      <c r="A1422" s="19">
        <v>540056</v>
      </c>
      <c r="B1422" s="19" t="e">
        <f>VLOOKUP($A1422,Config!$B$6:$E$1862,2,FALSE)</f>
        <v>#N/A</v>
      </c>
      <c r="C1422" s="19" t="e">
        <f>VLOOKUP($A1422,Config!$B$6:$E$1862,3,FALSE)</f>
        <v>#N/A</v>
      </c>
      <c r="D1422" s="19" t="e">
        <f>VLOOKUP($A1422,Config!$B$6:$E$1862,4,FALSE)</f>
        <v>#N/A</v>
      </c>
    </row>
    <row r="1423" spans="1:4" x14ac:dyDescent="0.25">
      <c r="A1423" s="19">
        <v>540057</v>
      </c>
      <c r="B1423" s="19" t="e">
        <f>VLOOKUP($A1423,Config!$B$6:$E$1862,2,FALSE)</f>
        <v>#N/A</v>
      </c>
      <c r="C1423" s="19" t="e">
        <f>VLOOKUP($A1423,Config!$B$6:$E$1862,3,FALSE)</f>
        <v>#N/A</v>
      </c>
      <c r="D1423" s="19" t="e">
        <f>VLOOKUP($A1423,Config!$B$6:$E$1862,4,FALSE)</f>
        <v>#N/A</v>
      </c>
    </row>
    <row r="1424" spans="1:4" x14ac:dyDescent="0.25">
      <c r="A1424" s="19">
        <v>540058</v>
      </c>
      <c r="B1424" s="19" t="e">
        <f>VLOOKUP($A1424,Config!$B$6:$E$1862,2,FALSE)</f>
        <v>#N/A</v>
      </c>
      <c r="C1424" s="19" t="e">
        <f>VLOOKUP($A1424,Config!$B$6:$E$1862,3,FALSE)</f>
        <v>#N/A</v>
      </c>
      <c r="D1424" s="19" t="e">
        <f>VLOOKUP($A1424,Config!$B$6:$E$1862,4,FALSE)</f>
        <v>#N/A</v>
      </c>
    </row>
    <row r="1425" spans="1:4" x14ac:dyDescent="0.25">
      <c r="A1425" s="19">
        <v>540059</v>
      </c>
      <c r="B1425" s="19" t="e">
        <f>VLOOKUP($A1425,Config!$B$6:$E$1862,2,FALSE)</f>
        <v>#N/A</v>
      </c>
      <c r="C1425" s="19" t="e">
        <f>VLOOKUP($A1425,Config!$B$6:$E$1862,3,FALSE)</f>
        <v>#N/A</v>
      </c>
      <c r="D1425" s="19" t="e">
        <f>VLOOKUP($A1425,Config!$B$6:$E$1862,4,FALSE)</f>
        <v>#N/A</v>
      </c>
    </row>
    <row r="1426" spans="1:4" x14ac:dyDescent="0.25">
      <c r="A1426" s="19">
        <v>540060</v>
      </c>
      <c r="B1426" s="19" t="e">
        <f>VLOOKUP($A1426,Config!$B$6:$E$1862,2,FALSE)</f>
        <v>#N/A</v>
      </c>
      <c r="C1426" s="19" t="e">
        <f>VLOOKUP($A1426,Config!$B$6:$E$1862,3,FALSE)</f>
        <v>#N/A</v>
      </c>
      <c r="D1426" s="19" t="e">
        <f>VLOOKUP($A1426,Config!$B$6:$E$1862,4,FALSE)</f>
        <v>#N/A</v>
      </c>
    </row>
    <row r="1427" spans="1:4" x14ac:dyDescent="0.25">
      <c r="A1427" s="19">
        <v>540061</v>
      </c>
      <c r="B1427" s="19" t="e">
        <f>VLOOKUP($A1427,Config!$B$6:$E$1862,2,FALSE)</f>
        <v>#N/A</v>
      </c>
      <c r="C1427" s="19" t="e">
        <f>VLOOKUP($A1427,Config!$B$6:$E$1862,3,FALSE)</f>
        <v>#N/A</v>
      </c>
      <c r="D1427" s="19" t="e">
        <f>VLOOKUP($A1427,Config!$B$6:$E$1862,4,FALSE)</f>
        <v>#N/A</v>
      </c>
    </row>
    <row r="1428" spans="1:4" x14ac:dyDescent="0.25">
      <c r="A1428" s="19">
        <v>540062</v>
      </c>
      <c r="B1428" s="19" t="e">
        <f>VLOOKUP($A1428,Config!$B$6:$E$1862,2,FALSE)</f>
        <v>#N/A</v>
      </c>
      <c r="C1428" s="19" t="e">
        <f>VLOOKUP($A1428,Config!$B$6:$E$1862,3,FALSE)</f>
        <v>#N/A</v>
      </c>
      <c r="D1428" s="19" t="e">
        <f>VLOOKUP($A1428,Config!$B$6:$E$1862,4,FALSE)</f>
        <v>#N/A</v>
      </c>
    </row>
    <row r="1429" spans="1:4" x14ac:dyDescent="0.25">
      <c r="A1429" s="19">
        <v>540063</v>
      </c>
      <c r="B1429" s="19" t="e">
        <f>VLOOKUP($A1429,Config!$B$6:$E$1862,2,FALSE)</f>
        <v>#N/A</v>
      </c>
      <c r="C1429" s="19" t="e">
        <f>VLOOKUP($A1429,Config!$B$6:$E$1862,3,FALSE)</f>
        <v>#N/A</v>
      </c>
      <c r="D1429" s="19" t="e">
        <f>VLOOKUP($A1429,Config!$B$6:$E$1862,4,FALSE)</f>
        <v>#N/A</v>
      </c>
    </row>
    <row r="1430" spans="1:4" x14ac:dyDescent="0.25">
      <c r="A1430" s="19">
        <v>540064</v>
      </c>
      <c r="B1430" s="19" t="e">
        <f>VLOOKUP($A1430,Config!$B$6:$E$1862,2,FALSE)</f>
        <v>#N/A</v>
      </c>
      <c r="C1430" s="19" t="e">
        <f>VLOOKUP($A1430,Config!$B$6:$E$1862,3,FALSE)</f>
        <v>#N/A</v>
      </c>
      <c r="D1430" s="19" t="e">
        <f>VLOOKUP($A1430,Config!$B$6:$E$1862,4,FALSE)</f>
        <v>#N/A</v>
      </c>
    </row>
    <row r="1431" spans="1:4" x14ac:dyDescent="0.25">
      <c r="A1431" s="19">
        <v>540065</v>
      </c>
      <c r="B1431" s="19" t="e">
        <f>VLOOKUP($A1431,Config!$B$6:$E$1862,2,FALSE)</f>
        <v>#N/A</v>
      </c>
      <c r="C1431" s="19" t="e">
        <f>VLOOKUP($A1431,Config!$B$6:$E$1862,3,FALSE)</f>
        <v>#N/A</v>
      </c>
      <c r="D1431" s="19" t="e">
        <f>VLOOKUP($A1431,Config!$B$6:$E$1862,4,FALSE)</f>
        <v>#N/A</v>
      </c>
    </row>
    <row r="1432" spans="1:4" x14ac:dyDescent="0.25">
      <c r="A1432" s="19">
        <v>540066</v>
      </c>
      <c r="B1432" s="19" t="e">
        <f>VLOOKUP($A1432,Config!$B$6:$E$1862,2,FALSE)</f>
        <v>#N/A</v>
      </c>
      <c r="C1432" s="19" t="e">
        <f>VLOOKUP($A1432,Config!$B$6:$E$1862,3,FALSE)</f>
        <v>#N/A</v>
      </c>
      <c r="D1432" s="19" t="e">
        <f>VLOOKUP($A1432,Config!$B$6:$E$1862,4,FALSE)</f>
        <v>#N/A</v>
      </c>
    </row>
    <row r="1433" spans="1:4" x14ac:dyDescent="0.25">
      <c r="A1433" s="19">
        <v>540067</v>
      </c>
      <c r="B1433" s="19" t="e">
        <f>VLOOKUP($A1433,Config!$B$6:$E$1862,2,FALSE)</f>
        <v>#N/A</v>
      </c>
      <c r="C1433" s="19" t="e">
        <f>VLOOKUP($A1433,Config!$B$6:$E$1862,3,FALSE)</f>
        <v>#N/A</v>
      </c>
      <c r="D1433" s="19" t="e">
        <f>VLOOKUP($A1433,Config!$B$6:$E$1862,4,FALSE)</f>
        <v>#N/A</v>
      </c>
    </row>
    <row r="1434" spans="1:4" x14ac:dyDescent="0.25">
      <c r="A1434" s="19">
        <v>540068</v>
      </c>
      <c r="B1434" s="19" t="e">
        <f>VLOOKUP($A1434,Config!$B$6:$E$1862,2,FALSE)</f>
        <v>#N/A</v>
      </c>
      <c r="C1434" s="19" t="e">
        <f>VLOOKUP($A1434,Config!$B$6:$E$1862,3,FALSE)</f>
        <v>#N/A</v>
      </c>
      <c r="D1434" s="19" t="e">
        <f>VLOOKUP($A1434,Config!$B$6:$E$1862,4,FALSE)</f>
        <v>#N/A</v>
      </c>
    </row>
    <row r="1435" spans="1:4" x14ac:dyDescent="0.25">
      <c r="A1435" s="19">
        <v>540069</v>
      </c>
      <c r="B1435" s="19" t="e">
        <f>VLOOKUP($A1435,Config!$B$6:$E$1862,2,FALSE)</f>
        <v>#N/A</v>
      </c>
      <c r="C1435" s="19" t="e">
        <f>VLOOKUP($A1435,Config!$B$6:$E$1862,3,FALSE)</f>
        <v>#N/A</v>
      </c>
      <c r="D1435" s="19" t="e">
        <f>VLOOKUP($A1435,Config!$B$6:$E$1862,4,FALSE)</f>
        <v>#N/A</v>
      </c>
    </row>
    <row r="1436" spans="1:4" x14ac:dyDescent="0.25">
      <c r="A1436" s="19">
        <v>540071</v>
      </c>
      <c r="B1436" s="19" t="e">
        <f>VLOOKUP($A1436,Config!$B$6:$E$1862,2,FALSE)</f>
        <v>#N/A</v>
      </c>
      <c r="C1436" s="19" t="e">
        <f>VLOOKUP($A1436,Config!$B$6:$E$1862,3,FALSE)</f>
        <v>#N/A</v>
      </c>
      <c r="D1436" s="19" t="e">
        <f>VLOOKUP($A1436,Config!$B$6:$E$1862,4,FALSE)</f>
        <v>#N/A</v>
      </c>
    </row>
    <row r="1437" spans="1:4" x14ac:dyDescent="0.25">
      <c r="A1437" s="19">
        <v>540074</v>
      </c>
      <c r="B1437" s="19" t="e">
        <f>VLOOKUP($A1437,Config!$B$6:$E$1862,2,FALSE)</f>
        <v>#N/A</v>
      </c>
      <c r="C1437" s="19" t="e">
        <f>VLOOKUP($A1437,Config!$B$6:$E$1862,3,FALSE)</f>
        <v>#N/A</v>
      </c>
      <c r="D1437" s="19" t="e">
        <f>VLOOKUP($A1437,Config!$B$6:$E$1862,4,FALSE)</f>
        <v>#N/A</v>
      </c>
    </row>
    <row r="1438" spans="1:4" x14ac:dyDescent="0.25">
      <c r="A1438" s="19">
        <v>540077</v>
      </c>
      <c r="B1438" s="19" t="e">
        <f>VLOOKUP($A1438,Config!$B$6:$E$1862,2,FALSE)</f>
        <v>#N/A</v>
      </c>
      <c r="C1438" s="19" t="e">
        <f>VLOOKUP($A1438,Config!$B$6:$E$1862,3,FALSE)</f>
        <v>#N/A</v>
      </c>
      <c r="D1438" s="19" t="e">
        <f>VLOOKUP($A1438,Config!$B$6:$E$1862,4,FALSE)</f>
        <v>#N/A</v>
      </c>
    </row>
    <row r="1439" spans="1:4" x14ac:dyDescent="0.25">
      <c r="A1439" s="19">
        <v>540078</v>
      </c>
      <c r="B1439" s="19" t="e">
        <f>VLOOKUP($A1439,Config!$B$6:$E$1862,2,FALSE)</f>
        <v>#N/A</v>
      </c>
      <c r="C1439" s="19" t="e">
        <f>VLOOKUP($A1439,Config!$B$6:$E$1862,3,FALSE)</f>
        <v>#N/A</v>
      </c>
      <c r="D1439" s="19" t="e">
        <f>VLOOKUP($A1439,Config!$B$6:$E$1862,4,FALSE)</f>
        <v>#N/A</v>
      </c>
    </row>
    <row r="1440" spans="1:4" x14ac:dyDescent="0.25">
      <c r="A1440" s="19">
        <v>540079</v>
      </c>
      <c r="B1440" s="19" t="e">
        <f>VLOOKUP($A1440,Config!$B$6:$E$1862,2,FALSE)</f>
        <v>#N/A</v>
      </c>
      <c r="C1440" s="19" t="e">
        <f>VLOOKUP($A1440,Config!$B$6:$E$1862,3,FALSE)</f>
        <v>#N/A</v>
      </c>
      <c r="D1440" s="19" t="e">
        <f>VLOOKUP($A1440,Config!$B$6:$E$1862,4,FALSE)</f>
        <v>#N/A</v>
      </c>
    </row>
    <row r="1441" spans="1:4" x14ac:dyDescent="0.25">
      <c r="A1441" s="19">
        <v>540083</v>
      </c>
      <c r="B1441" s="19" t="e">
        <f>VLOOKUP($A1441,Config!$B$6:$E$1862,2,FALSE)</f>
        <v>#N/A</v>
      </c>
      <c r="C1441" s="19" t="e">
        <f>VLOOKUP($A1441,Config!$B$6:$E$1862,3,FALSE)</f>
        <v>#N/A</v>
      </c>
      <c r="D1441" s="19" t="e">
        <f>VLOOKUP($A1441,Config!$B$6:$E$1862,4,FALSE)</f>
        <v>#N/A</v>
      </c>
    </row>
    <row r="1442" spans="1:4" x14ac:dyDescent="0.25">
      <c r="A1442" s="19">
        <v>540084</v>
      </c>
      <c r="B1442" s="19">
        <f>VLOOKUP($A1442,Config!$B$6:$E$1862,2,FALSE)</f>
        <v>0</v>
      </c>
      <c r="C1442" s="19" t="str">
        <f>VLOOKUP($A1442,Config!$B$6:$E$1862,3,FALSE)</f>
        <v>Missing</v>
      </c>
      <c r="D1442" s="19" t="str">
        <f>VLOOKUP($A1442,Config!$B$6:$E$1862,4,FALSE)</f>
        <v>Mary</v>
      </c>
    </row>
    <row r="1443" spans="1:4" x14ac:dyDescent="0.25">
      <c r="A1443" s="19">
        <v>540085</v>
      </c>
      <c r="B1443" s="19">
        <f>VLOOKUP($A1443,Config!$B$6:$E$1862,2,FALSE)</f>
        <v>0</v>
      </c>
      <c r="C1443" s="19" t="str">
        <f>VLOOKUP($A1443,Config!$B$6:$E$1862,3,FALSE)</f>
        <v>Missing</v>
      </c>
      <c r="D1443" s="19" t="str">
        <f>VLOOKUP($A1443,Config!$B$6:$E$1862,4,FALSE)</f>
        <v>Mary</v>
      </c>
    </row>
    <row r="1444" spans="1:4" x14ac:dyDescent="0.25">
      <c r="A1444" s="19">
        <v>540091</v>
      </c>
      <c r="B1444" s="19" t="e">
        <f>VLOOKUP($A1444,Config!$B$6:$E$1862,2,FALSE)</f>
        <v>#N/A</v>
      </c>
      <c r="C1444" s="19" t="e">
        <f>VLOOKUP($A1444,Config!$B$6:$E$1862,3,FALSE)</f>
        <v>#N/A</v>
      </c>
      <c r="D1444" s="19" t="e">
        <f>VLOOKUP($A1444,Config!$B$6:$E$1862,4,FALSE)</f>
        <v>#N/A</v>
      </c>
    </row>
    <row r="1445" spans="1:4" x14ac:dyDescent="0.25">
      <c r="A1445" s="19">
        <v>540092</v>
      </c>
      <c r="B1445" s="19" t="e">
        <f>VLOOKUP($A1445,Config!$B$6:$E$1862,2,FALSE)</f>
        <v>#N/A</v>
      </c>
      <c r="C1445" s="19" t="e">
        <f>VLOOKUP($A1445,Config!$B$6:$E$1862,3,FALSE)</f>
        <v>#N/A</v>
      </c>
      <c r="D1445" s="19" t="e">
        <f>VLOOKUP($A1445,Config!$B$6:$E$1862,4,FALSE)</f>
        <v>#N/A</v>
      </c>
    </row>
    <row r="1446" spans="1:4" x14ac:dyDescent="0.25">
      <c r="A1446" s="19">
        <v>540093</v>
      </c>
      <c r="B1446" s="19" t="e">
        <f>VLOOKUP($A1446,Config!$B$6:$E$1862,2,FALSE)</f>
        <v>#N/A</v>
      </c>
      <c r="C1446" s="19" t="e">
        <f>VLOOKUP($A1446,Config!$B$6:$E$1862,3,FALSE)</f>
        <v>#N/A</v>
      </c>
      <c r="D1446" s="19" t="e">
        <f>VLOOKUP($A1446,Config!$B$6:$E$1862,4,FALSE)</f>
        <v>#N/A</v>
      </c>
    </row>
    <row r="1447" spans="1:4" x14ac:dyDescent="0.25">
      <c r="A1447" s="19">
        <v>540094</v>
      </c>
      <c r="B1447" s="19" t="e">
        <f>VLOOKUP($A1447,Config!$B$6:$E$1862,2,FALSE)</f>
        <v>#N/A</v>
      </c>
      <c r="C1447" s="19" t="e">
        <f>VLOOKUP($A1447,Config!$B$6:$E$1862,3,FALSE)</f>
        <v>#N/A</v>
      </c>
      <c r="D1447" s="19" t="e">
        <f>VLOOKUP($A1447,Config!$B$6:$E$1862,4,FALSE)</f>
        <v>#N/A</v>
      </c>
    </row>
    <row r="1448" spans="1:4" x14ac:dyDescent="0.25">
      <c r="A1448" s="19">
        <v>540095</v>
      </c>
      <c r="B1448" s="19" t="e">
        <f>VLOOKUP($A1448,Config!$B$6:$E$1862,2,FALSE)</f>
        <v>#N/A</v>
      </c>
      <c r="C1448" s="19" t="e">
        <f>VLOOKUP($A1448,Config!$B$6:$E$1862,3,FALSE)</f>
        <v>#N/A</v>
      </c>
      <c r="D1448" s="19" t="e">
        <f>VLOOKUP($A1448,Config!$B$6:$E$1862,4,FALSE)</f>
        <v>#N/A</v>
      </c>
    </row>
    <row r="1449" spans="1:4" x14ac:dyDescent="0.25">
      <c r="A1449" s="19">
        <v>540096</v>
      </c>
      <c r="B1449" s="19" t="e">
        <f>VLOOKUP($A1449,Config!$B$6:$E$1862,2,FALSE)</f>
        <v>#N/A</v>
      </c>
      <c r="C1449" s="19" t="e">
        <f>VLOOKUP($A1449,Config!$B$6:$E$1862,3,FALSE)</f>
        <v>#N/A</v>
      </c>
      <c r="D1449" s="19" t="e">
        <f>VLOOKUP($A1449,Config!$B$6:$E$1862,4,FALSE)</f>
        <v>#N/A</v>
      </c>
    </row>
    <row r="1450" spans="1:4" x14ac:dyDescent="0.25">
      <c r="A1450" s="19">
        <v>540098</v>
      </c>
      <c r="B1450" s="19" t="e">
        <f>VLOOKUP($A1450,Config!$B$6:$E$1862,2,FALSE)</f>
        <v>#N/A</v>
      </c>
      <c r="C1450" s="19" t="e">
        <f>VLOOKUP($A1450,Config!$B$6:$E$1862,3,FALSE)</f>
        <v>#N/A</v>
      </c>
      <c r="D1450" s="19" t="e">
        <f>VLOOKUP($A1450,Config!$B$6:$E$1862,4,FALSE)</f>
        <v>#N/A</v>
      </c>
    </row>
    <row r="1451" spans="1:4" x14ac:dyDescent="0.25">
      <c r="A1451" s="19">
        <v>540099</v>
      </c>
      <c r="B1451" s="19" t="e">
        <f>VLOOKUP($A1451,Config!$B$6:$E$1862,2,FALSE)</f>
        <v>#N/A</v>
      </c>
      <c r="C1451" s="19" t="e">
        <f>VLOOKUP($A1451,Config!$B$6:$E$1862,3,FALSE)</f>
        <v>#N/A</v>
      </c>
      <c r="D1451" s="19" t="e">
        <f>VLOOKUP($A1451,Config!$B$6:$E$1862,4,FALSE)</f>
        <v>#N/A</v>
      </c>
    </row>
    <row r="1452" spans="1:4" x14ac:dyDescent="0.25">
      <c r="A1452" s="19">
        <v>540101</v>
      </c>
      <c r="B1452" s="19" t="e">
        <f>VLOOKUP($A1452,Config!$B$6:$E$1862,2,FALSE)</f>
        <v>#N/A</v>
      </c>
      <c r="C1452" s="19" t="e">
        <f>VLOOKUP($A1452,Config!$B$6:$E$1862,3,FALSE)</f>
        <v>#N/A</v>
      </c>
      <c r="D1452" s="19" t="e">
        <f>VLOOKUP($A1452,Config!$B$6:$E$1862,4,FALSE)</f>
        <v>#N/A</v>
      </c>
    </row>
    <row r="1453" spans="1:4" x14ac:dyDescent="0.25">
      <c r="A1453" s="19">
        <v>540102</v>
      </c>
      <c r="B1453" s="19" t="e">
        <f>VLOOKUP($A1453,Config!$B$6:$E$1862,2,FALSE)</f>
        <v>#N/A</v>
      </c>
      <c r="C1453" s="19" t="e">
        <f>VLOOKUP($A1453,Config!$B$6:$E$1862,3,FALSE)</f>
        <v>#N/A</v>
      </c>
      <c r="D1453" s="19" t="e">
        <f>VLOOKUP($A1453,Config!$B$6:$E$1862,4,FALSE)</f>
        <v>#N/A</v>
      </c>
    </row>
    <row r="1454" spans="1:4" x14ac:dyDescent="0.25">
      <c r="A1454" s="19">
        <v>540103</v>
      </c>
      <c r="B1454" s="19" t="e">
        <f>VLOOKUP($A1454,Config!$B$6:$E$1862,2,FALSE)</f>
        <v>#N/A</v>
      </c>
      <c r="C1454" s="19" t="e">
        <f>VLOOKUP($A1454,Config!$B$6:$E$1862,3,FALSE)</f>
        <v>#N/A</v>
      </c>
      <c r="D1454" s="19" t="e">
        <f>VLOOKUP($A1454,Config!$B$6:$E$1862,4,FALSE)</f>
        <v>#N/A</v>
      </c>
    </row>
    <row r="1455" spans="1:4" x14ac:dyDescent="0.25">
      <c r="A1455" s="19">
        <v>540104</v>
      </c>
      <c r="B1455" s="19" t="e">
        <f>VLOOKUP($A1455,Config!$B$6:$E$1862,2,FALSE)</f>
        <v>#N/A</v>
      </c>
      <c r="C1455" s="19" t="e">
        <f>VLOOKUP($A1455,Config!$B$6:$E$1862,3,FALSE)</f>
        <v>#N/A</v>
      </c>
      <c r="D1455" s="19" t="e">
        <f>VLOOKUP($A1455,Config!$B$6:$E$1862,4,FALSE)</f>
        <v>#N/A</v>
      </c>
    </row>
    <row r="1456" spans="1:4" x14ac:dyDescent="0.25">
      <c r="A1456" s="19">
        <v>540105</v>
      </c>
      <c r="B1456" s="19" t="e">
        <f>VLOOKUP($A1456,Config!$B$6:$E$1862,2,FALSE)</f>
        <v>#N/A</v>
      </c>
      <c r="C1456" s="19" t="e">
        <f>VLOOKUP($A1456,Config!$B$6:$E$1862,3,FALSE)</f>
        <v>#N/A</v>
      </c>
      <c r="D1456" s="19" t="e">
        <f>VLOOKUP($A1456,Config!$B$6:$E$1862,4,FALSE)</f>
        <v>#N/A</v>
      </c>
    </row>
    <row r="1457" spans="1:4" x14ac:dyDescent="0.25">
      <c r="A1457" s="19">
        <v>540107</v>
      </c>
      <c r="B1457" s="19" t="e">
        <f>VLOOKUP($A1457,Config!$B$6:$E$1862,2,FALSE)</f>
        <v>#N/A</v>
      </c>
      <c r="C1457" s="19" t="e">
        <f>VLOOKUP($A1457,Config!$B$6:$E$1862,3,FALSE)</f>
        <v>#N/A</v>
      </c>
      <c r="D1457" s="19" t="e">
        <f>VLOOKUP($A1457,Config!$B$6:$E$1862,4,FALSE)</f>
        <v>#N/A</v>
      </c>
    </row>
    <row r="1458" spans="1:4" x14ac:dyDescent="0.25">
      <c r="A1458" s="19">
        <v>540110</v>
      </c>
      <c r="B1458" s="19" t="e">
        <f>VLOOKUP($A1458,Config!$B$6:$E$1862,2,FALSE)</f>
        <v>#N/A</v>
      </c>
      <c r="C1458" s="19" t="e">
        <f>VLOOKUP($A1458,Config!$B$6:$E$1862,3,FALSE)</f>
        <v>#N/A</v>
      </c>
      <c r="D1458" s="19" t="e">
        <f>VLOOKUP($A1458,Config!$B$6:$E$1862,4,FALSE)</f>
        <v>#N/A</v>
      </c>
    </row>
    <row r="1459" spans="1:4" x14ac:dyDescent="0.25">
      <c r="A1459" s="19">
        <v>540111</v>
      </c>
      <c r="B1459" s="19" t="e">
        <f>VLOOKUP($A1459,Config!$B$6:$E$1862,2,FALSE)</f>
        <v>#N/A</v>
      </c>
      <c r="C1459" s="19" t="e">
        <f>VLOOKUP($A1459,Config!$B$6:$E$1862,3,FALSE)</f>
        <v>#N/A</v>
      </c>
      <c r="D1459" s="19" t="e">
        <f>VLOOKUP($A1459,Config!$B$6:$E$1862,4,FALSE)</f>
        <v>#N/A</v>
      </c>
    </row>
    <row r="1460" spans="1:4" x14ac:dyDescent="0.25">
      <c r="A1460" s="19">
        <v>540114</v>
      </c>
      <c r="B1460" s="19" t="e">
        <f>VLOOKUP($A1460,Config!$B$6:$E$1862,2,FALSE)</f>
        <v>#N/A</v>
      </c>
      <c r="C1460" s="19" t="e">
        <f>VLOOKUP($A1460,Config!$B$6:$E$1862,3,FALSE)</f>
        <v>#N/A</v>
      </c>
      <c r="D1460" s="19" t="e">
        <f>VLOOKUP($A1460,Config!$B$6:$E$1862,4,FALSE)</f>
        <v>#N/A</v>
      </c>
    </row>
    <row r="1461" spans="1:4" x14ac:dyDescent="0.25">
      <c r="A1461" s="19">
        <v>540115</v>
      </c>
      <c r="B1461" s="19" t="e">
        <f>VLOOKUP($A1461,Config!$B$6:$E$1862,2,FALSE)</f>
        <v>#N/A</v>
      </c>
      <c r="C1461" s="19" t="e">
        <f>VLOOKUP($A1461,Config!$B$6:$E$1862,3,FALSE)</f>
        <v>#N/A</v>
      </c>
      <c r="D1461" s="19" t="e">
        <f>VLOOKUP($A1461,Config!$B$6:$E$1862,4,FALSE)</f>
        <v>#N/A</v>
      </c>
    </row>
    <row r="1462" spans="1:4" x14ac:dyDescent="0.25">
      <c r="A1462" s="19">
        <v>540116</v>
      </c>
      <c r="B1462" s="19" t="e">
        <f>VLOOKUP($A1462,Config!$B$6:$E$1862,2,FALSE)</f>
        <v>#N/A</v>
      </c>
      <c r="C1462" s="19" t="e">
        <f>VLOOKUP($A1462,Config!$B$6:$E$1862,3,FALSE)</f>
        <v>#N/A</v>
      </c>
      <c r="D1462" s="19" t="e">
        <f>VLOOKUP($A1462,Config!$B$6:$E$1862,4,FALSE)</f>
        <v>#N/A</v>
      </c>
    </row>
    <row r="1463" spans="1:4" x14ac:dyDescent="0.25">
      <c r="A1463" s="19">
        <v>540117</v>
      </c>
      <c r="B1463" s="19" t="e">
        <f>VLOOKUP($A1463,Config!$B$6:$E$1862,2,FALSE)</f>
        <v>#N/A</v>
      </c>
      <c r="C1463" s="19" t="e">
        <f>VLOOKUP($A1463,Config!$B$6:$E$1862,3,FALSE)</f>
        <v>#N/A</v>
      </c>
      <c r="D1463" s="19" t="e">
        <f>VLOOKUP($A1463,Config!$B$6:$E$1862,4,FALSE)</f>
        <v>#N/A</v>
      </c>
    </row>
    <row r="1464" spans="1:4" x14ac:dyDescent="0.25">
      <c r="A1464" s="19">
        <v>540119</v>
      </c>
      <c r="B1464" s="19" t="e">
        <f>VLOOKUP($A1464,Config!$B$6:$E$1862,2,FALSE)</f>
        <v>#N/A</v>
      </c>
      <c r="C1464" s="19" t="e">
        <f>VLOOKUP($A1464,Config!$B$6:$E$1862,3,FALSE)</f>
        <v>#N/A</v>
      </c>
      <c r="D1464" s="19" t="e">
        <f>VLOOKUP($A1464,Config!$B$6:$E$1862,4,FALSE)</f>
        <v>#N/A</v>
      </c>
    </row>
    <row r="1465" spans="1:4" x14ac:dyDescent="0.25">
      <c r="A1465" s="19">
        <v>540120</v>
      </c>
      <c r="B1465" s="19" t="e">
        <f>VLOOKUP($A1465,Config!$B$6:$E$1862,2,FALSE)</f>
        <v>#N/A</v>
      </c>
      <c r="C1465" s="19" t="e">
        <f>VLOOKUP($A1465,Config!$B$6:$E$1862,3,FALSE)</f>
        <v>#N/A</v>
      </c>
      <c r="D1465" s="19" t="e">
        <f>VLOOKUP($A1465,Config!$B$6:$E$1862,4,FALSE)</f>
        <v>#N/A</v>
      </c>
    </row>
    <row r="1466" spans="1:4" x14ac:dyDescent="0.25">
      <c r="A1466" s="19">
        <v>540121</v>
      </c>
      <c r="B1466" s="19" t="e">
        <f>VLOOKUP($A1466,Config!$B$6:$E$1862,2,FALSE)</f>
        <v>#N/A</v>
      </c>
      <c r="C1466" s="19" t="e">
        <f>VLOOKUP($A1466,Config!$B$6:$E$1862,3,FALSE)</f>
        <v>#N/A</v>
      </c>
      <c r="D1466" s="19" t="e">
        <f>VLOOKUP($A1466,Config!$B$6:$E$1862,4,FALSE)</f>
        <v>#N/A</v>
      </c>
    </row>
    <row r="1467" spans="1:4" x14ac:dyDescent="0.25">
      <c r="A1467" s="19">
        <v>540124</v>
      </c>
      <c r="B1467" s="19" t="e">
        <f>VLOOKUP($A1467,Config!$B$6:$E$1862,2,FALSE)</f>
        <v>#N/A</v>
      </c>
      <c r="C1467" s="19" t="e">
        <f>VLOOKUP($A1467,Config!$B$6:$E$1862,3,FALSE)</f>
        <v>#N/A</v>
      </c>
      <c r="D1467" s="19" t="e">
        <f>VLOOKUP($A1467,Config!$B$6:$E$1862,4,FALSE)</f>
        <v>#N/A</v>
      </c>
    </row>
    <row r="1468" spans="1:4" x14ac:dyDescent="0.25">
      <c r="A1468" s="19">
        <v>540125</v>
      </c>
      <c r="B1468" s="19" t="e">
        <f>VLOOKUP($A1468,Config!$B$6:$E$1862,2,FALSE)</f>
        <v>#N/A</v>
      </c>
      <c r="C1468" s="19" t="e">
        <f>VLOOKUP($A1468,Config!$B$6:$E$1862,3,FALSE)</f>
        <v>#N/A</v>
      </c>
      <c r="D1468" s="19" t="e">
        <f>VLOOKUP($A1468,Config!$B$6:$E$1862,4,FALSE)</f>
        <v>#N/A</v>
      </c>
    </row>
    <row r="1469" spans="1:4" x14ac:dyDescent="0.25">
      <c r="A1469" s="19">
        <v>540126</v>
      </c>
      <c r="B1469" s="19" t="e">
        <f>VLOOKUP($A1469,Config!$B$6:$E$1862,2,FALSE)</f>
        <v>#N/A</v>
      </c>
      <c r="C1469" s="19" t="e">
        <f>VLOOKUP($A1469,Config!$B$6:$E$1862,3,FALSE)</f>
        <v>#N/A</v>
      </c>
      <c r="D1469" s="19" t="e">
        <f>VLOOKUP($A1469,Config!$B$6:$E$1862,4,FALSE)</f>
        <v>#N/A</v>
      </c>
    </row>
    <row r="1470" spans="1:4" x14ac:dyDescent="0.25">
      <c r="A1470" s="19">
        <v>540127</v>
      </c>
      <c r="B1470" s="19" t="e">
        <f>VLOOKUP($A1470,Config!$B$6:$E$1862,2,FALSE)</f>
        <v>#N/A</v>
      </c>
      <c r="C1470" s="19" t="e">
        <f>VLOOKUP($A1470,Config!$B$6:$E$1862,3,FALSE)</f>
        <v>#N/A</v>
      </c>
      <c r="D1470" s="19" t="e">
        <f>VLOOKUP($A1470,Config!$B$6:$E$1862,4,FALSE)</f>
        <v>#N/A</v>
      </c>
    </row>
    <row r="1471" spans="1:4" x14ac:dyDescent="0.25">
      <c r="A1471" s="19">
        <v>540128</v>
      </c>
      <c r="B1471" s="19" t="e">
        <f>VLOOKUP($A1471,Config!$B$6:$E$1862,2,FALSE)</f>
        <v>#N/A</v>
      </c>
      <c r="C1471" s="19" t="e">
        <f>VLOOKUP($A1471,Config!$B$6:$E$1862,3,FALSE)</f>
        <v>#N/A</v>
      </c>
      <c r="D1471" s="19" t="e">
        <f>VLOOKUP($A1471,Config!$B$6:$E$1862,4,FALSE)</f>
        <v>#N/A</v>
      </c>
    </row>
    <row r="1472" spans="1:4" x14ac:dyDescent="0.25">
      <c r="A1472" s="19">
        <v>540129</v>
      </c>
      <c r="B1472" s="19" t="e">
        <f>VLOOKUP($A1472,Config!$B$6:$E$1862,2,FALSE)</f>
        <v>#N/A</v>
      </c>
      <c r="C1472" s="19" t="e">
        <f>VLOOKUP($A1472,Config!$B$6:$E$1862,3,FALSE)</f>
        <v>#N/A</v>
      </c>
      <c r="D1472" s="19" t="e">
        <f>VLOOKUP($A1472,Config!$B$6:$E$1862,4,FALSE)</f>
        <v>#N/A</v>
      </c>
    </row>
    <row r="1473" spans="1:4" x14ac:dyDescent="0.25">
      <c r="A1473" s="19">
        <v>540130</v>
      </c>
      <c r="B1473" s="19" t="e">
        <f>VLOOKUP($A1473,Config!$B$6:$E$1862,2,FALSE)</f>
        <v>#N/A</v>
      </c>
      <c r="C1473" s="19" t="e">
        <f>VLOOKUP($A1473,Config!$B$6:$E$1862,3,FALSE)</f>
        <v>#N/A</v>
      </c>
      <c r="D1473" s="19" t="e">
        <f>VLOOKUP($A1473,Config!$B$6:$E$1862,4,FALSE)</f>
        <v>#N/A</v>
      </c>
    </row>
    <row r="1474" spans="1:4" x14ac:dyDescent="0.25">
      <c r="A1474" s="19">
        <v>540131</v>
      </c>
      <c r="B1474" s="19" t="e">
        <f>VLOOKUP($A1474,Config!$B$6:$E$1862,2,FALSE)</f>
        <v>#N/A</v>
      </c>
      <c r="C1474" s="19" t="e">
        <f>VLOOKUP($A1474,Config!$B$6:$E$1862,3,FALSE)</f>
        <v>#N/A</v>
      </c>
      <c r="D1474" s="19" t="e">
        <f>VLOOKUP($A1474,Config!$B$6:$E$1862,4,FALSE)</f>
        <v>#N/A</v>
      </c>
    </row>
    <row r="1475" spans="1:4" x14ac:dyDescent="0.25">
      <c r="A1475" s="19">
        <v>540132</v>
      </c>
      <c r="B1475" s="19" t="e">
        <f>VLOOKUP($A1475,Config!$B$6:$E$1862,2,FALSE)</f>
        <v>#N/A</v>
      </c>
      <c r="C1475" s="19" t="e">
        <f>VLOOKUP($A1475,Config!$B$6:$E$1862,3,FALSE)</f>
        <v>#N/A</v>
      </c>
      <c r="D1475" s="19" t="e">
        <f>VLOOKUP($A1475,Config!$B$6:$E$1862,4,FALSE)</f>
        <v>#N/A</v>
      </c>
    </row>
    <row r="1476" spans="1:4" x14ac:dyDescent="0.25">
      <c r="A1476" s="19">
        <v>540133</v>
      </c>
      <c r="B1476" s="19" t="e">
        <f>VLOOKUP($A1476,Config!$B$6:$E$1862,2,FALSE)</f>
        <v>#N/A</v>
      </c>
      <c r="C1476" s="19" t="e">
        <f>VLOOKUP($A1476,Config!$B$6:$E$1862,3,FALSE)</f>
        <v>#N/A</v>
      </c>
      <c r="D1476" s="19" t="e">
        <f>VLOOKUP($A1476,Config!$B$6:$E$1862,4,FALSE)</f>
        <v>#N/A</v>
      </c>
    </row>
    <row r="1477" spans="1:4" x14ac:dyDescent="0.25">
      <c r="A1477" s="19">
        <v>540134</v>
      </c>
      <c r="B1477" s="19" t="e">
        <f>VLOOKUP($A1477,Config!$B$6:$E$1862,2,FALSE)</f>
        <v>#N/A</v>
      </c>
      <c r="C1477" s="19" t="e">
        <f>VLOOKUP($A1477,Config!$B$6:$E$1862,3,FALSE)</f>
        <v>#N/A</v>
      </c>
      <c r="D1477" s="19" t="e">
        <f>VLOOKUP($A1477,Config!$B$6:$E$1862,4,FALSE)</f>
        <v>#N/A</v>
      </c>
    </row>
    <row r="1478" spans="1:4" x14ac:dyDescent="0.25">
      <c r="A1478" s="19">
        <v>540135</v>
      </c>
      <c r="B1478" s="19" t="e">
        <f>VLOOKUP($A1478,Config!$B$6:$E$1862,2,FALSE)</f>
        <v>#N/A</v>
      </c>
      <c r="C1478" s="19" t="e">
        <f>VLOOKUP($A1478,Config!$B$6:$E$1862,3,FALSE)</f>
        <v>#N/A</v>
      </c>
      <c r="D1478" s="19" t="e">
        <f>VLOOKUP($A1478,Config!$B$6:$E$1862,4,FALSE)</f>
        <v>#N/A</v>
      </c>
    </row>
    <row r="1479" spans="1:4" x14ac:dyDescent="0.25">
      <c r="A1479" s="19">
        <v>540136</v>
      </c>
      <c r="B1479" s="19">
        <f>VLOOKUP($A1479,Config!$B$6:$E$1862,2,FALSE)</f>
        <v>0</v>
      </c>
      <c r="C1479" s="19" t="str">
        <f>VLOOKUP($A1479,Config!$B$6:$E$1862,3,FALSE)</f>
        <v>Missing</v>
      </c>
      <c r="D1479" s="19" t="str">
        <f>VLOOKUP($A1479,Config!$B$6:$E$1862,4,FALSE)</f>
        <v>Mary</v>
      </c>
    </row>
    <row r="1480" spans="1:4" x14ac:dyDescent="0.25">
      <c r="A1480" s="19">
        <v>540137</v>
      </c>
      <c r="B1480" s="19" t="e">
        <f>VLOOKUP($A1480,Config!$B$6:$E$1862,2,FALSE)</f>
        <v>#N/A</v>
      </c>
      <c r="C1480" s="19" t="e">
        <f>VLOOKUP($A1480,Config!$B$6:$E$1862,3,FALSE)</f>
        <v>#N/A</v>
      </c>
      <c r="D1480" s="19" t="e">
        <f>VLOOKUP($A1480,Config!$B$6:$E$1862,4,FALSE)</f>
        <v>#N/A</v>
      </c>
    </row>
    <row r="1481" spans="1:4" x14ac:dyDescent="0.25">
      <c r="A1481" s="19">
        <v>540138</v>
      </c>
      <c r="B1481" s="19" t="e">
        <f>VLOOKUP($A1481,Config!$B$6:$E$1862,2,FALSE)</f>
        <v>#N/A</v>
      </c>
      <c r="C1481" s="19" t="e">
        <f>VLOOKUP($A1481,Config!$B$6:$E$1862,3,FALSE)</f>
        <v>#N/A</v>
      </c>
      <c r="D1481" s="19" t="e">
        <f>VLOOKUP($A1481,Config!$B$6:$E$1862,4,FALSE)</f>
        <v>#N/A</v>
      </c>
    </row>
    <row r="1482" spans="1:4" x14ac:dyDescent="0.25">
      <c r="A1482" s="19">
        <v>540139</v>
      </c>
      <c r="B1482" s="19" t="e">
        <f>VLOOKUP($A1482,Config!$B$6:$E$1862,2,FALSE)</f>
        <v>#N/A</v>
      </c>
      <c r="C1482" s="19" t="e">
        <f>VLOOKUP($A1482,Config!$B$6:$E$1862,3,FALSE)</f>
        <v>#N/A</v>
      </c>
      <c r="D1482" s="19" t="e">
        <f>VLOOKUP($A1482,Config!$B$6:$E$1862,4,FALSE)</f>
        <v>#N/A</v>
      </c>
    </row>
    <row r="1483" spans="1:4" x14ac:dyDescent="0.25">
      <c r="A1483" s="19">
        <v>540140</v>
      </c>
      <c r="B1483" s="19" t="e">
        <f>VLOOKUP($A1483,Config!$B$6:$E$1862,2,FALSE)</f>
        <v>#N/A</v>
      </c>
      <c r="C1483" s="19" t="e">
        <f>VLOOKUP($A1483,Config!$B$6:$E$1862,3,FALSE)</f>
        <v>#N/A</v>
      </c>
      <c r="D1483" s="19" t="e">
        <f>VLOOKUP($A1483,Config!$B$6:$E$1862,4,FALSE)</f>
        <v>#N/A</v>
      </c>
    </row>
    <row r="1484" spans="1:4" x14ac:dyDescent="0.25">
      <c r="A1484" s="19">
        <v>540141</v>
      </c>
      <c r="B1484" s="19" t="e">
        <f>VLOOKUP($A1484,Config!$B$6:$E$1862,2,FALSE)</f>
        <v>#N/A</v>
      </c>
      <c r="C1484" s="19" t="e">
        <f>VLOOKUP($A1484,Config!$B$6:$E$1862,3,FALSE)</f>
        <v>#N/A</v>
      </c>
      <c r="D1484" s="19" t="e">
        <f>VLOOKUP($A1484,Config!$B$6:$E$1862,4,FALSE)</f>
        <v>#N/A</v>
      </c>
    </row>
    <row r="1485" spans="1:4" x14ac:dyDescent="0.25">
      <c r="A1485" s="19">
        <v>540142</v>
      </c>
      <c r="B1485" s="19" t="e">
        <f>VLOOKUP($A1485,Config!$B$6:$E$1862,2,FALSE)</f>
        <v>#N/A</v>
      </c>
      <c r="C1485" s="19" t="e">
        <f>VLOOKUP($A1485,Config!$B$6:$E$1862,3,FALSE)</f>
        <v>#N/A</v>
      </c>
      <c r="D1485" s="19" t="e">
        <f>VLOOKUP($A1485,Config!$B$6:$E$1862,4,FALSE)</f>
        <v>#N/A</v>
      </c>
    </row>
    <row r="1486" spans="1:4" x14ac:dyDescent="0.25">
      <c r="A1486" s="19">
        <v>540143</v>
      </c>
      <c r="B1486" s="19" t="e">
        <f>VLOOKUP($A1486,Config!$B$6:$E$1862,2,FALSE)</f>
        <v>#N/A</v>
      </c>
      <c r="C1486" s="19" t="e">
        <f>VLOOKUP($A1486,Config!$B$6:$E$1862,3,FALSE)</f>
        <v>#N/A</v>
      </c>
      <c r="D1486" s="19" t="e">
        <f>VLOOKUP($A1486,Config!$B$6:$E$1862,4,FALSE)</f>
        <v>#N/A</v>
      </c>
    </row>
    <row r="1487" spans="1:4" x14ac:dyDescent="0.25">
      <c r="A1487" s="19">
        <v>540144</v>
      </c>
      <c r="B1487" s="19" t="e">
        <f>VLOOKUP($A1487,Config!$B$6:$E$1862,2,FALSE)</f>
        <v>#N/A</v>
      </c>
      <c r="C1487" s="19" t="e">
        <f>VLOOKUP($A1487,Config!$B$6:$E$1862,3,FALSE)</f>
        <v>#N/A</v>
      </c>
      <c r="D1487" s="19" t="e">
        <f>VLOOKUP($A1487,Config!$B$6:$E$1862,4,FALSE)</f>
        <v>#N/A</v>
      </c>
    </row>
    <row r="1488" spans="1:4" x14ac:dyDescent="0.25">
      <c r="A1488" s="19">
        <v>540145</v>
      </c>
      <c r="B1488" s="19" t="e">
        <f>VLOOKUP($A1488,Config!$B$6:$E$1862,2,FALSE)</f>
        <v>#N/A</v>
      </c>
      <c r="C1488" s="19" t="e">
        <f>VLOOKUP($A1488,Config!$B$6:$E$1862,3,FALSE)</f>
        <v>#N/A</v>
      </c>
      <c r="D1488" s="19" t="e">
        <f>VLOOKUP($A1488,Config!$B$6:$E$1862,4,FALSE)</f>
        <v>#N/A</v>
      </c>
    </row>
    <row r="1489" spans="1:4" x14ac:dyDescent="0.25">
      <c r="A1489" s="19">
        <v>540146</v>
      </c>
      <c r="B1489" s="19" t="e">
        <f>VLOOKUP($A1489,Config!$B$6:$E$1862,2,FALSE)</f>
        <v>#N/A</v>
      </c>
      <c r="C1489" s="19" t="e">
        <f>VLOOKUP($A1489,Config!$B$6:$E$1862,3,FALSE)</f>
        <v>#N/A</v>
      </c>
      <c r="D1489" s="19" t="e">
        <f>VLOOKUP($A1489,Config!$B$6:$E$1862,4,FALSE)</f>
        <v>#N/A</v>
      </c>
    </row>
    <row r="1490" spans="1:4" x14ac:dyDescent="0.25">
      <c r="A1490" s="19">
        <v>540147</v>
      </c>
      <c r="B1490" s="19" t="e">
        <f>VLOOKUP($A1490,Config!$B$6:$E$1862,2,FALSE)</f>
        <v>#N/A</v>
      </c>
      <c r="C1490" s="19" t="e">
        <f>VLOOKUP($A1490,Config!$B$6:$E$1862,3,FALSE)</f>
        <v>#N/A</v>
      </c>
      <c r="D1490" s="19" t="e">
        <f>VLOOKUP($A1490,Config!$B$6:$E$1862,4,FALSE)</f>
        <v>#N/A</v>
      </c>
    </row>
    <row r="1491" spans="1:4" x14ac:dyDescent="0.25">
      <c r="A1491" s="19">
        <v>540148</v>
      </c>
      <c r="B1491" s="19" t="e">
        <f>VLOOKUP($A1491,Config!$B$6:$E$1862,2,FALSE)</f>
        <v>#N/A</v>
      </c>
      <c r="C1491" s="19" t="e">
        <f>VLOOKUP($A1491,Config!$B$6:$E$1862,3,FALSE)</f>
        <v>#N/A</v>
      </c>
      <c r="D1491" s="19" t="e">
        <f>VLOOKUP($A1491,Config!$B$6:$E$1862,4,FALSE)</f>
        <v>#N/A</v>
      </c>
    </row>
    <row r="1492" spans="1:4" x14ac:dyDescent="0.25">
      <c r="A1492" s="19">
        <v>540149</v>
      </c>
      <c r="B1492" s="19" t="e">
        <f>VLOOKUP($A1492,Config!$B$6:$E$1862,2,FALSE)</f>
        <v>#N/A</v>
      </c>
      <c r="C1492" s="19" t="e">
        <f>VLOOKUP($A1492,Config!$B$6:$E$1862,3,FALSE)</f>
        <v>#N/A</v>
      </c>
      <c r="D1492" s="19" t="e">
        <f>VLOOKUP($A1492,Config!$B$6:$E$1862,4,FALSE)</f>
        <v>#N/A</v>
      </c>
    </row>
    <row r="1493" spans="1:4" x14ac:dyDescent="0.25">
      <c r="A1493" s="19">
        <v>540150</v>
      </c>
      <c r="B1493" s="19" t="e">
        <f>VLOOKUP($A1493,Config!$B$6:$E$1862,2,FALSE)</f>
        <v>#N/A</v>
      </c>
      <c r="C1493" s="19" t="e">
        <f>VLOOKUP($A1493,Config!$B$6:$E$1862,3,FALSE)</f>
        <v>#N/A</v>
      </c>
      <c r="D1493" s="19" t="e">
        <f>VLOOKUP($A1493,Config!$B$6:$E$1862,4,FALSE)</f>
        <v>#N/A</v>
      </c>
    </row>
    <row r="1494" spans="1:4" x14ac:dyDescent="0.25">
      <c r="A1494" s="19">
        <v>540151</v>
      </c>
      <c r="B1494" s="19" t="e">
        <f>VLOOKUP($A1494,Config!$B$6:$E$1862,2,FALSE)</f>
        <v>#N/A</v>
      </c>
      <c r="C1494" s="19" t="e">
        <f>VLOOKUP($A1494,Config!$B$6:$E$1862,3,FALSE)</f>
        <v>#N/A</v>
      </c>
      <c r="D1494" s="19" t="e">
        <f>VLOOKUP($A1494,Config!$B$6:$E$1862,4,FALSE)</f>
        <v>#N/A</v>
      </c>
    </row>
    <row r="1495" spans="1:4" x14ac:dyDescent="0.25">
      <c r="A1495" s="19">
        <v>540152</v>
      </c>
      <c r="B1495" s="19" t="e">
        <f>VLOOKUP($A1495,Config!$B$6:$E$1862,2,FALSE)</f>
        <v>#N/A</v>
      </c>
      <c r="C1495" s="19" t="e">
        <f>VLOOKUP($A1495,Config!$B$6:$E$1862,3,FALSE)</f>
        <v>#N/A</v>
      </c>
      <c r="D1495" s="19" t="e">
        <f>VLOOKUP($A1495,Config!$B$6:$E$1862,4,FALSE)</f>
        <v>#N/A</v>
      </c>
    </row>
    <row r="1496" spans="1:4" x14ac:dyDescent="0.25">
      <c r="A1496" s="19">
        <v>540153</v>
      </c>
      <c r="B1496" s="19" t="e">
        <f>VLOOKUP($A1496,Config!$B$6:$E$1862,2,FALSE)</f>
        <v>#N/A</v>
      </c>
      <c r="C1496" s="19" t="e">
        <f>VLOOKUP($A1496,Config!$B$6:$E$1862,3,FALSE)</f>
        <v>#N/A</v>
      </c>
      <c r="D1496" s="19" t="e">
        <f>VLOOKUP($A1496,Config!$B$6:$E$1862,4,FALSE)</f>
        <v>#N/A</v>
      </c>
    </row>
    <row r="1497" spans="1:4" x14ac:dyDescent="0.25">
      <c r="A1497" s="19">
        <v>540154</v>
      </c>
      <c r="B1497" s="19" t="e">
        <f>VLOOKUP($A1497,Config!$B$6:$E$1862,2,FALSE)</f>
        <v>#N/A</v>
      </c>
      <c r="C1497" s="19" t="e">
        <f>VLOOKUP($A1497,Config!$B$6:$E$1862,3,FALSE)</f>
        <v>#N/A</v>
      </c>
      <c r="D1497" s="19" t="e">
        <f>VLOOKUP($A1497,Config!$B$6:$E$1862,4,FALSE)</f>
        <v>#N/A</v>
      </c>
    </row>
    <row r="1498" spans="1:4" x14ac:dyDescent="0.25">
      <c r="A1498" s="19">
        <v>540155</v>
      </c>
      <c r="B1498" s="19" t="e">
        <f>VLOOKUP($A1498,Config!$B$6:$E$1862,2,FALSE)</f>
        <v>#N/A</v>
      </c>
      <c r="C1498" s="19" t="e">
        <f>VLOOKUP($A1498,Config!$B$6:$E$1862,3,FALSE)</f>
        <v>#N/A</v>
      </c>
      <c r="D1498" s="19" t="e">
        <f>VLOOKUP($A1498,Config!$B$6:$E$1862,4,FALSE)</f>
        <v>#N/A</v>
      </c>
    </row>
    <row r="1499" spans="1:4" x14ac:dyDescent="0.25">
      <c r="A1499" s="19">
        <v>540156</v>
      </c>
      <c r="B1499" s="19" t="e">
        <f>VLOOKUP($A1499,Config!$B$6:$E$1862,2,FALSE)</f>
        <v>#N/A</v>
      </c>
      <c r="C1499" s="19" t="e">
        <f>VLOOKUP($A1499,Config!$B$6:$E$1862,3,FALSE)</f>
        <v>#N/A</v>
      </c>
      <c r="D1499" s="19" t="e">
        <f>VLOOKUP($A1499,Config!$B$6:$E$1862,4,FALSE)</f>
        <v>#N/A</v>
      </c>
    </row>
    <row r="1500" spans="1:4" x14ac:dyDescent="0.25">
      <c r="A1500" s="19">
        <v>540157</v>
      </c>
      <c r="B1500" s="19" t="e">
        <f>VLOOKUP($A1500,Config!$B$6:$E$1862,2,FALSE)</f>
        <v>#N/A</v>
      </c>
      <c r="C1500" s="19" t="e">
        <f>VLOOKUP($A1500,Config!$B$6:$E$1862,3,FALSE)</f>
        <v>#N/A</v>
      </c>
      <c r="D1500" s="19" t="e">
        <f>VLOOKUP($A1500,Config!$B$6:$E$1862,4,FALSE)</f>
        <v>#N/A</v>
      </c>
    </row>
    <row r="1501" spans="1:4" x14ac:dyDescent="0.25">
      <c r="A1501" s="19">
        <v>540158</v>
      </c>
      <c r="B1501" s="19" t="e">
        <f>VLOOKUP($A1501,Config!$B$6:$E$1862,2,FALSE)</f>
        <v>#N/A</v>
      </c>
      <c r="C1501" s="19" t="e">
        <f>VLOOKUP($A1501,Config!$B$6:$E$1862,3,FALSE)</f>
        <v>#N/A</v>
      </c>
      <c r="D1501" s="19" t="e">
        <f>VLOOKUP($A1501,Config!$B$6:$E$1862,4,FALSE)</f>
        <v>#N/A</v>
      </c>
    </row>
    <row r="1502" spans="1:4" x14ac:dyDescent="0.25">
      <c r="A1502" s="19">
        <v>540159</v>
      </c>
      <c r="B1502" s="19" t="e">
        <f>VLOOKUP($A1502,Config!$B$6:$E$1862,2,FALSE)</f>
        <v>#N/A</v>
      </c>
      <c r="C1502" s="19" t="e">
        <f>VLOOKUP($A1502,Config!$B$6:$E$1862,3,FALSE)</f>
        <v>#N/A</v>
      </c>
      <c r="D1502" s="19" t="e">
        <f>VLOOKUP($A1502,Config!$B$6:$E$1862,4,FALSE)</f>
        <v>#N/A</v>
      </c>
    </row>
    <row r="1503" spans="1:4" x14ac:dyDescent="0.25">
      <c r="A1503" s="19">
        <v>540160</v>
      </c>
      <c r="B1503" s="19" t="e">
        <f>VLOOKUP($A1503,Config!$B$6:$E$1862,2,FALSE)</f>
        <v>#N/A</v>
      </c>
      <c r="C1503" s="19" t="e">
        <f>VLOOKUP($A1503,Config!$B$6:$E$1862,3,FALSE)</f>
        <v>#N/A</v>
      </c>
      <c r="D1503" s="19" t="e">
        <f>VLOOKUP($A1503,Config!$B$6:$E$1862,4,FALSE)</f>
        <v>#N/A</v>
      </c>
    </row>
    <row r="1504" spans="1:4" x14ac:dyDescent="0.25">
      <c r="A1504" s="19">
        <v>540161</v>
      </c>
      <c r="B1504" s="19" t="e">
        <f>VLOOKUP($A1504,Config!$B$6:$E$1862,2,FALSE)</f>
        <v>#N/A</v>
      </c>
      <c r="C1504" s="19" t="e">
        <f>VLOOKUP($A1504,Config!$B$6:$E$1862,3,FALSE)</f>
        <v>#N/A</v>
      </c>
      <c r="D1504" s="19" t="e">
        <f>VLOOKUP($A1504,Config!$B$6:$E$1862,4,FALSE)</f>
        <v>#N/A</v>
      </c>
    </row>
    <row r="1505" spans="1:4" x14ac:dyDescent="0.25">
      <c r="A1505" s="19">
        <v>540162</v>
      </c>
      <c r="B1505" s="19" t="e">
        <f>VLOOKUP($A1505,Config!$B$6:$E$1862,2,FALSE)</f>
        <v>#N/A</v>
      </c>
      <c r="C1505" s="19" t="e">
        <f>VLOOKUP($A1505,Config!$B$6:$E$1862,3,FALSE)</f>
        <v>#N/A</v>
      </c>
      <c r="D1505" s="19" t="e">
        <f>VLOOKUP($A1505,Config!$B$6:$E$1862,4,FALSE)</f>
        <v>#N/A</v>
      </c>
    </row>
    <row r="1506" spans="1:4" x14ac:dyDescent="0.25">
      <c r="A1506" s="19">
        <v>540163</v>
      </c>
      <c r="B1506" s="19" t="e">
        <f>VLOOKUP($A1506,Config!$B$6:$E$1862,2,FALSE)</f>
        <v>#N/A</v>
      </c>
      <c r="C1506" s="19" t="e">
        <f>VLOOKUP($A1506,Config!$B$6:$E$1862,3,FALSE)</f>
        <v>#N/A</v>
      </c>
      <c r="D1506" s="19" t="e">
        <f>VLOOKUP($A1506,Config!$B$6:$E$1862,4,FALSE)</f>
        <v>#N/A</v>
      </c>
    </row>
    <row r="1507" spans="1:4" x14ac:dyDescent="0.25">
      <c r="A1507" s="19">
        <v>540164</v>
      </c>
      <c r="B1507" s="19" t="e">
        <f>VLOOKUP($A1507,Config!$B$6:$E$1862,2,FALSE)</f>
        <v>#N/A</v>
      </c>
      <c r="C1507" s="19" t="e">
        <f>VLOOKUP($A1507,Config!$B$6:$E$1862,3,FALSE)</f>
        <v>#N/A</v>
      </c>
      <c r="D1507" s="19" t="e">
        <f>VLOOKUP($A1507,Config!$B$6:$E$1862,4,FALSE)</f>
        <v>#N/A</v>
      </c>
    </row>
    <row r="1508" spans="1:4" x14ac:dyDescent="0.25">
      <c r="A1508" s="19">
        <v>540165</v>
      </c>
      <c r="B1508" s="19" t="e">
        <f>VLOOKUP($A1508,Config!$B$6:$E$1862,2,FALSE)</f>
        <v>#N/A</v>
      </c>
      <c r="C1508" s="19" t="e">
        <f>VLOOKUP($A1508,Config!$B$6:$E$1862,3,FALSE)</f>
        <v>#N/A</v>
      </c>
      <c r="D1508" s="19" t="e">
        <f>VLOOKUP($A1508,Config!$B$6:$E$1862,4,FALSE)</f>
        <v>#N/A</v>
      </c>
    </row>
    <row r="1509" spans="1:4" x14ac:dyDescent="0.25">
      <c r="A1509" s="19">
        <v>540166</v>
      </c>
      <c r="B1509" s="19" t="e">
        <f>VLOOKUP($A1509,Config!$B$6:$E$1862,2,FALSE)</f>
        <v>#N/A</v>
      </c>
      <c r="C1509" s="19" t="e">
        <f>VLOOKUP($A1509,Config!$B$6:$E$1862,3,FALSE)</f>
        <v>#N/A</v>
      </c>
      <c r="D1509" s="19" t="e">
        <f>VLOOKUP($A1509,Config!$B$6:$E$1862,4,FALSE)</f>
        <v>#N/A</v>
      </c>
    </row>
    <row r="1510" spans="1:4" x14ac:dyDescent="0.25">
      <c r="A1510" s="19">
        <v>540167</v>
      </c>
      <c r="B1510" s="19">
        <f>VLOOKUP($A1510,Config!$B$6:$E$1862,2,FALSE)</f>
        <v>0</v>
      </c>
      <c r="C1510" s="19" t="str">
        <f>VLOOKUP($A1510,Config!$B$6:$E$1862,3,FALSE)</f>
        <v>Missing</v>
      </c>
      <c r="D1510" s="19" t="str">
        <f>VLOOKUP($A1510,Config!$B$6:$E$1862,4,FALSE)</f>
        <v>Mary</v>
      </c>
    </row>
    <row r="1511" spans="1:4" x14ac:dyDescent="0.25">
      <c r="A1511" s="19">
        <v>540168</v>
      </c>
      <c r="B1511" s="19" t="e">
        <f>VLOOKUP($A1511,Config!$B$6:$E$1862,2,FALSE)</f>
        <v>#N/A</v>
      </c>
      <c r="C1511" s="19" t="e">
        <f>VLOOKUP($A1511,Config!$B$6:$E$1862,3,FALSE)</f>
        <v>#N/A</v>
      </c>
      <c r="D1511" s="19" t="e">
        <f>VLOOKUP($A1511,Config!$B$6:$E$1862,4,FALSE)</f>
        <v>#N/A</v>
      </c>
    </row>
    <row r="1512" spans="1:4" x14ac:dyDescent="0.25">
      <c r="A1512" s="19">
        <v>540169</v>
      </c>
      <c r="B1512" s="19" t="e">
        <f>VLOOKUP($A1512,Config!$B$6:$E$1862,2,FALSE)</f>
        <v>#N/A</v>
      </c>
      <c r="C1512" s="19" t="e">
        <f>VLOOKUP($A1512,Config!$B$6:$E$1862,3,FALSE)</f>
        <v>#N/A</v>
      </c>
      <c r="D1512" s="19" t="e">
        <f>VLOOKUP($A1512,Config!$B$6:$E$1862,4,FALSE)</f>
        <v>#N/A</v>
      </c>
    </row>
    <row r="1513" spans="1:4" x14ac:dyDescent="0.25">
      <c r="A1513" s="19">
        <v>540170</v>
      </c>
      <c r="B1513" s="19" t="e">
        <f>VLOOKUP($A1513,Config!$B$6:$E$1862,2,FALSE)</f>
        <v>#N/A</v>
      </c>
      <c r="C1513" s="19" t="e">
        <f>VLOOKUP($A1513,Config!$B$6:$E$1862,3,FALSE)</f>
        <v>#N/A</v>
      </c>
      <c r="D1513" s="19" t="e">
        <f>VLOOKUP($A1513,Config!$B$6:$E$1862,4,FALSE)</f>
        <v>#N/A</v>
      </c>
    </row>
    <row r="1514" spans="1:4" x14ac:dyDescent="0.25">
      <c r="A1514" s="19">
        <v>540171</v>
      </c>
      <c r="B1514" s="19" t="e">
        <f>VLOOKUP($A1514,Config!$B$6:$E$1862,2,FALSE)</f>
        <v>#N/A</v>
      </c>
      <c r="C1514" s="19" t="e">
        <f>VLOOKUP($A1514,Config!$B$6:$E$1862,3,FALSE)</f>
        <v>#N/A</v>
      </c>
      <c r="D1514" s="19" t="e">
        <f>VLOOKUP($A1514,Config!$B$6:$E$1862,4,FALSE)</f>
        <v>#N/A</v>
      </c>
    </row>
    <row r="1515" spans="1:4" x14ac:dyDescent="0.25">
      <c r="A1515" s="19">
        <v>540172</v>
      </c>
      <c r="B1515" s="19" t="e">
        <f>VLOOKUP($A1515,Config!$B$6:$E$1862,2,FALSE)</f>
        <v>#N/A</v>
      </c>
      <c r="C1515" s="19" t="e">
        <f>VLOOKUP($A1515,Config!$B$6:$E$1862,3,FALSE)</f>
        <v>#N/A</v>
      </c>
      <c r="D1515" s="19" t="e">
        <f>VLOOKUP($A1515,Config!$B$6:$E$1862,4,FALSE)</f>
        <v>#N/A</v>
      </c>
    </row>
    <row r="1516" spans="1:4" x14ac:dyDescent="0.25">
      <c r="A1516" s="19">
        <v>540173</v>
      </c>
      <c r="B1516" s="19" t="e">
        <f>VLOOKUP($A1516,Config!$B$6:$E$1862,2,FALSE)</f>
        <v>#N/A</v>
      </c>
      <c r="C1516" s="19" t="e">
        <f>VLOOKUP($A1516,Config!$B$6:$E$1862,3,FALSE)</f>
        <v>#N/A</v>
      </c>
      <c r="D1516" s="19" t="e">
        <f>VLOOKUP($A1516,Config!$B$6:$E$1862,4,FALSE)</f>
        <v>#N/A</v>
      </c>
    </row>
    <row r="1517" spans="1:4" x14ac:dyDescent="0.25">
      <c r="A1517" s="19">
        <v>540174</v>
      </c>
      <c r="B1517" s="19" t="e">
        <f>VLOOKUP($A1517,Config!$B$6:$E$1862,2,FALSE)</f>
        <v>#N/A</v>
      </c>
      <c r="C1517" s="19" t="e">
        <f>VLOOKUP($A1517,Config!$B$6:$E$1862,3,FALSE)</f>
        <v>#N/A</v>
      </c>
      <c r="D1517" s="19" t="e">
        <f>VLOOKUP($A1517,Config!$B$6:$E$1862,4,FALSE)</f>
        <v>#N/A</v>
      </c>
    </row>
    <row r="1518" spans="1:4" x14ac:dyDescent="0.25">
      <c r="A1518" s="19">
        <v>540175</v>
      </c>
      <c r="B1518" s="19" t="e">
        <f>VLOOKUP($A1518,Config!$B$6:$E$1862,2,FALSE)</f>
        <v>#N/A</v>
      </c>
      <c r="C1518" s="19" t="e">
        <f>VLOOKUP($A1518,Config!$B$6:$E$1862,3,FALSE)</f>
        <v>#N/A</v>
      </c>
      <c r="D1518" s="19" t="e">
        <f>VLOOKUP($A1518,Config!$B$6:$E$1862,4,FALSE)</f>
        <v>#N/A</v>
      </c>
    </row>
    <row r="1519" spans="1:4" x14ac:dyDescent="0.25">
      <c r="A1519" s="19">
        <v>540176</v>
      </c>
      <c r="B1519" s="19" t="e">
        <f>VLOOKUP($A1519,Config!$B$6:$E$1862,2,FALSE)</f>
        <v>#N/A</v>
      </c>
      <c r="C1519" s="19" t="e">
        <f>VLOOKUP($A1519,Config!$B$6:$E$1862,3,FALSE)</f>
        <v>#N/A</v>
      </c>
      <c r="D1519" s="19" t="e">
        <f>VLOOKUP($A1519,Config!$B$6:$E$1862,4,FALSE)</f>
        <v>#N/A</v>
      </c>
    </row>
    <row r="1520" spans="1:4" x14ac:dyDescent="0.25">
      <c r="A1520" s="19">
        <v>540177</v>
      </c>
      <c r="B1520" s="19" t="e">
        <f>VLOOKUP($A1520,Config!$B$6:$E$1862,2,FALSE)</f>
        <v>#N/A</v>
      </c>
      <c r="C1520" s="19" t="e">
        <f>VLOOKUP($A1520,Config!$B$6:$E$1862,3,FALSE)</f>
        <v>#N/A</v>
      </c>
      <c r="D1520" s="19" t="e">
        <f>VLOOKUP($A1520,Config!$B$6:$E$1862,4,FALSE)</f>
        <v>#N/A</v>
      </c>
    </row>
    <row r="1521" spans="1:4" x14ac:dyDescent="0.25">
      <c r="A1521" s="19">
        <v>540178</v>
      </c>
      <c r="B1521" s="19" t="e">
        <f>VLOOKUP($A1521,Config!$B$6:$E$1862,2,FALSE)</f>
        <v>#N/A</v>
      </c>
      <c r="C1521" s="19" t="e">
        <f>VLOOKUP($A1521,Config!$B$6:$E$1862,3,FALSE)</f>
        <v>#N/A</v>
      </c>
      <c r="D1521" s="19" t="e">
        <f>VLOOKUP($A1521,Config!$B$6:$E$1862,4,FALSE)</f>
        <v>#N/A</v>
      </c>
    </row>
    <row r="1522" spans="1:4" x14ac:dyDescent="0.25">
      <c r="A1522" s="19">
        <v>540179</v>
      </c>
      <c r="B1522" s="19" t="e">
        <f>VLOOKUP($A1522,Config!$B$6:$E$1862,2,FALSE)</f>
        <v>#N/A</v>
      </c>
      <c r="C1522" s="19" t="e">
        <f>VLOOKUP($A1522,Config!$B$6:$E$1862,3,FALSE)</f>
        <v>#N/A</v>
      </c>
      <c r="D1522" s="19" t="e">
        <f>VLOOKUP($A1522,Config!$B$6:$E$1862,4,FALSE)</f>
        <v>#N/A</v>
      </c>
    </row>
    <row r="1523" spans="1:4" x14ac:dyDescent="0.25">
      <c r="A1523" s="19">
        <v>540180</v>
      </c>
      <c r="B1523" s="19" t="e">
        <f>VLOOKUP($A1523,Config!$B$6:$E$1862,2,FALSE)</f>
        <v>#N/A</v>
      </c>
      <c r="C1523" s="19" t="e">
        <f>VLOOKUP($A1523,Config!$B$6:$E$1862,3,FALSE)</f>
        <v>#N/A</v>
      </c>
      <c r="D1523" s="19" t="e">
        <f>VLOOKUP($A1523,Config!$B$6:$E$1862,4,FALSE)</f>
        <v>#N/A</v>
      </c>
    </row>
    <row r="1524" spans="1:4" x14ac:dyDescent="0.25">
      <c r="A1524" s="19">
        <v>540181</v>
      </c>
      <c r="B1524" s="19" t="e">
        <f>VLOOKUP($A1524,Config!$B$6:$E$1862,2,FALSE)</f>
        <v>#N/A</v>
      </c>
      <c r="C1524" s="19" t="e">
        <f>VLOOKUP($A1524,Config!$B$6:$E$1862,3,FALSE)</f>
        <v>#N/A</v>
      </c>
      <c r="D1524" s="19" t="e">
        <f>VLOOKUP($A1524,Config!$B$6:$E$1862,4,FALSE)</f>
        <v>#N/A</v>
      </c>
    </row>
    <row r="1525" spans="1:4" x14ac:dyDescent="0.25">
      <c r="A1525" s="19">
        <v>540182</v>
      </c>
      <c r="B1525" s="19" t="e">
        <f>VLOOKUP($A1525,Config!$B$6:$E$1862,2,FALSE)</f>
        <v>#N/A</v>
      </c>
      <c r="C1525" s="19" t="e">
        <f>VLOOKUP($A1525,Config!$B$6:$E$1862,3,FALSE)</f>
        <v>#N/A</v>
      </c>
      <c r="D1525" s="19" t="e">
        <f>VLOOKUP($A1525,Config!$B$6:$E$1862,4,FALSE)</f>
        <v>#N/A</v>
      </c>
    </row>
    <row r="1526" spans="1:4" x14ac:dyDescent="0.25">
      <c r="A1526" s="19">
        <v>540183</v>
      </c>
      <c r="B1526" s="19" t="e">
        <f>VLOOKUP($A1526,Config!$B$6:$E$1862,2,FALSE)</f>
        <v>#N/A</v>
      </c>
      <c r="C1526" s="19" t="e">
        <f>VLOOKUP($A1526,Config!$B$6:$E$1862,3,FALSE)</f>
        <v>#N/A</v>
      </c>
      <c r="D1526" s="19" t="e">
        <f>VLOOKUP($A1526,Config!$B$6:$E$1862,4,FALSE)</f>
        <v>#N/A</v>
      </c>
    </row>
    <row r="1527" spans="1:4" x14ac:dyDescent="0.25">
      <c r="A1527" s="19">
        <v>540184</v>
      </c>
      <c r="B1527" s="19" t="e">
        <f>VLOOKUP($A1527,Config!$B$6:$E$1862,2,FALSE)</f>
        <v>#N/A</v>
      </c>
      <c r="C1527" s="19" t="e">
        <f>VLOOKUP($A1527,Config!$B$6:$E$1862,3,FALSE)</f>
        <v>#N/A</v>
      </c>
      <c r="D1527" s="19" t="e">
        <f>VLOOKUP($A1527,Config!$B$6:$E$1862,4,FALSE)</f>
        <v>#N/A</v>
      </c>
    </row>
    <row r="1528" spans="1:4" x14ac:dyDescent="0.25">
      <c r="A1528" s="19">
        <v>540185</v>
      </c>
      <c r="B1528" s="19" t="e">
        <f>VLOOKUP($A1528,Config!$B$6:$E$1862,2,FALSE)</f>
        <v>#N/A</v>
      </c>
      <c r="C1528" s="19" t="e">
        <f>VLOOKUP($A1528,Config!$B$6:$E$1862,3,FALSE)</f>
        <v>#N/A</v>
      </c>
      <c r="D1528" s="19" t="e">
        <f>VLOOKUP($A1528,Config!$B$6:$E$1862,4,FALSE)</f>
        <v>#N/A</v>
      </c>
    </row>
    <row r="1529" spans="1:4" x14ac:dyDescent="0.25">
      <c r="A1529" s="19">
        <v>540186</v>
      </c>
      <c r="B1529" s="19" t="e">
        <f>VLOOKUP($A1529,Config!$B$6:$E$1862,2,FALSE)</f>
        <v>#N/A</v>
      </c>
      <c r="C1529" s="19" t="e">
        <f>VLOOKUP($A1529,Config!$B$6:$E$1862,3,FALSE)</f>
        <v>#N/A</v>
      </c>
      <c r="D1529" s="19" t="e">
        <f>VLOOKUP($A1529,Config!$B$6:$E$1862,4,FALSE)</f>
        <v>#N/A</v>
      </c>
    </row>
    <row r="1530" spans="1:4" x14ac:dyDescent="0.25">
      <c r="A1530" s="19">
        <v>540187</v>
      </c>
      <c r="B1530" s="19" t="e">
        <f>VLOOKUP($A1530,Config!$B$6:$E$1862,2,FALSE)</f>
        <v>#N/A</v>
      </c>
      <c r="C1530" s="19" t="e">
        <f>VLOOKUP($A1530,Config!$B$6:$E$1862,3,FALSE)</f>
        <v>#N/A</v>
      </c>
      <c r="D1530" s="19" t="e">
        <f>VLOOKUP($A1530,Config!$B$6:$E$1862,4,FALSE)</f>
        <v>#N/A</v>
      </c>
    </row>
    <row r="1531" spans="1:4" x14ac:dyDescent="0.25">
      <c r="A1531" s="19">
        <v>540188</v>
      </c>
      <c r="B1531" s="19" t="e">
        <f>VLOOKUP($A1531,Config!$B$6:$E$1862,2,FALSE)</f>
        <v>#N/A</v>
      </c>
      <c r="C1531" s="19" t="e">
        <f>VLOOKUP($A1531,Config!$B$6:$E$1862,3,FALSE)</f>
        <v>#N/A</v>
      </c>
      <c r="D1531" s="19" t="e">
        <f>VLOOKUP($A1531,Config!$B$6:$E$1862,4,FALSE)</f>
        <v>#N/A</v>
      </c>
    </row>
    <row r="1532" spans="1:4" x14ac:dyDescent="0.25">
      <c r="A1532" s="19">
        <v>540189</v>
      </c>
      <c r="B1532" s="19" t="e">
        <f>VLOOKUP($A1532,Config!$B$6:$E$1862,2,FALSE)</f>
        <v>#N/A</v>
      </c>
      <c r="C1532" s="19" t="e">
        <f>VLOOKUP($A1532,Config!$B$6:$E$1862,3,FALSE)</f>
        <v>#N/A</v>
      </c>
      <c r="D1532" s="19" t="e">
        <f>VLOOKUP($A1532,Config!$B$6:$E$1862,4,FALSE)</f>
        <v>#N/A</v>
      </c>
    </row>
    <row r="1533" spans="1:4" x14ac:dyDescent="0.25">
      <c r="A1533" s="19">
        <v>540190</v>
      </c>
      <c r="B1533" s="19" t="e">
        <f>VLOOKUP($A1533,Config!$B$6:$E$1862,2,FALSE)</f>
        <v>#N/A</v>
      </c>
      <c r="C1533" s="19" t="e">
        <f>VLOOKUP($A1533,Config!$B$6:$E$1862,3,FALSE)</f>
        <v>#N/A</v>
      </c>
      <c r="D1533" s="19" t="e">
        <f>VLOOKUP($A1533,Config!$B$6:$E$1862,4,FALSE)</f>
        <v>#N/A</v>
      </c>
    </row>
    <row r="1534" spans="1:4" x14ac:dyDescent="0.25">
      <c r="A1534" s="19">
        <v>540191</v>
      </c>
      <c r="B1534" s="19">
        <f>VLOOKUP($A1534,Config!$B$6:$E$1862,2,FALSE)</f>
        <v>0</v>
      </c>
      <c r="C1534" s="19" t="str">
        <f>VLOOKUP($A1534,Config!$B$6:$E$1862,3,FALSE)</f>
        <v>Missing</v>
      </c>
      <c r="D1534" s="19" t="str">
        <f>VLOOKUP($A1534,Config!$B$6:$E$1862,4,FALSE)</f>
        <v>Mary</v>
      </c>
    </row>
    <row r="1535" spans="1:4" x14ac:dyDescent="0.25">
      <c r="A1535" s="19">
        <v>540192</v>
      </c>
      <c r="B1535" s="19" t="e">
        <f>VLOOKUP($A1535,Config!$B$6:$E$1862,2,FALSE)</f>
        <v>#N/A</v>
      </c>
      <c r="C1535" s="19" t="e">
        <f>VLOOKUP($A1535,Config!$B$6:$E$1862,3,FALSE)</f>
        <v>#N/A</v>
      </c>
      <c r="D1535" s="19" t="e">
        <f>VLOOKUP($A1535,Config!$B$6:$E$1862,4,FALSE)</f>
        <v>#N/A</v>
      </c>
    </row>
    <row r="1536" spans="1:4" x14ac:dyDescent="0.25">
      <c r="A1536" s="19">
        <v>540193</v>
      </c>
      <c r="B1536" s="19" t="e">
        <f>VLOOKUP($A1536,Config!$B$6:$E$1862,2,FALSE)</f>
        <v>#N/A</v>
      </c>
      <c r="C1536" s="19" t="e">
        <f>VLOOKUP($A1536,Config!$B$6:$E$1862,3,FALSE)</f>
        <v>#N/A</v>
      </c>
      <c r="D1536" s="19" t="e">
        <f>VLOOKUP($A1536,Config!$B$6:$E$1862,4,FALSE)</f>
        <v>#N/A</v>
      </c>
    </row>
    <row r="1537" spans="1:4" x14ac:dyDescent="0.25">
      <c r="A1537" s="19">
        <v>540194</v>
      </c>
      <c r="B1537" s="19" t="e">
        <f>VLOOKUP($A1537,Config!$B$6:$E$1862,2,FALSE)</f>
        <v>#N/A</v>
      </c>
      <c r="C1537" s="19" t="e">
        <f>VLOOKUP($A1537,Config!$B$6:$E$1862,3,FALSE)</f>
        <v>#N/A</v>
      </c>
      <c r="D1537" s="19" t="e">
        <f>VLOOKUP($A1537,Config!$B$6:$E$1862,4,FALSE)</f>
        <v>#N/A</v>
      </c>
    </row>
    <row r="1538" spans="1:4" x14ac:dyDescent="0.25">
      <c r="A1538" s="19">
        <v>540195</v>
      </c>
      <c r="B1538" s="19" t="e">
        <f>VLOOKUP($A1538,Config!$B$6:$E$1862,2,FALSE)</f>
        <v>#N/A</v>
      </c>
      <c r="C1538" s="19" t="e">
        <f>VLOOKUP($A1538,Config!$B$6:$E$1862,3,FALSE)</f>
        <v>#N/A</v>
      </c>
      <c r="D1538" s="19" t="e">
        <f>VLOOKUP($A1538,Config!$B$6:$E$1862,4,FALSE)</f>
        <v>#N/A</v>
      </c>
    </row>
    <row r="1539" spans="1:4" x14ac:dyDescent="0.25">
      <c r="A1539" s="19">
        <v>540196</v>
      </c>
      <c r="B1539" s="19" t="e">
        <f>VLOOKUP($A1539,Config!$B$6:$E$1862,2,FALSE)</f>
        <v>#N/A</v>
      </c>
      <c r="C1539" s="19" t="e">
        <f>VLOOKUP($A1539,Config!$B$6:$E$1862,3,FALSE)</f>
        <v>#N/A</v>
      </c>
      <c r="D1539" s="19" t="e">
        <f>VLOOKUP($A1539,Config!$B$6:$E$1862,4,FALSE)</f>
        <v>#N/A</v>
      </c>
    </row>
    <row r="1540" spans="1:4" x14ac:dyDescent="0.25">
      <c r="A1540" s="19">
        <v>540198</v>
      </c>
      <c r="B1540" s="19" t="e">
        <f>VLOOKUP($A1540,Config!$B$6:$E$1862,2,FALSE)</f>
        <v>#N/A</v>
      </c>
      <c r="C1540" s="19" t="e">
        <f>VLOOKUP($A1540,Config!$B$6:$E$1862,3,FALSE)</f>
        <v>#N/A</v>
      </c>
      <c r="D1540" s="19" t="e">
        <f>VLOOKUP($A1540,Config!$B$6:$E$1862,4,FALSE)</f>
        <v>#N/A</v>
      </c>
    </row>
    <row r="1541" spans="1:4" x14ac:dyDescent="0.25">
      <c r="A1541" s="19">
        <v>540199</v>
      </c>
      <c r="B1541" s="19" t="e">
        <f>VLOOKUP($A1541,Config!$B$6:$E$1862,2,FALSE)</f>
        <v>#N/A</v>
      </c>
      <c r="C1541" s="19" t="e">
        <f>VLOOKUP($A1541,Config!$B$6:$E$1862,3,FALSE)</f>
        <v>#N/A</v>
      </c>
      <c r="D1541" s="19" t="e">
        <f>VLOOKUP($A1541,Config!$B$6:$E$1862,4,FALSE)</f>
        <v>#N/A</v>
      </c>
    </row>
    <row r="1542" spans="1:4" x14ac:dyDescent="0.25">
      <c r="A1542" s="19">
        <v>540200</v>
      </c>
      <c r="B1542" s="19" t="e">
        <f>VLOOKUP($A1542,Config!$B$6:$E$1862,2,FALSE)</f>
        <v>#N/A</v>
      </c>
      <c r="C1542" s="19" t="e">
        <f>VLOOKUP($A1542,Config!$B$6:$E$1862,3,FALSE)</f>
        <v>#N/A</v>
      </c>
      <c r="D1542" s="19" t="e">
        <f>VLOOKUP($A1542,Config!$B$6:$E$1862,4,FALSE)</f>
        <v>#N/A</v>
      </c>
    </row>
    <row r="1543" spans="1:4" x14ac:dyDescent="0.25">
      <c r="A1543" s="19">
        <v>540202</v>
      </c>
      <c r="B1543" s="19" t="e">
        <f>VLOOKUP($A1543,Config!$B$6:$E$1862,2,FALSE)</f>
        <v>#N/A</v>
      </c>
      <c r="C1543" s="19" t="e">
        <f>VLOOKUP($A1543,Config!$B$6:$E$1862,3,FALSE)</f>
        <v>#N/A</v>
      </c>
      <c r="D1543" s="19" t="e">
        <f>VLOOKUP($A1543,Config!$B$6:$E$1862,4,FALSE)</f>
        <v>#N/A</v>
      </c>
    </row>
    <row r="1544" spans="1:4" x14ac:dyDescent="0.25">
      <c r="A1544" s="19">
        <v>540203</v>
      </c>
      <c r="B1544" s="19" t="e">
        <f>VLOOKUP($A1544,Config!$B$6:$E$1862,2,FALSE)</f>
        <v>#N/A</v>
      </c>
      <c r="C1544" s="19" t="e">
        <f>VLOOKUP($A1544,Config!$B$6:$E$1862,3,FALSE)</f>
        <v>#N/A</v>
      </c>
      <c r="D1544" s="19" t="e">
        <f>VLOOKUP($A1544,Config!$B$6:$E$1862,4,FALSE)</f>
        <v>#N/A</v>
      </c>
    </row>
    <row r="1545" spans="1:4" x14ac:dyDescent="0.25">
      <c r="A1545" s="19">
        <v>540204</v>
      </c>
      <c r="B1545" s="19" t="e">
        <f>VLOOKUP($A1545,Config!$B$6:$E$1862,2,FALSE)</f>
        <v>#N/A</v>
      </c>
      <c r="C1545" s="19" t="e">
        <f>VLOOKUP($A1545,Config!$B$6:$E$1862,3,FALSE)</f>
        <v>#N/A</v>
      </c>
      <c r="D1545" s="19" t="e">
        <f>VLOOKUP($A1545,Config!$B$6:$E$1862,4,FALSE)</f>
        <v>#N/A</v>
      </c>
    </row>
    <row r="1546" spans="1:4" x14ac:dyDescent="0.25">
      <c r="A1546" s="19">
        <v>540205</v>
      </c>
      <c r="B1546" s="19" t="e">
        <f>VLOOKUP($A1546,Config!$B$6:$E$1862,2,FALSE)</f>
        <v>#N/A</v>
      </c>
      <c r="C1546" s="19" t="e">
        <f>VLOOKUP($A1546,Config!$B$6:$E$1862,3,FALSE)</f>
        <v>#N/A</v>
      </c>
      <c r="D1546" s="19" t="e">
        <f>VLOOKUP($A1546,Config!$B$6:$E$1862,4,FALSE)</f>
        <v>#N/A</v>
      </c>
    </row>
    <row r="1547" spans="1:4" x14ac:dyDescent="0.25">
      <c r="A1547" s="19">
        <v>540207</v>
      </c>
      <c r="B1547" s="19" t="e">
        <f>VLOOKUP($A1547,Config!$B$6:$E$1862,2,FALSE)</f>
        <v>#N/A</v>
      </c>
      <c r="C1547" s="19" t="e">
        <f>VLOOKUP($A1547,Config!$B$6:$E$1862,3,FALSE)</f>
        <v>#N/A</v>
      </c>
      <c r="D1547" s="19" t="e">
        <f>VLOOKUP($A1547,Config!$B$6:$E$1862,4,FALSE)</f>
        <v>#N/A</v>
      </c>
    </row>
    <row r="1548" spans="1:4" x14ac:dyDescent="0.25">
      <c r="A1548" s="19">
        <v>540208</v>
      </c>
      <c r="B1548" s="19" t="e">
        <f>VLOOKUP($A1548,Config!$B$6:$E$1862,2,FALSE)</f>
        <v>#N/A</v>
      </c>
      <c r="C1548" s="19" t="e">
        <f>VLOOKUP($A1548,Config!$B$6:$E$1862,3,FALSE)</f>
        <v>#N/A</v>
      </c>
      <c r="D1548" s="19" t="e">
        <f>VLOOKUP($A1548,Config!$B$6:$E$1862,4,FALSE)</f>
        <v>#N/A</v>
      </c>
    </row>
    <row r="1549" spans="1:4" x14ac:dyDescent="0.25">
      <c r="A1549" s="19">
        <v>540209</v>
      </c>
      <c r="B1549" s="19" t="e">
        <f>VLOOKUP($A1549,Config!$B$6:$E$1862,2,FALSE)</f>
        <v>#N/A</v>
      </c>
      <c r="C1549" s="19" t="e">
        <f>VLOOKUP($A1549,Config!$B$6:$E$1862,3,FALSE)</f>
        <v>#N/A</v>
      </c>
      <c r="D1549" s="19" t="e">
        <f>VLOOKUP($A1549,Config!$B$6:$E$1862,4,FALSE)</f>
        <v>#N/A</v>
      </c>
    </row>
    <row r="1550" spans="1:4" x14ac:dyDescent="0.25">
      <c r="A1550" s="19">
        <v>540210</v>
      </c>
      <c r="B1550" s="19" t="e">
        <f>VLOOKUP($A1550,Config!$B$6:$E$1862,2,FALSE)</f>
        <v>#N/A</v>
      </c>
      <c r="C1550" s="19" t="e">
        <f>VLOOKUP($A1550,Config!$B$6:$E$1862,3,FALSE)</f>
        <v>#N/A</v>
      </c>
      <c r="D1550" s="19" t="e">
        <f>VLOOKUP($A1550,Config!$B$6:$E$1862,4,FALSE)</f>
        <v>#N/A</v>
      </c>
    </row>
    <row r="1551" spans="1:4" x14ac:dyDescent="0.25">
      <c r="A1551" s="19">
        <v>540212</v>
      </c>
      <c r="B1551" s="19" t="e">
        <f>VLOOKUP($A1551,Config!$B$6:$E$1862,2,FALSE)</f>
        <v>#N/A</v>
      </c>
      <c r="C1551" s="19" t="e">
        <f>VLOOKUP($A1551,Config!$B$6:$E$1862,3,FALSE)</f>
        <v>#N/A</v>
      </c>
      <c r="D1551" s="19" t="e">
        <f>VLOOKUP($A1551,Config!$B$6:$E$1862,4,FALSE)</f>
        <v>#N/A</v>
      </c>
    </row>
    <row r="1552" spans="1:4" x14ac:dyDescent="0.25">
      <c r="A1552" s="19">
        <v>540217</v>
      </c>
      <c r="B1552" s="19" t="e">
        <f>VLOOKUP($A1552,Config!$B$6:$E$1862,2,FALSE)</f>
        <v>#N/A</v>
      </c>
      <c r="C1552" s="19" t="e">
        <f>VLOOKUP($A1552,Config!$B$6:$E$1862,3,FALSE)</f>
        <v>#N/A</v>
      </c>
      <c r="D1552" s="19" t="e">
        <f>VLOOKUP($A1552,Config!$B$6:$E$1862,4,FALSE)</f>
        <v>#N/A</v>
      </c>
    </row>
    <row r="1553" spans="1:4" x14ac:dyDescent="0.25">
      <c r="A1553" s="19">
        <v>540218</v>
      </c>
      <c r="B1553" s="19" t="e">
        <f>VLOOKUP($A1553,Config!$B$6:$E$1862,2,FALSE)</f>
        <v>#N/A</v>
      </c>
      <c r="C1553" s="19" t="e">
        <f>VLOOKUP($A1553,Config!$B$6:$E$1862,3,FALSE)</f>
        <v>#N/A</v>
      </c>
      <c r="D1553" s="19" t="e">
        <f>VLOOKUP($A1553,Config!$B$6:$E$1862,4,FALSE)</f>
        <v>#N/A</v>
      </c>
    </row>
    <row r="1554" spans="1:4" x14ac:dyDescent="0.25">
      <c r="A1554" s="19">
        <v>540219</v>
      </c>
      <c r="B1554" s="19" t="e">
        <f>VLOOKUP($A1554,Config!$B$6:$E$1862,2,FALSE)</f>
        <v>#N/A</v>
      </c>
      <c r="C1554" s="19" t="e">
        <f>VLOOKUP($A1554,Config!$B$6:$E$1862,3,FALSE)</f>
        <v>#N/A</v>
      </c>
      <c r="D1554" s="19" t="e">
        <f>VLOOKUP($A1554,Config!$B$6:$E$1862,4,FALSE)</f>
        <v>#N/A</v>
      </c>
    </row>
    <row r="1555" spans="1:4" x14ac:dyDescent="0.25">
      <c r="A1555" s="19">
        <v>540220</v>
      </c>
      <c r="B1555" s="19" t="e">
        <f>VLOOKUP($A1555,Config!$B$6:$E$1862,2,FALSE)</f>
        <v>#N/A</v>
      </c>
      <c r="C1555" s="19" t="e">
        <f>VLOOKUP($A1555,Config!$B$6:$E$1862,3,FALSE)</f>
        <v>#N/A</v>
      </c>
      <c r="D1555" s="19" t="e">
        <f>VLOOKUP($A1555,Config!$B$6:$E$1862,4,FALSE)</f>
        <v>#N/A</v>
      </c>
    </row>
    <row r="1556" spans="1:4" x14ac:dyDescent="0.25">
      <c r="A1556" s="19">
        <v>540221</v>
      </c>
      <c r="B1556" s="19" t="e">
        <f>VLOOKUP($A1556,Config!$B$6:$E$1862,2,FALSE)</f>
        <v>#N/A</v>
      </c>
      <c r="C1556" s="19" t="e">
        <f>VLOOKUP($A1556,Config!$B$6:$E$1862,3,FALSE)</f>
        <v>#N/A</v>
      </c>
      <c r="D1556" s="19" t="e">
        <f>VLOOKUP($A1556,Config!$B$6:$E$1862,4,FALSE)</f>
        <v>#N/A</v>
      </c>
    </row>
    <row r="1557" spans="1:4" x14ac:dyDescent="0.25">
      <c r="A1557" s="19">
        <v>540222</v>
      </c>
      <c r="B1557" s="19" t="e">
        <f>VLOOKUP($A1557,Config!$B$6:$E$1862,2,FALSE)</f>
        <v>#N/A</v>
      </c>
      <c r="C1557" s="19" t="e">
        <f>VLOOKUP($A1557,Config!$B$6:$E$1862,3,FALSE)</f>
        <v>#N/A</v>
      </c>
      <c r="D1557" s="19" t="e">
        <f>VLOOKUP($A1557,Config!$B$6:$E$1862,4,FALSE)</f>
        <v>#N/A</v>
      </c>
    </row>
    <row r="1558" spans="1:4" x14ac:dyDescent="0.25">
      <c r="A1558" s="19">
        <v>540223</v>
      </c>
      <c r="B1558" s="19" t="e">
        <f>VLOOKUP($A1558,Config!$B$6:$E$1862,2,FALSE)</f>
        <v>#N/A</v>
      </c>
      <c r="C1558" s="19" t="e">
        <f>VLOOKUP($A1558,Config!$B$6:$E$1862,3,FALSE)</f>
        <v>#N/A</v>
      </c>
      <c r="D1558" s="19" t="e">
        <f>VLOOKUP($A1558,Config!$B$6:$E$1862,4,FALSE)</f>
        <v>#N/A</v>
      </c>
    </row>
    <row r="1559" spans="1:4" x14ac:dyDescent="0.25">
      <c r="A1559" s="19">
        <v>540224</v>
      </c>
      <c r="B1559" s="19" t="e">
        <f>VLOOKUP($A1559,Config!$B$6:$E$1862,2,FALSE)</f>
        <v>#N/A</v>
      </c>
      <c r="C1559" s="19" t="e">
        <f>VLOOKUP($A1559,Config!$B$6:$E$1862,3,FALSE)</f>
        <v>#N/A</v>
      </c>
      <c r="D1559" s="19" t="e">
        <f>VLOOKUP($A1559,Config!$B$6:$E$1862,4,FALSE)</f>
        <v>#N/A</v>
      </c>
    </row>
    <row r="1560" spans="1:4" x14ac:dyDescent="0.25">
      <c r="A1560" s="19">
        <v>540225</v>
      </c>
      <c r="B1560" s="19" t="e">
        <f>VLOOKUP($A1560,Config!$B$6:$E$1862,2,FALSE)</f>
        <v>#N/A</v>
      </c>
      <c r="C1560" s="19" t="e">
        <f>VLOOKUP($A1560,Config!$B$6:$E$1862,3,FALSE)</f>
        <v>#N/A</v>
      </c>
      <c r="D1560" s="19" t="e">
        <f>VLOOKUP($A1560,Config!$B$6:$E$1862,4,FALSE)</f>
        <v>#N/A</v>
      </c>
    </row>
    <row r="1561" spans="1:4" x14ac:dyDescent="0.25">
      <c r="A1561" s="19">
        <v>540227</v>
      </c>
      <c r="B1561" s="19" t="e">
        <f>VLOOKUP($A1561,Config!$B$6:$E$1862,2,FALSE)</f>
        <v>#N/A</v>
      </c>
      <c r="C1561" s="19" t="e">
        <f>VLOOKUP($A1561,Config!$B$6:$E$1862,3,FALSE)</f>
        <v>#N/A</v>
      </c>
      <c r="D1561" s="19" t="e">
        <f>VLOOKUP($A1561,Config!$B$6:$E$1862,4,FALSE)</f>
        <v>#N/A</v>
      </c>
    </row>
    <row r="1562" spans="1:4" x14ac:dyDescent="0.25">
      <c r="A1562" s="19">
        <v>540229</v>
      </c>
      <c r="B1562" s="19" t="e">
        <f>VLOOKUP($A1562,Config!$B$6:$E$1862,2,FALSE)</f>
        <v>#N/A</v>
      </c>
      <c r="C1562" s="19" t="e">
        <f>VLOOKUP($A1562,Config!$B$6:$E$1862,3,FALSE)</f>
        <v>#N/A</v>
      </c>
      <c r="D1562" s="19" t="e">
        <f>VLOOKUP($A1562,Config!$B$6:$E$1862,4,FALSE)</f>
        <v>#N/A</v>
      </c>
    </row>
    <row r="1563" spans="1:4" x14ac:dyDescent="0.25">
      <c r="A1563" s="19">
        <v>540230</v>
      </c>
      <c r="B1563" s="19" t="e">
        <f>VLOOKUP($A1563,Config!$B$6:$E$1862,2,FALSE)</f>
        <v>#N/A</v>
      </c>
      <c r="C1563" s="19" t="e">
        <f>VLOOKUP($A1563,Config!$B$6:$E$1862,3,FALSE)</f>
        <v>#N/A</v>
      </c>
      <c r="D1563" s="19" t="e">
        <f>VLOOKUP($A1563,Config!$B$6:$E$1862,4,FALSE)</f>
        <v>#N/A</v>
      </c>
    </row>
    <row r="1564" spans="1:4" x14ac:dyDescent="0.25">
      <c r="A1564" s="19">
        <v>540233</v>
      </c>
      <c r="B1564" s="19" t="e">
        <f>VLOOKUP($A1564,Config!$B$6:$E$1862,2,FALSE)</f>
        <v>#N/A</v>
      </c>
      <c r="C1564" s="19" t="e">
        <f>VLOOKUP($A1564,Config!$B$6:$E$1862,3,FALSE)</f>
        <v>#N/A</v>
      </c>
      <c r="D1564" s="19" t="e">
        <f>VLOOKUP($A1564,Config!$B$6:$E$1862,4,FALSE)</f>
        <v>#N/A</v>
      </c>
    </row>
    <row r="1565" spans="1:4" x14ac:dyDescent="0.25">
      <c r="A1565" s="19">
        <v>540234</v>
      </c>
      <c r="B1565" s="19" t="e">
        <f>VLOOKUP($A1565,Config!$B$6:$E$1862,2,FALSE)</f>
        <v>#N/A</v>
      </c>
      <c r="C1565" s="19" t="e">
        <f>VLOOKUP($A1565,Config!$B$6:$E$1862,3,FALSE)</f>
        <v>#N/A</v>
      </c>
      <c r="D1565" s="19" t="e">
        <f>VLOOKUP($A1565,Config!$B$6:$E$1862,4,FALSE)</f>
        <v>#N/A</v>
      </c>
    </row>
    <row r="1566" spans="1:4" x14ac:dyDescent="0.25">
      <c r="A1566" s="19">
        <v>540235</v>
      </c>
      <c r="B1566" s="19" t="e">
        <f>VLOOKUP($A1566,Config!$B$6:$E$1862,2,FALSE)</f>
        <v>#N/A</v>
      </c>
      <c r="C1566" s="19" t="e">
        <f>VLOOKUP($A1566,Config!$B$6:$E$1862,3,FALSE)</f>
        <v>#N/A</v>
      </c>
      <c r="D1566" s="19" t="e">
        <f>VLOOKUP($A1566,Config!$B$6:$E$1862,4,FALSE)</f>
        <v>#N/A</v>
      </c>
    </row>
    <row r="1567" spans="1:4" x14ac:dyDescent="0.25">
      <c r="A1567" s="19">
        <v>540236</v>
      </c>
      <c r="B1567" s="19" t="e">
        <f>VLOOKUP($A1567,Config!$B$6:$E$1862,2,FALSE)</f>
        <v>#N/A</v>
      </c>
      <c r="C1567" s="19" t="e">
        <f>VLOOKUP($A1567,Config!$B$6:$E$1862,3,FALSE)</f>
        <v>#N/A</v>
      </c>
      <c r="D1567" s="19" t="e">
        <f>VLOOKUP($A1567,Config!$B$6:$E$1862,4,FALSE)</f>
        <v>#N/A</v>
      </c>
    </row>
    <row r="1568" spans="1:4" x14ac:dyDescent="0.25">
      <c r="A1568" s="19">
        <v>540237</v>
      </c>
      <c r="B1568" s="19" t="e">
        <f>VLOOKUP($A1568,Config!$B$6:$E$1862,2,FALSE)</f>
        <v>#N/A</v>
      </c>
      <c r="C1568" s="19" t="e">
        <f>VLOOKUP($A1568,Config!$B$6:$E$1862,3,FALSE)</f>
        <v>#N/A</v>
      </c>
      <c r="D1568" s="19" t="e">
        <f>VLOOKUP($A1568,Config!$B$6:$E$1862,4,FALSE)</f>
        <v>#N/A</v>
      </c>
    </row>
    <row r="1569" spans="1:4" x14ac:dyDescent="0.25">
      <c r="A1569" s="19">
        <v>540238</v>
      </c>
      <c r="B1569" s="19" t="e">
        <f>VLOOKUP($A1569,Config!$B$6:$E$1862,2,FALSE)</f>
        <v>#N/A</v>
      </c>
      <c r="C1569" s="19" t="e">
        <f>VLOOKUP($A1569,Config!$B$6:$E$1862,3,FALSE)</f>
        <v>#N/A</v>
      </c>
      <c r="D1569" s="19" t="e">
        <f>VLOOKUP($A1569,Config!$B$6:$E$1862,4,FALSE)</f>
        <v>#N/A</v>
      </c>
    </row>
    <row r="1570" spans="1:4" x14ac:dyDescent="0.25">
      <c r="A1570" s="19">
        <v>540239</v>
      </c>
      <c r="B1570" s="19" t="e">
        <f>VLOOKUP($A1570,Config!$B$6:$E$1862,2,FALSE)</f>
        <v>#N/A</v>
      </c>
      <c r="C1570" s="19" t="e">
        <f>VLOOKUP($A1570,Config!$B$6:$E$1862,3,FALSE)</f>
        <v>#N/A</v>
      </c>
      <c r="D1570" s="19" t="e">
        <f>VLOOKUP($A1570,Config!$B$6:$E$1862,4,FALSE)</f>
        <v>#N/A</v>
      </c>
    </row>
    <row r="1571" spans="1:4" x14ac:dyDescent="0.25">
      <c r="A1571" s="19">
        <v>540240</v>
      </c>
      <c r="B1571" s="19" t="e">
        <f>VLOOKUP($A1571,Config!$B$6:$E$1862,2,FALSE)</f>
        <v>#N/A</v>
      </c>
      <c r="C1571" s="19" t="e">
        <f>VLOOKUP($A1571,Config!$B$6:$E$1862,3,FALSE)</f>
        <v>#N/A</v>
      </c>
      <c r="D1571" s="19" t="e">
        <f>VLOOKUP($A1571,Config!$B$6:$E$1862,4,FALSE)</f>
        <v>#N/A</v>
      </c>
    </row>
    <row r="1572" spans="1:4" x14ac:dyDescent="0.25">
      <c r="A1572" s="19">
        <v>540241</v>
      </c>
      <c r="B1572" s="19" t="e">
        <f>VLOOKUP($A1572,Config!$B$6:$E$1862,2,FALSE)</f>
        <v>#N/A</v>
      </c>
      <c r="C1572" s="19" t="e">
        <f>VLOOKUP($A1572,Config!$B$6:$E$1862,3,FALSE)</f>
        <v>#N/A</v>
      </c>
      <c r="D1572" s="19" t="e">
        <f>VLOOKUP($A1572,Config!$B$6:$E$1862,4,FALSE)</f>
        <v>#N/A</v>
      </c>
    </row>
    <row r="1573" spans="1:4" x14ac:dyDescent="0.25">
      <c r="A1573" s="19">
        <v>540242</v>
      </c>
      <c r="B1573" s="19" t="e">
        <f>VLOOKUP($A1573,Config!$B$6:$E$1862,2,FALSE)</f>
        <v>#N/A</v>
      </c>
      <c r="C1573" s="19" t="e">
        <f>VLOOKUP($A1573,Config!$B$6:$E$1862,3,FALSE)</f>
        <v>#N/A</v>
      </c>
      <c r="D1573" s="19" t="e">
        <f>VLOOKUP($A1573,Config!$B$6:$E$1862,4,FALSE)</f>
        <v>#N/A</v>
      </c>
    </row>
    <row r="1574" spans="1:4" x14ac:dyDescent="0.25">
      <c r="A1574" s="19">
        <v>540243</v>
      </c>
      <c r="B1574" s="19" t="e">
        <f>VLOOKUP($A1574,Config!$B$6:$E$1862,2,FALSE)</f>
        <v>#N/A</v>
      </c>
      <c r="C1574" s="19" t="e">
        <f>VLOOKUP($A1574,Config!$B$6:$E$1862,3,FALSE)</f>
        <v>#N/A</v>
      </c>
      <c r="D1574" s="19" t="e">
        <f>VLOOKUP($A1574,Config!$B$6:$E$1862,4,FALSE)</f>
        <v>#N/A</v>
      </c>
    </row>
    <row r="1575" spans="1:4" x14ac:dyDescent="0.25">
      <c r="A1575" s="19">
        <v>540244</v>
      </c>
      <c r="B1575" s="19" t="e">
        <f>VLOOKUP($A1575,Config!$B$6:$E$1862,2,FALSE)</f>
        <v>#N/A</v>
      </c>
      <c r="C1575" s="19" t="e">
        <f>VLOOKUP($A1575,Config!$B$6:$E$1862,3,FALSE)</f>
        <v>#N/A</v>
      </c>
      <c r="D1575" s="19" t="e">
        <f>VLOOKUP($A1575,Config!$B$6:$E$1862,4,FALSE)</f>
        <v>#N/A</v>
      </c>
    </row>
    <row r="1576" spans="1:4" x14ac:dyDescent="0.25">
      <c r="A1576" s="19">
        <v>540245</v>
      </c>
      <c r="B1576" s="19" t="e">
        <f>VLOOKUP($A1576,Config!$B$6:$E$1862,2,FALSE)</f>
        <v>#N/A</v>
      </c>
      <c r="C1576" s="19" t="e">
        <f>VLOOKUP($A1576,Config!$B$6:$E$1862,3,FALSE)</f>
        <v>#N/A</v>
      </c>
      <c r="D1576" s="19" t="e">
        <f>VLOOKUP($A1576,Config!$B$6:$E$1862,4,FALSE)</f>
        <v>#N/A</v>
      </c>
    </row>
    <row r="1577" spans="1:4" x14ac:dyDescent="0.25">
      <c r="A1577" s="19">
        <v>540246</v>
      </c>
      <c r="B1577" s="19" t="e">
        <f>VLOOKUP($A1577,Config!$B$6:$E$1862,2,FALSE)</f>
        <v>#N/A</v>
      </c>
      <c r="C1577" s="19" t="e">
        <f>VLOOKUP($A1577,Config!$B$6:$E$1862,3,FALSE)</f>
        <v>#N/A</v>
      </c>
      <c r="D1577" s="19" t="e">
        <f>VLOOKUP($A1577,Config!$B$6:$E$1862,4,FALSE)</f>
        <v>#N/A</v>
      </c>
    </row>
    <row r="1578" spans="1:4" x14ac:dyDescent="0.25">
      <c r="A1578" s="19">
        <v>540247</v>
      </c>
      <c r="B1578" s="19" t="e">
        <f>VLOOKUP($A1578,Config!$B$6:$E$1862,2,FALSE)</f>
        <v>#N/A</v>
      </c>
      <c r="C1578" s="19" t="e">
        <f>VLOOKUP($A1578,Config!$B$6:$E$1862,3,FALSE)</f>
        <v>#N/A</v>
      </c>
      <c r="D1578" s="19" t="e">
        <f>VLOOKUP($A1578,Config!$B$6:$E$1862,4,FALSE)</f>
        <v>#N/A</v>
      </c>
    </row>
    <row r="1579" spans="1:4" x14ac:dyDescent="0.25">
      <c r="A1579" s="19">
        <v>540248</v>
      </c>
      <c r="B1579" s="19" t="e">
        <f>VLOOKUP($A1579,Config!$B$6:$E$1862,2,FALSE)</f>
        <v>#N/A</v>
      </c>
      <c r="C1579" s="19" t="e">
        <f>VLOOKUP($A1579,Config!$B$6:$E$1862,3,FALSE)</f>
        <v>#N/A</v>
      </c>
      <c r="D1579" s="19" t="e">
        <f>VLOOKUP($A1579,Config!$B$6:$E$1862,4,FALSE)</f>
        <v>#N/A</v>
      </c>
    </row>
    <row r="1580" spans="1:4" x14ac:dyDescent="0.25">
      <c r="A1580" s="19">
        <v>540249</v>
      </c>
      <c r="B1580" s="19" t="e">
        <f>VLOOKUP($A1580,Config!$B$6:$E$1862,2,FALSE)</f>
        <v>#N/A</v>
      </c>
      <c r="C1580" s="19" t="e">
        <f>VLOOKUP($A1580,Config!$B$6:$E$1862,3,FALSE)</f>
        <v>#N/A</v>
      </c>
      <c r="D1580" s="19" t="e">
        <f>VLOOKUP($A1580,Config!$B$6:$E$1862,4,FALSE)</f>
        <v>#N/A</v>
      </c>
    </row>
    <row r="1581" spans="1:4" x14ac:dyDescent="0.25">
      <c r="A1581" s="19">
        <v>540250</v>
      </c>
      <c r="B1581" s="19" t="e">
        <f>VLOOKUP($A1581,Config!$B$6:$E$1862,2,FALSE)</f>
        <v>#N/A</v>
      </c>
      <c r="C1581" s="19" t="e">
        <f>VLOOKUP($A1581,Config!$B$6:$E$1862,3,FALSE)</f>
        <v>#N/A</v>
      </c>
      <c r="D1581" s="19" t="e">
        <f>VLOOKUP($A1581,Config!$B$6:$E$1862,4,FALSE)</f>
        <v>#N/A</v>
      </c>
    </row>
    <row r="1582" spans="1:4" x14ac:dyDescent="0.25">
      <c r="A1582" s="19">
        <v>540252</v>
      </c>
      <c r="B1582" s="19" t="e">
        <f>VLOOKUP($A1582,Config!$B$6:$E$1862,2,FALSE)</f>
        <v>#N/A</v>
      </c>
      <c r="C1582" s="19" t="e">
        <f>VLOOKUP($A1582,Config!$B$6:$E$1862,3,FALSE)</f>
        <v>#N/A</v>
      </c>
      <c r="D1582" s="19" t="e">
        <f>VLOOKUP($A1582,Config!$B$6:$E$1862,4,FALSE)</f>
        <v>#N/A</v>
      </c>
    </row>
    <row r="1583" spans="1:4" x14ac:dyDescent="0.25">
      <c r="A1583" s="19">
        <v>540253</v>
      </c>
      <c r="B1583" s="19" t="e">
        <f>VLOOKUP($A1583,Config!$B$6:$E$1862,2,FALSE)</f>
        <v>#N/A</v>
      </c>
      <c r="C1583" s="19" t="e">
        <f>VLOOKUP($A1583,Config!$B$6:$E$1862,3,FALSE)</f>
        <v>#N/A</v>
      </c>
      <c r="D1583" s="19" t="e">
        <f>VLOOKUP($A1583,Config!$B$6:$E$1862,4,FALSE)</f>
        <v>#N/A</v>
      </c>
    </row>
    <row r="1584" spans="1:4" x14ac:dyDescent="0.25">
      <c r="A1584" s="19">
        <v>540254</v>
      </c>
      <c r="B1584" s="19" t="e">
        <f>VLOOKUP($A1584,Config!$B$6:$E$1862,2,FALSE)</f>
        <v>#N/A</v>
      </c>
      <c r="C1584" s="19" t="e">
        <f>VLOOKUP($A1584,Config!$B$6:$E$1862,3,FALSE)</f>
        <v>#N/A</v>
      </c>
      <c r="D1584" s="19" t="e">
        <f>VLOOKUP($A1584,Config!$B$6:$E$1862,4,FALSE)</f>
        <v>#N/A</v>
      </c>
    </row>
    <row r="1585" spans="1:4" x14ac:dyDescent="0.25">
      <c r="A1585" s="19">
        <v>540255</v>
      </c>
      <c r="B1585" s="19" t="e">
        <f>VLOOKUP($A1585,Config!$B$6:$E$1862,2,FALSE)</f>
        <v>#N/A</v>
      </c>
      <c r="C1585" s="19" t="e">
        <f>VLOOKUP($A1585,Config!$B$6:$E$1862,3,FALSE)</f>
        <v>#N/A</v>
      </c>
      <c r="D1585" s="19" t="e">
        <f>VLOOKUP($A1585,Config!$B$6:$E$1862,4,FALSE)</f>
        <v>#N/A</v>
      </c>
    </row>
    <row r="1586" spans="1:4" x14ac:dyDescent="0.25">
      <c r="A1586" s="19">
        <v>540261</v>
      </c>
      <c r="B1586" s="19" t="e">
        <f>VLOOKUP($A1586,Config!$B$6:$E$1862,2,FALSE)</f>
        <v>#N/A</v>
      </c>
      <c r="C1586" s="19" t="e">
        <f>VLOOKUP($A1586,Config!$B$6:$E$1862,3,FALSE)</f>
        <v>#N/A</v>
      </c>
      <c r="D1586" s="19" t="e">
        <f>VLOOKUP($A1586,Config!$B$6:$E$1862,4,FALSE)</f>
        <v>#N/A</v>
      </c>
    </row>
    <row r="1587" spans="1:4" x14ac:dyDescent="0.25">
      <c r="A1587" s="19">
        <v>540264</v>
      </c>
      <c r="B1587" s="19" t="e">
        <f>VLOOKUP($A1587,Config!$B$6:$E$1862,2,FALSE)</f>
        <v>#N/A</v>
      </c>
      <c r="C1587" s="19" t="e">
        <f>VLOOKUP($A1587,Config!$B$6:$E$1862,3,FALSE)</f>
        <v>#N/A</v>
      </c>
      <c r="D1587" s="19" t="e">
        <f>VLOOKUP($A1587,Config!$B$6:$E$1862,4,FALSE)</f>
        <v>#N/A</v>
      </c>
    </row>
    <row r="1588" spans="1:4" x14ac:dyDescent="0.25">
      <c r="A1588" s="19">
        <v>540265</v>
      </c>
      <c r="B1588" s="19" t="e">
        <f>VLOOKUP($A1588,Config!$B$6:$E$1862,2,FALSE)</f>
        <v>#N/A</v>
      </c>
      <c r="C1588" s="19" t="e">
        <f>VLOOKUP($A1588,Config!$B$6:$E$1862,3,FALSE)</f>
        <v>#N/A</v>
      </c>
      <c r="D1588" s="19" t="e">
        <f>VLOOKUP($A1588,Config!$B$6:$E$1862,4,FALSE)</f>
        <v>#N/A</v>
      </c>
    </row>
    <row r="1589" spans="1:4" x14ac:dyDescent="0.25">
      <c r="A1589" s="19">
        <v>540268</v>
      </c>
      <c r="B1589" s="19" t="e">
        <f>VLOOKUP($A1589,Config!$B$6:$E$1862,2,FALSE)</f>
        <v>#N/A</v>
      </c>
      <c r="C1589" s="19" t="e">
        <f>VLOOKUP($A1589,Config!$B$6:$E$1862,3,FALSE)</f>
        <v>#N/A</v>
      </c>
      <c r="D1589" s="19" t="e">
        <f>VLOOKUP($A1589,Config!$B$6:$E$1862,4,FALSE)</f>
        <v>#N/A</v>
      </c>
    </row>
    <row r="1590" spans="1:4" x14ac:dyDescent="0.25">
      <c r="A1590" s="19">
        <v>540269</v>
      </c>
      <c r="B1590" s="19" t="e">
        <f>VLOOKUP($A1590,Config!$B$6:$E$1862,2,FALSE)</f>
        <v>#N/A</v>
      </c>
      <c r="C1590" s="19" t="e">
        <f>VLOOKUP($A1590,Config!$B$6:$E$1862,3,FALSE)</f>
        <v>#N/A</v>
      </c>
      <c r="D1590" s="19" t="e">
        <f>VLOOKUP($A1590,Config!$B$6:$E$1862,4,FALSE)</f>
        <v>#N/A</v>
      </c>
    </row>
    <row r="1591" spans="1:4" x14ac:dyDescent="0.25">
      <c r="A1591" s="19">
        <v>540270</v>
      </c>
      <c r="B1591" s="19" t="e">
        <f>VLOOKUP($A1591,Config!$B$6:$E$1862,2,FALSE)</f>
        <v>#N/A</v>
      </c>
      <c r="C1591" s="19" t="e">
        <f>VLOOKUP($A1591,Config!$B$6:$E$1862,3,FALSE)</f>
        <v>#N/A</v>
      </c>
      <c r="D1591" s="19" t="e">
        <f>VLOOKUP($A1591,Config!$B$6:$E$1862,4,FALSE)</f>
        <v>#N/A</v>
      </c>
    </row>
    <row r="1592" spans="1:4" x14ac:dyDescent="0.25">
      <c r="A1592" s="19">
        <v>540277</v>
      </c>
      <c r="B1592" s="19" t="e">
        <f>VLOOKUP($A1592,Config!$B$6:$E$1862,2,FALSE)</f>
        <v>#N/A</v>
      </c>
      <c r="C1592" s="19" t="e">
        <f>VLOOKUP($A1592,Config!$B$6:$E$1862,3,FALSE)</f>
        <v>#N/A</v>
      </c>
      <c r="D1592" s="19" t="e">
        <f>VLOOKUP($A1592,Config!$B$6:$E$1862,4,FALSE)</f>
        <v>#N/A</v>
      </c>
    </row>
    <row r="1593" spans="1:4" x14ac:dyDescent="0.25">
      <c r="A1593" s="19">
        <v>540279</v>
      </c>
      <c r="B1593" s="19" t="e">
        <f>VLOOKUP($A1593,Config!$B$6:$E$1862,2,FALSE)</f>
        <v>#N/A</v>
      </c>
      <c r="C1593" s="19" t="e">
        <f>VLOOKUP($A1593,Config!$B$6:$E$1862,3,FALSE)</f>
        <v>#N/A</v>
      </c>
      <c r="D1593" s="19" t="e">
        <f>VLOOKUP($A1593,Config!$B$6:$E$1862,4,FALSE)</f>
        <v>#N/A</v>
      </c>
    </row>
    <row r="1594" spans="1:4" x14ac:dyDescent="0.25">
      <c r="A1594" s="19">
        <v>540281</v>
      </c>
      <c r="B1594" s="19" t="e">
        <f>VLOOKUP($A1594,Config!$B$6:$E$1862,2,FALSE)</f>
        <v>#N/A</v>
      </c>
      <c r="C1594" s="19" t="e">
        <f>VLOOKUP($A1594,Config!$B$6:$E$1862,3,FALSE)</f>
        <v>#N/A</v>
      </c>
      <c r="D1594" s="19" t="e">
        <f>VLOOKUP($A1594,Config!$B$6:$E$1862,4,FALSE)</f>
        <v>#N/A</v>
      </c>
    </row>
    <row r="1595" spans="1:4" x14ac:dyDescent="0.25">
      <c r="A1595" s="19">
        <v>540282</v>
      </c>
      <c r="B1595" s="19" t="e">
        <f>VLOOKUP($A1595,Config!$B$6:$E$1862,2,FALSE)</f>
        <v>#N/A</v>
      </c>
      <c r="C1595" s="19" t="e">
        <f>VLOOKUP($A1595,Config!$B$6:$E$1862,3,FALSE)</f>
        <v>#N/A</v>
      </c>
      <c r="D1595" s="19" t="e">
        <f>VLOOKUP($A1595,Config!$B$6:$E$1862,4,FALSE)</f>
        <v>#N/A</v>
      </c>
    </row>
    <row r="1596" spans="1:4" x14ac:dyDescent="0.25">
      <c r="A1596" s="19">
        <v>540283</v>
      </c>
      <c r="B1596" s="19" t="e">
        <f>VLOOKUP($A1596,Config!$B$6:$E$1862,2,FALSE)</f>
        <v>#N/A</v>
      </c>
      <c r="C1596" s="19" t="e">
        <f>VLOOKUP($A1596,Config!$B$6:$E$1862,3,FALSE)</f>
        <v>#N/A</v>
      </c>
      <c r="D1596" s="19" t="e">
        <f>VLOOKUP($A1596,Config!$B$6:$E$1862,4,FALSE)</f>
        <v>#N/A</v>
      </c>
    </row>
    <row r="1597" spans="1:4" x14ac:dyDescent="0.25">
      <c r="A1597" s="19">
        <v>540284</v>
      </c>
      <c r="B1597" s="19" t="e">
        <f>VLOOKUP($A1597,Config!$B$6:$E$1862,2,FALSE)</f>
        <v>#N/A</v>
      </c>
      <c r="C1597" s="19" t="e">
        <f>VLOOKUP($A1597,Config!$B$6:$E$1862,3,FALSE)</f>
        <v>#N/A</v>
      </c>
      <c r="D1597" s="19" t="e">
        <f>VLOOKUP($A1597,Config!$B$6:$E$1862,4,FALSE)</f>
        <v>#N/A</v>
      </c>
    </row>
    <row r="1598" spans="1:4" x14ac:dyDescent="0.25">
      <c r="A1598" s="19">
        <v>540287</v>
      </c>
      <c r="B1598" s="19" t="e">
        <f>VLOOKUP($A1598,Config!$B$6:$E$1862,2,FALSE)</f>
        <v>#N/A</v>
      </c>
      <c r="C1598" s="19" t="e">
        <f>VLOOKUP($A1598,Config!$B$6:$E$1862,3,FALSE)</f>
        <v>#N/A</v>
      </c>
      <c r="D1598" s="19" t="e">
        <f>VLOOKUP($A1598,Config!$B$6:$E$1862,4,FALSE)</f>
        <v>#N/A</v>
      </c>
    </row>
    <row r="1599" spans="1:4" x14ac:dyDescent="0.25">
      <c r="A1599" s="19">
        <v>540290</v>
      </c>
      <c r="B1599" s="19" t="e">
        <f>VLOOKUP($A1599,Config!$B$6:$E$1862,2,FALSE)</f>
        <v>#N/A</v>
      </c>
      <c r="C1599" s="19" t="e">
        <f>VLOOKUP($A1599,Config!$B$6:$E$1862,3,FALSE)</f>
        <v>#N/A</v>
      </c>
      <c r="D1599" s="19" t="e">
        <f>VLOOKUP($A1599,Config!$B$6:$E$1862,4,FALSE)</f>
        <v>#N/A</v>
      </c>
    </row>
    <row r="1600" spans="1:4" x14ac:dyDescent="0.25">
      <c r="A1600" s="19">
        <v>540291</v>
      </c>
      <c r="B1600" s="19" t="e">
        <f>VLOOKUP($A1600,Config!$B$6:$E$1862,2,FALSE)</f>
        <v>#N/A</v>
      </c>
      <c r="C1600" s="19" t="e">
        <f>VLOOKUP($A1600,Config!$B$6:$E$1862,3,FALSE)</f>
        <v>#N/A</v>
      </c>
      <c r="D1600" s="19" t="e">
        <f>VLOOKUP($A1600,Config!$B$6:$E$1862,4,FALSE)</f>
        <v>#N/A</v>
      </c>
    </row>
    <row r="1601" spans="1:4" x14ac:dyDescent="0.25">
      <c r="A1601" s="19">
        <v>540292</v>
      </c>
      <c r="B1601" s="19" t="e">
        <f>VLOOKUP($A1601,Config!$B$6:$E$1862,2,FALSE)</f>
        <v>#N/A</v>
      </c>
      <c r="C1601" s="19" t="e">
        <f>VLOOKUP($A1601,Config!$B$6:$E$1862,3,FALSE)</f>
        <v>#N/A</v>
      </c>
      <c r="D1601" s="19" t="e">
        <f>VLOOKUP($A1601,Config!$B$6:$E$1862,4,FALSE)</f>
        <v>#N/A</v>
      </c>
    </row>
    <row r="1602" spans="1:4" x14ac:dyDescent="0.25">
      <c r="A1602" s="19">
        <v>540293</v>
      </c>
      <c r="B1602" s="19" t="e">
        <f>VLOOKUP($A1602,Config!$B$6:$E$1862,2,FALSE)</f>
        <v>#N/A</v>
      </c>
      <c r="C1602" s="19" t="e">
        <f>VLOOKUP($A1602,Config!$B$6:$E$1862,3,FALSE)</f>
        <v>#N/A</v>
      </c>
      <c r="D1602" s="19" t="e">
        <f>VLOOKUP($A1602,Config!$B$6:$E$1862,4,FALSE)</f>
        <v>#N/A</v>
      </c>
    </row>
    <row r="1603" spans="1:4" x14ac:dyDescent="0.25">
      <c r="A1603" s="19">
        <v>540294</v>
      </c>
      <c r="B1603" s="19" t="e">
        <f>VLOOKUP($A1603,Config!$B$6:$E$1862,2,FALSE)</f>
        <v>#N/A</v>
      </c>
      <c r="C1603" s="19" t="e">
        <f>VLOOKUP($A1603,Config!$B$6:$E$1862,3,FALSE)</f>
        <v>#N/A</v>
      </c>
      <c r="D1603" s="19" t="e">
        <f>VLOOKUP($A1603,Config!$B$6:$E$1862,4,FALSE)</f>
        <v>#N/A</v>
      </c>
    </row>
    <row r="1604" spans="1:4" x14ac:dyDescent="0.25">
      <c r="A1604" s="19">
        <v>540295</v>
      </c>
      <c r="B1604" s="19" t="e">
        <f>VLOOKUP($A1604,Config!$B$6:$E$1862,2,FALSE)</f>
        <v>#N/A</v>
      </c>
      <c r="C1604" s="19" t="e">
        <f>VLOOKUP($A1604,Config!$B$6:$E$1862,3,FALSE)</f>
        <v>#N/A</v>
      </c>
      <c r="D1604" s="19" t="e">
        <f>VLOOKUP($A1604,Config!$B$6:$E$1862,4,FALSE)</f>
        <v>#N/A</v>
      </c>
    </row>
    <row r="1605" spans="1:4" x14ac:dyDescent="0.25">
      <c r="A1605" s="19">
        <v>540297</v>
      </c>
      <c r="B1605" s="19" t="e">
        <f>VLOOKUP($A1605,Config!$B$6:$E$1862,2,FALSE)</f>
        <v>#N/A</v>
      </c>
      <c r="C1605" s="19" t="e">
        <f>VLOOKUP($A1605,Config!$B$6:$E$1862,3,FALSE)</f>
        <v>#N/A</v>
      </c>
      <c r="D1605" s="19" t="e">
        <f>VLOOKUP($A1605,Config!$B$6:$E$1862,4,FALSE)</f>
        <v>#N/A</v>
      </c>
    </row>
    <row r="1606" spans="1:4" x14ac:dyDescent="0.25">
      <c r="A1606" s="19">
        <v>540298</v>
      </c>
      <c r="B1606" s="19" t="e">
        <f>VLOOKUP($A1606,Config!$B$6:$E$1862,2,FALSE)</f>
        <v>#N/A</v>
      </c>
      <c r="C1606" s="19" t="e">
        <f>VLOOKUP($A1606,Config!$B$6:$E$1862,3,FALSE)</f>
        <v>#N/A</v>
      </c>
      <c r="D1606" s="19" t="e">
        <f>VLOOKUP($A1606,Config!$B$6:$E$1862,4,FALSE)</f>
        <v>#N/A</v>
      </c>
    </row>
    <row r="1607" spans="1:4" x14ac:dyDescent="0.25">
      <c r="A1607" s="19">
        <v>540299</v>
      </c>
      <c r="B1607" s="19" t="e">
        <f>VLOOKUP($A1607,Config!$B$6:$E$1862,2,FALSE)</f>
        <v>#N/A</v>
      </c>
      <c r="C1607" s="19" t="e">
        <f>VLOOKUP($A1607,Config!$B$6:$E$1862,3,FALSE)</f>
        <v>#N/A</v>
      </c>
      <c r="D1607" s="19" t="e">
        <f>VLOOKUP($A1607,Config!$B$6:$E$1862,4,FALSE)</f>
        <v>#N/A</v>
      </c>
    </row>
    <row r="1608" spans="1:4" x14ac:dyDescent="0.25">
      <c r="A1608" s="19">
        <v>540304</v>
      </c>
      <c r="B1608" s="19">
        <f>VLOOKUP($A1608,Config!$B$6:$E$1862,2,FALSE)</f>
        <v>0</v>
      </c>
      <c r="C1608" s="19" t="str">
        <f>VLOOKUP($A1608,Config!$B$6:$E$1862,3,FALSE)</f>
        <v>Missing</v>
      </c>
      <c r="D1608" s="19" t="str">
        <f>VLOOKUP($A1608,Config!$B$6:$E$1862,4,FALSE)</f>
        <v>Mary</v>
      </c>
    </row>
    <row r="1609" spans="1:4" x14ac:dyDescent="0.25">
      <c r="A1609" s="19">
        <v>540305</v>
      </c>
      <c r="B1609" s="19">
        <f>VLOOKUP($A1609,Config!$B$6:$E$1862,2,FALSE)</f>
        <v>0</v>
      </c>
      <c r="C1609" s="19" t="str">
        <f>VLOOKUP($A1609,Config!$B$6:$E$1862,3,FALSE)</f>
        <v>Missing</v>
      </c>
      <c r="D1609" s="19" t="str">
        <f>VLOOKUP($A1609,Config!$B$6:$E$1862,4,FALSE)</f>
        <v>Mary</v>
      </c>
    </row>
    <row r="1610" spans="1:4" x14ac:dyDescent="0.25">
      <c r="A1610" s="19">
        <v>540306</v>
      </c>
      <c r="B1610" s="19">
        <f>VLOOKUP($A1610,Config!$B$6:$E$1862,2,FALSE)</f>
        <v>0</v>
      </c>
      <c r="C1610" s="19" t="str">
        <f>VLOOKUP($A1610,Config!$B$6:$E$1862,3,FALSE)</f>
        <v>OK</v>
      </c>
      <c r="D1610" s="19" t="str">
        <f>VLOOKUP($A1610,Config!$B$6:$E$1862,4,FALSE)</f>
        <v>Mary</v>
      </c>
    </row>
    <row r="1611" spans="1:4" x14ac:dyDescent="0.25">
      <c r="A1611" s="19">
        <v>540307</v>
      </c>
      <c r="B1611" s="19" t="e">
        <f>VLOOKUP($A1611,Config!$B$6:$E$1862,2,FALSE)</f>
        <v>#N/A</v>
      </c>
      <c r="C1611" s="19" t="e">
        <f>VLOOKUP($A1611,Config!$B$6:$E$1862,3,FALSE)</f>
        <v>#N/A</v>
      </c>
      <c r="D1611" s="19" t="e">
        <f>VLOOKUP($A1611,Config!$B$6:$E$1862,4,FALSE)</f>
        <v>#N/A</v>
      </c>
    </row>
    <row r="1612" spans="1:4" x14ac:dyDescent="0.25">
      <c r="A1612" s="19">
        <v>540308</v>
      </c>
      <c r="B1612" s="19" t="e">
        <f>VLOOKUP($A1612,Config!$B$6:$E$1862,2,FALSE)</f>
        <v>#N/A</v>
      </c>
      <c r="C1612" s="19" t="e">
        <f>VLOOKUP($A1612,Config!$B$6:$E$1862,3,FALSE)</f>
        <v>#N/A</v>
      </c>
      <c r="D1612" s="19" t="e">
        <f>VLOOKUP($A1612,Config!$B$6:$E$1862,4,FALSE)</f>
        <v>#N/A</v>
      </c>
    </row>
    <row r="1613" spans="1:4" x14ac:dyDescent="0.25">
      <c r="A1613" s="19">
        <v>540309</v>
      </c>
      <c r="B1613" s="19" t="e">
        <f>VLOOKUP($A1613,Config!$B$6:$E$1862,2,FALSE)</f>
        <v>#N/A</v>
      </c>
      <c r="C1613" s="19" t="e">
        <f>VLOOKUP($A1613,Config!$B$6:$E$1862,3,FALSE)</f>
        <v>#N/A</v>
      </c>
      <c r="D1613" s="19" t="e">
        <f>VLOOKUP($A1613,Config!$B$6:$E$1862,4,FALSE)</f>
        <v>#N/A</v>
      </c>
    </row>
    <row r="1614" spans="1:4" x14ac:dyDescent="0.25">
      <c r="A1614" s="19">
        <v>540310</v>
      </c>
      <c r="B1614" s="19" t="e">
        <f>VLOOKUP($A1614,Config!$B$6:$E$1862,2,FALSE)</f>
        <v>#N/A</v>
      </c>
      <c r="C1614" s="19" t="e">
        <f>VLOOKUP($A1614,Config!$B$6:$E$1862,3,FALSE)</f>
        <v>#N/A</v>
      </c>
      <c r="D1614" s="19" t="e">
        <f>VLOOKUP($A1614,Config!$B$6:$E$1862,4,FALSE)</f>
        <v>#N/A</v>
      </c>
    </row>
    <row r="1615" spans="1:4" x14ac:dyDescent="0.25">
      <c r="A1615" s="19">
        <v>540312</v>
      </c>
      <c r="B1615" s="19" t="e">
        <f>VLOOKUP($A1615,Config!$B$6:$E$1862,2,FALSE)</f>
        <v>#N/A</v>
      </c>
      <c r="C1615" s="19" t="e">
        <f>VLOOKUP($A1615,Config!$B$6:$E$1862,3,FALSE)</f>
        <v>#N/A</v>
      </c>
      <c r="D1615" s="19" t="e">
        <f>VLOOKUP($A1615,Config!$B$6:$E$1862,4,FALSE)</f>
        <v>#N/A</v>
      </c>
    </row>
    <row r="1616" spans="1:4" x14ac:dyDescent="0.25">
      <c r="A1616" s="19">
        <v>540313</v>
      </c>
      <c r="B1616" s="19" t="e">
        <f>VLOOKUP($A1616,Config!$B$6:$E$1862,2,FALSE)</f>
        <v>#N/A</v>
      </c>
      <c r="C1616" s="19" t="e">
        <f>VLOOKUP($A1616,Config!$B$6:$E$1862,3,FALSE)</f>
        <v>#N/A</v>
      </c>
      <c r="D1616" s="19" t="e">
        <f>VLOOKUP($A1616,Config!$B$6:$E$1862,4,FALSE)</f>
        <v>#N/A</v>
      </c>
    </row>
    <row r="1617" spans="1:4" x14ac:dyDescent="0.25">
      <c r="A1617" s="19">
        <v>540314</v>
      </c>
      <c r="B1617" s="19" t="e">
        <f>VLOOKUP($A1617,Config!$B$6:$E$1862,2,FALSE)</f>
        <v>#N/A</v>
      </c>
      <c r="C1617" s="19" t="e">
        <f>VLOOKUP($A1617,Config!$B$6:$E$1862,3,FALSE)</f>
        <v>#N/A</v>
      </c>
      <c r="D1617" s="19" t="e">
        <f>VLOOKUP($A1617,Config!$B$6:$E$1862,4,FALSE)</f>
        <v>#N/A</v>
      </c>
    </row>
    <row r="1618" spans="1:4" x14ac:dyDescent="0.25">
      <c r="A1618" s="19">
        <v>540315</v>
      </c>
      <c r="B1618" s="19" t="e">
        <f>VLOOKUP($A1618,Config!$B$6:$E$1862,2,FALSE)</f>
        <v>#N/A</v>
      </c>
      <c r="C1618" s="19" t="e">
        <f>VLOOKUP($A1618,Config!$B$6:$E$1862,3,FALSE)</f>
        <v>#N/A</v>
      </c>
      <c r="D1618" s="19" t="e">
        <f>VLOOKUP($A1618,Config!$B$6:$E$1862,4,FALSE)</f>
        <v>#N/A</v>
      </c>
    </row>
    <row r="1619" spans="1:4" x14ac:dyDescent="0.25">
      <c r="A1619" s="19">
        <v>540316</v>
      </c>
      <c r="B1619" s="19" t="e">
        <f>VLOOKUP($A1619,Config!$B$6:$E$1862,2,FALSE)</f>
        <v>#N/A</v>
      </c>
      <c r="C1619" s="19" t="e">
        <f>VLOOKUP($A1619,Config!$B$6:$E$1862,3,FALSE)</f>
        <v>#N/A</v>
      </c>
      <c r="D1619" s="19" t="e">
        <f>VLOOKUP($A1619,Config!$B$6:$E$1862,4,FALSE)</f>
        <v>#N/A</v>
      </c>
    </row>
    <row r="1620" spans="1:4" x14ac:dyDescent="0.25">
      <c r="A1620" s="19">
        <v>540317</v>
      </c>
      <c r="B1620" s="19" t="e">
        <f>VLOOKUP($A1620,Config!$B$6:$E$1862,2,FALSE)</f>
        <v>#N/A</v>
      </c>
      <c r="C1620" s="19" t="e">
        <f>VLOOKUP($A1620,Config!$B$6:$E$1862,3,FALSE)</f>
        <v>#N/A</v>
      </c>
      <c r="D1620" s="19" t="e">
        <f>VLOOKUP($A1620,Config!$B$6:$E$1862,4,FALSE)</f>
        <v>#N/A</v>
      </c>
    </row>
    <row r="1621" spans="1:4" x14ac:dyDescent="0.25">
      <c r="A1621" s="19">
        <v>540318</v>
      </c>
      <c r="B1621" s="19" t="e">
        <f>VLOOKUP($A1621,Config!$B$6:$E$1862,2,FALSE)</f>
        <v>#N/A</v>
      </c>
      <c r="C1621" s="19" t="e">
        <f>VLOOKUP($A1621,Config!$B$6:$E$1862,3,FALSE)</f>
        <v>#N/A</v>
      </c>
      <c r="D1621" s="19" t="e">
        <f>VLOOKUP($A1621,Config!$B$6:$E$1862,4,FALSE)</f>
        <v>#N/A</v>
      </c>
    </row>
    <row r="1622" spans="1:4" x14ac:dyDescent="0.25">
      <c r="A1622" s="19">
        <v>540319</v>
      </c>
      <c r="B1622" s="19" t="e">
        <f>VLOOKUP($A1622,Config!$B$6:$E$1862,2,FALSE)</f>
        <v>#N/A</v>
      </c>
      <c r="C1622" s="19" t="e">
        <f>VLOOKUP($A1622,Config!$B$6:$E$1862,3,FALSE)</f>
        <v>#N/A</v>
      </c>
      <c r="D1622" s="19" t="e">
        <f>VLOOKUP($A1622,Config!$B$6:$E$1862,4,FALSE)</f>
        <v>#N/A</v>
      </c>
    </row>
    <row r="1623" spans="1:4" x14ac:dyDescent="0.25">
      <c r="A1623" s="19">
        <v>540320</v>
      </c>
      <c r="B1623" s="19" t="e">
        <f>VLOOKUP($A1623,Config!$B$6:$E$1862,2,FALSE)</f>
        <v>#N/A</v>
      </c>
      <c r="C1623" s="19" t="e">
        <f>VLOOKUP($A1623,Config!$B$6:$E$1862,3,FALSE)</f>
        <v>#N/A</v>
      </c>
      <c r="D1623" s="19" t="e">
        <f>VLOOKUP($A1623,Config!$B$6:$E$1862,4,FALSE)</f>
        <v>#N/A</v>
      </c>
    </row>
    <row r="1624" spans="1:4" x14ac:dyDescent="0.25">
      <c r="A1624" s="19">
        <v>540322</v>
      </c>
      <c r="B1624" s="19" t="e">
        <f>VLOOKUP($A1624,Config!$B$6:$E$1862,2,FALSE)</f>
        <v>#N/A</v>
      </c>
      <c r="C1624" s="19" t="e">
        <f>VLOOKUP($A1624,Config!$B$6:$E$1862,3,FALSE)</f>
        <v>#N/A</v>
      </c>
      <c r="D1624" s="19" t="e">
        <f>VLOOKUP($A1624,Config!$B$6:$E$1862,4,FALSE)</f>
        <v>#N/A</v>
      </c>
    </row>
    <row r="1625" spans="1:4" x14ac:dyDescent="0.25">
      <c r="A1625" s="19">
        <v>540323</v>
      </c>
      <c r="B1625" s="19" t="e">
        <f>VLOOKUP($A1625,Config!$B$6:$E$1862,2,FALSE)</f>
        <v>#N/A</v>
      </c>
      <c r="C1625" s="19" t="e">
        <f>VLOOKUP($A1625,Config!$B$6:$E$1862,3,FALSE)</f>
        <v>#N/A</v>
      </c>
      <c r="D1625" s="19" t="e">
        <f>VLOOKUP($A1625,Config!$B$6:$E$1862,4,FALSE)</f>
        <v>#N/A</v>
      </c>
    </row>
    <row r="1626" spans="1:4" x14ac:dyDescent="0.25">
      <c r="A1626" s="19">
        <v>540324</v>
      </c>
      <c r="B1626" s="19">
        <f>VLOOKUP($A1626,Config!$B$6:$E$1862,2,FALSE)</f>
        <v>0</v>
      </c>
      <c r="C1626" s="19" t="str">
        <f>VLOOKUP($A1626,Config!$B$6:$E$1862,3,FALSE)</f>
        <v>Missing</v>
      </c>
      <c r="D1626" s="19" t="str">
        <f>VLOOKUP($A1626,Config!$B$6:$E$1862,4,FALSE)</f>
        <v>Mary</v>
      </c>
    </row>
    <row r="1627" spans="1:4" x14ac:dyDescent="0.25">
      <c r="A1627" s="19">
        <v>540325</v>
      </c>
      <c r="B1627" s="19">
        <f>VLOOKUP($A1627,Config!$B$6:$E$1862,2,FALSE)</f>
        <v>0</v>
      </c>
      <c r="C1627" s="19" t="str">
        <f>VLOOKUP($A1627,Config!$B$6:$E$1862,3,FALSE)</f>
        <v>Missing</v>
      </c>
      <c r="D1627" s="19" t="str">
        <f>VLOOKUP($A1627,Config!$B$6:$E$1862,4,FALSE)</f>
        <v>Mary</v>
      </c>
    </row>
    <row r="1628" spans="1:4" x14ac:dyDescent="0.25">
      <c r="A1628" s="19">
        <v>540326</v>
      </c>
      <c r="B1628" s="19">
        <f>VLOOKUP($A1628,Config!$B$6:$E$1862,2,FALSE)</f>
        <v>0</v>
      </c>
      <c r="C1628" s="19" t="str">
        <f>VLOOKUP($A1628,Config!$B$6:$E$1862,3,FALSE)</f>
        <v>Missing</v>
      </c>
      <c r="D1628" s="19" t="str">
        <f>VLOOKUP($A1628,Config!$B$6:$E$1862,4,FALSE)</f>
        <v>Mary</v>
      </c>
    </row>
    <row r="1629" spans="1:4" x14ac:dyDescent="0.25">
      <c r="A1629" s="19">
        <v>540328</v>
      </c>
      <c r="B1629" s="19">
        <f>VLOOKUP($A1629,Config!$B$6:$E$1862,2,FALSE)</f>
        <v>0</v>
      </c>
      <c r="C1629" s="19" t="str">
        <f>VLOOKUP($A1629,Config!$B$6:$E$1862,3,FALSE)</f>
        <v>Missing</v>
      </c>
      <c r="D1629" s="19" t="str">
        <f>VLOOKUP($A1629,Config!$B$6:$E$1862,4,FALSE)</f>
        <v>Mary</v>
      </c>
    </row>
    <row r="1630" spans="1:4" x14ac:dyDescent="0.25">
      <c r="A1630" s="19">
        <v>540329</v>
      </c>
      <c r="B1630" s="19" t="e">
        <f>VLOOKUP($A1630,Config!$B$6:$E$1862,2,FALSE)</f>
        <v>#N/A</v>
      </c>
      <c r="C1630" s="19" t="e">
        <f>VLOOKUP($A1630,Config!$B$6:$E$1862,3,FALSE)</f>
        <v>#N/A</v>
      </c>
      <c r="D1630" s="19" t="e">
        <f>VLOOKUP($A1630,Config!$B$6:$E$1862,4,FALSE)</f>
        <v>#N/A</v>
      </c>
    </row>
    <row r="1631" spans="1:4" x14ac:dyDescent="0.25">
      <c r="A1631" s="19">
        <v>540330</v>
      </c>
      <c r="B1631" s="19">
        <f>VLOOKUP($A1631,Config!$B$6:$E$1862,2,FALSE)</f>
        <v>0</v>
      </c>
      <c r="C1631" s="19" t="str">
        <f>VLOOKUP($A1631,Config!$B$6:$E$1862,3,FALSE)</f>
        <v>Missing</v>
      </c>
      <c r="D1631" s="19" t="str">
        <f>VLOOKUP($A1631,Config!$B$6:$E$1862,4,FALSE)</f>
        <v>Mary</v>
      </c>
    </row>
    <row r="1632" spans="1:4" x14ac:dyDescent="0.25">
      <c r="A1632" s="19">
        <v>540331</v>
      </c>
      <c r="B1632" s="19">
        <f>VLOOKUP($A1632,Config!$B$6:$E$1862,2,FALSE)</f>
        <v>0</v>
      </c>
      <c r="C1632" s="19" t="str">
        <f>VLOOKUP($A1632,Config!$B$6:$E$1862,3,FALSE)</f>
        <v>Missing</v>
      </c>
      <c r="D1632" s="19" t="str">
        <f>VLOOKUP($A1632,Config!$B$6:$E$1862,4,FALSE)</f>
        <v>Mary</v>
      </c>
    </row>
    <row r="1633" spans="1:4" x14ac:dyDescent="0.25">
      <c r="A1633" s="19">
        <v>540332</v>
      </c>
      <c r="B1633" s="19">
        <f>VLOOKUP($A1633,Config!$B$6:$E$1862,2,FALSE)</f>
        <v>0</v>
      </c>
      <c r="C1633" s="19" t="str">
        <f>VLOOKUP($A1633,Config!$B$6:$E$1862,3,FALSE)</f>
        <v>Missing</v>
      </c>
      <c r="D1633" s="19" t="str">
        <f>VLOOKUP($A1633,Config!$B$6:$E$1862,4,FALSE)</f>
        <v>Mary</v>
      </c>
    </row>
    <row r="1634" spans="1:4" x14ac:dyDescent="0.25">
      <c r="A1634" s="19">
        <v>540333</v>
      </c>
      <c r="B1634" s="19">
        <f>VLOOKUP($A1634,Config!$B$6:$E$1862,2,FALSE)</f>
        <v>0</v>
      </c>
      <c r="C1634" s="19" t="str">
        <f>VLOOKUP($A1634,Config!$B$6:$E$1862,3,FALSE)</f>
        <v>Missing</v>
      </c>
      <c r="D1634" s="19" t="str">
        <f>VLOOKUP($A1634,Config!$B$6:$E$1862,4,FALSE)</f>
        <v>Mary</v>
      </c>
    </row>
    <row r="1635" spans="1:4" x14ac:dyDescent="0.25">
      <c r="A1635" s="19">
        <v>540334</v>
      </c>
      <c r="B1635" s="19">
        <f>VLOOKUP($A1635,Config!$B$6:$E$1862,2,FALSE)</f>
        <v>0</v>
      </c>
      <c r="C1635" s="19" t="str">
        <f>VLOOKUP($A1635,Config!$B$6:$E$1862,3,FALSE)</f>
        <v>Missing</v>
      </c>
      <c r="D1635" s="19" t="str">
        <f>VLOOKUP($A1635,Config!$B$6:$E$1862,4,FALSE)</f>
        <v>Mary</v>
      </c>
    </row>
    <row r="1636" spans="1:4" x14ac:dyDescent="0.25">
      <c r="A1636" s="19">
        <v>540335</v>
      </c>
      <c r="B1636" s="19">
        <f>VLOOKUP($A1636,Config!$B$6:$E$1862,2,FALSE)</f>
        <v>0</v>
      </c>
      <c r="C1636" s="19" t="str">
        <f>VLOOKUP($A1636,Config!$B$6:$E$1862,3,FALSE)</f>
        <v>Missing</v>
      </c>
      <c r="D1636" s="19" t="str">
        <f>VLOOKUP($A1636,Config!$B$6:$E$1862,4,FALSE)</f>
        <v>Mary</v>
      </c>
    </row>
    <row r="1637" spans="1:4" x14ac:dyDescent="0.25">
      <c r="A1637" s="19">
        <v>540336</v>
      </c>
      <c r="B1637" s="19">
        <f>VLOOKUP($A1637,Config!$B$6:$E$1862,2,FALSE)</f>
        <v>0</v>
      </c>
      <c r="C1637" s="19" t="str">
        <f>VLOOKUP($A1637,Config!$B$6:$E$1862,3,FALSE)</f>
        <v>Missing</v>
      </c>
      <c r="D1637" s="19" t="str">
        <f>VLOOKUP($A1637,Config!$B$6:$E$1862,4,FALSE)</f>
        <v>Mary</v>
      </c>
    </row>
    <row r="1638" spans="1:4" x14ac:dyDescent="0.25">
      <c r="A1638" s="19">
        <v>540337</v>
      </c>
      <c r="B1638" s="19" t="e">
        <f>VLOOKUP($A1638,Config!$B$6:$E$1862,2,FALSE)</f>
        <v>#N/A</v>
      </c>
      <c r="C1638" s="19" t="e">
        <f>VLOOKUP($A1638,Config!$B$6:$E$1862,3,FALSE)</f>
        <v>#N/A</v>
      </c>
      <c r="D1638" s="19" t="e">
        <f>VLOOKUP($A1638,Config!$B$6:$E$1862,4,FALSE)</f>
        <v>#N/A</v>
      </c>
    </row>
    <row r="1639" spans="1:4" x14ac:dyDescent="0.25">
      <c r="A1639" s="19">
        <v>540338</v>
      </c>
      <c r="B1639" s="19" t="e">
        <f>VLOOKUP($A1639,Config!$B$6:$E$1862,2,FALSE)</f>
        <v>#N/A</v>
      </c>
      <c r="C1639" s="19" t="e">
        <f>VLOOKUP($A1639,Config!$B$6:$E$1862,3,FALSE)</f>
        <v>#N/A</v>
      </c>
      <c r="D1639" s="19" t="e">
        <f>VLOOKUP($A1639,Config!$B$6:$E$1862,4,FALSE)</f>
        <v>#N/A</v>
      </c>
    </row>
    <row r="1640" spans="1:4" x14ac:dyDescent="0.25">
      <c r="A1640" s="19">
        <v>540339</v>
      </c>
      <c r="B1640" s="19" t="e">
        <f>VLOOKUP($A1640,Config!$B$6:$E$1862,2,FALSE)</f>
        <v>#N/A</v>
      </c>
      <c r="C1640" s="19" t="e">
        <f>VLOOKUP($A1640,Config!$B$6:$E$1862,3,FALSE)</f>
        <v>#N/A</v>
      </c>
      <c r="D1640" s="19" t="e">
        <f>VLOOKUP($A1640,Config!$B$6:$E$1862,4,FALSE)</f>
        <v>#N/A</v>
      </c>
    </row>
    <row r="1641" spans="1:4" x14ac:dyDescent="0.25">
      <c r="A1641" s="19">
        <v>540340</v>
      </c>
      <c r="B1641" s="19" t="e">
        <f>VLOOKUP($A1641,Config!$B$6:$E$1862,2,FALSE)</f>
        <v>#N/A</v>
      </c>
      <c r="C1641" s="19" t="e">
        <f>VLOOKUP($A1641,Config!$B$6:$E$1862,3,FALSE)</f>
        <v>#N/A</v>
      </c>
      <c r="D1641" s="19" t="e">
        <f>VLOOKUP($A1641,Config!$B$6:$E$1862,4,FALSE)</f>
        <v>#N/A</v>
      </c>
    </row>
    <row r="1642" spans="1:4" x14ac:dyDescent="0.25">
      <c r="A1642" s="19">
        <v>540341</v>
      </c>
      <c r="B1642" s="19" t="e">
        <f>VLOOKUP($A1642,Config!$B$6:$E$1862,2,FALSE)</f>
        <v>#N/A</v>
      </c>
      <c r="C1642" s="19" t="e">
        <f>VLOOKUP($A1642,Config!$B$6:$E$1862,3,FALSE)</f>
        <v>#N/A</v>
      </c>
      <c r="D1642" s="19" t="e">
        <f>VLOOKUP($A1642,Config!$B$6:$E$1862,4,FALSE)</f>
        <v>#N/A</v>
      </c>
    </row>
    <row r="1643" spans="1:4" x14ac:dyDescent="0.25">
      <c r="A1643" s="19">
        <v>540342</v>
      </c>
      <c r="B1643" s="19" t="e">
        <f>VLOOKUP($A1643,Config!$B$6:$E$1862,2,FALSE)</f>
        <v>#N/A</v>
      </c>
      <c r="C1643" s="19" t="e">
        <f>VLOOKUP($A1643,Config!$B$6:$E$1862,3,FALSE)</f>
        <v>#N/A</v>
      </c>
      <c r="D1643" s="19" t="e">
        <f>VLOOKUP($A1643,Config!$B$6:$E$1862,4,FALSE)</f>
        <v>#N/A</v>
      </c>
    </row>
    <row r="1644" spans="1:4" x14ac:dyDescent="0.25">
      <c r="A1644" s="19">
        <v>540343</v>
      </c>
      <c r="B1644" s="19" t="e">
        <f>VLOOKUP($A1644,Config!$B$6:$E$1862,2,FALSE)</f>
        <v>#N/A</v>
      </c>
      <c r="C1644" s="19" t="e">
        <f>VLOOKUP($A1644,Config!$B$6:$E$1862,3,FALSE)</f>
        <v>#N/A</v>
      </c>
      <c r="D1644" s="19" t="e">
        <f>VLOOKUP($A1644,Config!$B$6:$E$1862,4,FALSE)</f>
        <v>#N/A</v>
      </c>
    </row>
    <row r="1645" spans="1:4" x14ac:dyDescent="0.25">
      <c r="A1645" s="19">
        <v>540344</v>
      </c>
      <c r="B1645" s="19" t="e">
        <f>VLOOKUP($A1645,Config!$B$6:$E$1862,2,FALSE)</f>
        <v>#N/A</v>
      </c>
      <c r="C1645" s="19" t="e">
        <f>VLOOKUP($A1645,Config!$B$6:$E$1862,3,FALSE)</f>
        <v>#N/A</v>
      </c>
      <c r="D1645" s="19" t="e">
        <f>VLOOKUP($A1645,Config!$B$6:$E$1862,4,FALSE)</f>
        <v>#N/A</v>
      </c>
    </row>
    <row r="1646" spans="1:4" x14ac:dyDescent="0.25">
      <c r="A1646" s="19">
        <v>540346</v>
      </c>
      <c r="B1646" s="19" t="e">
        <f>VLOOKUP($A1646,Config!$B$6:$E$1862,2,FALSE)</f>
        <v>#N/A</v>
      </c>
      <c r="C1646" s="19" t="e">
        <f>VLOOKUP($A1646,Config!$B$6:$E$1862,3,FALSE)</f>
        <v>#N/A</v>
      </c>
      <c r="D1646" s="19" t="e">
        <f>VLOOKUP($A1646,Config!$B$6:$E$1862,4,FALSE)</f>
        <v>#N/A</v>
      </c>
    </row>
    <row r="1647" spans="1:4" x14ac:dyDescent="0.25">
      <c r="A1647" s="19">
        <v>540348</v>
      </c>
      <c r="B1647" s="19" t="e">
        <f>VLOOKUP($A1647,Config!$B$6:$E$1862,2,FALSE)</f>
        <v>#N/A</v>
      </c>
      <c r="C1647" s="19" t="e">
        <f>VLOOKUP($A1647,Config!$B$6:$E$1862,3,FALSE)</f>
        <v>#N/A</v>
      </c>
      <c r="D1647" s="19" t="e">
        <f>VLOOKUP($A1647,Config!$B$6:$E$1862,4,FALSE)</f>
        <v>#N/A</v>
      </c>
    </row>
    <row r="1648" spans="1:4" x14ac:dyDescent="0.25">
      <c r="A1648" s="19">
        <v>540349</v>
      </c>
      <c r="B1648" s="19" t="e">
        <f>VLOOKUP($A1648,Config!$B$6:$E$1862,2,FALSE)</f>
        <v>#N/A</v>
      </c>
      <c r="C1648" s="19" t="e">
        <f>VLOOKUP($A1648,Config!$B$6:$E$1862,3,FALSE)</f>
        <v>#N/A</v>
      </c>
      <c r="D1648" s="19" t="e">
        <f>VLOOKUP($A1648,Config!$B$6:$E$1862,4,FALSE)</f>
        <v>#N/A</v>
      </c>
    </row>
    <row r="1649" spans="1:4" x14ac:dyDescent="0.25">
      <c r="A1649" s="19">
        <v>540350</v>
      </c>
      <c r="B1649" s="19" t="e">
        <f>VLOOKUP($A1649,Config!$B$6:$E$1862,2,FALSE)</f>
        <v>#N/A</v>
      </c>
      <c r="C1649" s="19" t="e">
        <f>VLOOKUP($A1649,Config!$B$6:$E$1862,3,FALSE)</f>
        <v>#N/A</v>
      </c>
      <c r="D1649" s="19" t="e">
        <f>VLOOKUP($A1649,Config!$B$6:$E$1862,4,FALSE)</f>
        <v>#N/A</v>
      </c>
    </row>
    <row r="1650" spans="1:4" x14ac:dyDescent="0.25">
      <c r="A1650" s="19">
        <v>540351</v>
      </c>
      <c r="B1650" s="19" t="e">
        <f>VLOOKUP($A1650,Config!$B$6:$E$1862,2,FALSE)</f>
        <v>#N/A</v>
      </c>
      <c r="C1650" s="19" t="e">
        <f>VLOOKUP($A1650,Config!$B$6:$E$1862,3,FALSE)</f>
        <v>#N/A</v>
      </c>
      <c r="D1650" s="19" t="e">
        <f>VLOOKUP($A1650,Config!$B$6:$E$1862,4,FALSE)</f>
        <v>#N/A</v>
      </c>
    </row>
    <row r="1651" spans="1:4" x14ac:dyDescent="0.25">
      <c r="A1651" s="19">
        <v>540352</v>
      </c>
      <c r="B1651" s="19" t="e">
        <f>VLOOKUP($A1651,Config!$B$6:$E$1862,2,FALSE)</f>
        <v>#N/A</v>
      </c>
      <c r="C1651" s="19" t="e">
        <f>VLOOKUP($A1651,Config!$B$6:$E$1862,3,FALSE)</f>
        <v>#N/A</v>
      </c>
      <c r="D1651" s="19" t="e">
        <f>VLOOKUP($A1651,Config!$B$6:$E$1862,4,FALSE)</f>
        <v>#N/A</v>
      </c>
    </row>
    <row r="1652" spans="1:4" x14ac:dyDescent="0.25">
      <c r="A1652" s="19">
        <v>540353</v>
      </c>
      <c r="B1652" s="19" t="e">
        <f>VLOOKUP($A1652,Config!$B$6:$E$1862,2,FALSE)</f>
        <v>#N/A</v>
      </c>
      <c r="C1652" s="19" t="e">
        <f>VLOOKUP($A1652,Config!$B$6:$E$1862,3,FALSE)</f>
        <v>#N/A</v>
      </c>
      <c r="D1652" s="19" t="e">
        <f>VLOOKUP($A1652,Config!$B$6:$E$1862,4,FALSE)</f>
        <v>#N/A</v>
      </c>
    </row>
    <row r="1653" spans="1:4" x14ac:dyDescent="0.25">
      <c r="A1653" s="19">
        <v>540354</v>
      </c>
      <c r="B1653" s="19" t="e">
        <f>VLOOKUP($A1653,Config!$B$6:$E$1862,2,FALSE)</f>
        <v>#N/A</v>
      </c>
      <c r="C1653" s="19" t="e">
        <f>VLOOKUP($A1653,Config!$B$6:$E$1862,3,FALSE)</f>
        <v>#N/A</v>
      </c>
      <c r="D1653" s="19" t="e">
        <f>VLOOKUP($A1653,Config!$B$6:$E$1862,4,FALSE)</f>
        <v>#N/A</v>
      </c>
    </row>
    <row r="1654" spans="1:4" x14ac:dyDescent="0.25">
      <c r="A1654" s="19">
        <v>540356</v>
      </c>
      <c r="B1654" s="19" t="e">
        <f>VLOOKUP($A1654,Config!$B$6:$E$1862,2,FALSE)</f>
        <v>#N/A</v>
      </c>
      <c r="C1654" s="19" t="e">
        <f>VLOOKUP($A1654,Config!$B$6:$E$1862,3,FALSE)</f>
        <v>#N/A</v>
      </c>
      <c r="D1654" s="19" t="e">
        <f>VLOOKUP($A1654,Config!$B$6:$E$1862,4,FALSE)</f>
        <v>#N/A</v>
      </c>
    </row>
    <row r="1655" spans="1:4" x14ac:dyDescent="0.25">
      <c r="A1655" s="19">
        <v>540357</v>
      </c>
      <c r="B1655" s="19" t="e">
        <f>VLOOKUP($A1655,Config!$B$6:$E$1862,2,FALSE)</f>
        <v>#N/A</v>
      </c>
      <c r="C1655" s="19" t="e">
        <f>VLOOKUP($A1655,Config!$B$6:$E$1862,3,FALSE)</f>
        <v>#N/A</v>
      </c>
      <c r="D1655" s="19" t="e">
        <f>VLOOKUP($A1655,Config!$B$6:$E$1862,4,FALSE)</f>
        <v>#N/A</v>
      </c>
    </row>
    <row r="1656" spans="1:4" x14ac:dyDescent="0.25">
      <c r="A1656" s="19">
        <v>540358</v>
      </c>
      <c r="B1656" s="19" t="e">
        <f>VLOOKUP($A1656,Config!$B$6:$E$1862,2,FALSE)</f>
        <v>#N/A</v>
      </c>
      <c r="C1656" s="19" t="e">
        <f>VLOOKUP($A1656,Config!$B$6:$E$1862,3,FALSE)</f>
        <v>#N/A</v>
      </c>
      <c r="D1656" s="19" t="e">
        <f>VLOOKUP($A1656,Config!$B$6:$E$1862,4,FALSE)</f>
        <v>#N/A</v>
      </c>
    </row>
    <row r="1657" spans="1:4" x14ac:dyDescent="0.25">
      <c r="A1657" s="19">
        <v>540359</v>
      </c>
      <c r="B1657" s="19" t="e">
        <f>VLOOKUP($A1657,Config!$B$6:$E$1862,2,FALSE)</f>
        <v>#N/A</v>
      </c>
      <c r="C1657" s="19" t="e">
        <f>VLOOKUP($A1657,Config!$B$6:$E$1862,3,FALSE)</f>
        <v>#N/A</v>
      </c>
      <c r="D1657" s="19" t="e">
        <f>VLOOKUP($A1657,Config!$B$6:$E$1862,4,FALSE)</f>
        <v>#N/A</v>
      </c>
    </row>
    <row r="1658" spans="1:4" x14ac:dyDescent="0.25">
      <c r="A1658" s="19">
        <v>540360</v>
      </c>
      <c r="B1658" s="19" t="e">
        <f>VLOOKUP($A1658,Config!$B$6:$E$1862,2,FALSE)</f>
        <v>#N/A</v>
      </c>
      <c r="C1658" s="19" t="e">
        <f>VLOOKUP($A1658,Config!$B$6:$E$1862,3,FALSE)</f>
        <v>#N/A</v>
      </c>
      <c r="D1658" s="19" t="e">
        <f>VLOOKUP($A1658,Config!$B$6:$E$1862,4,FALSE)</f>
        <v>#N/A</v>
      </c>
    </row>
    <row r="1659" spans="1:4" x14ac:dyDescent="0.25">
      <c r="A1659" s="19">
        <v>540363</v>
      </c>
      <c r="B1659" s="19" t="e">
        <f>VLOOKUP($A1659,Config!$B$6:$E$1862,2,FALSE)</f>
        <v>#N/A</v>
      </c>
      <c r="C1659" s="19" t="e">
        <f>VLOOKUP($A1659,Config!$B$6:$E$1862,3,FALSE)</f>
        <v>#N/A</v>
      </c>
      <c r="D1659" s="19" t="e">
        <f>VLOOKUP($A1659,Config!$B$6:$E$1862,4,FALSE)</f>
        <v>#N/A</v>
      </c>
    </row>
    <row r="1660" spans="1:4" x14ac:dyDescent="0.25">
      <c r="A1660" s="19">
        <v>540365</v>
      </c>
      <c r="B1660" s="19" t="e">
        <f>VLOOKUP($A1660,Config!$B$6:$E$1862,2,FALSE)</f>
        <v>#N/A</v>
      </c>
      <c r="C1660" s="19" t="e">
        <f>VLOOKUP($A1660,Config!$B$6:$E$1862,3,FALSE)</f>
        <v>#N/A</v>
      </c>
      <c r="D1660" s="19" t="e">
        <f>VLOOKUP($A1660,Config!$B$6:$E$1862,4,FALSE)</f>
        <v>#N/A</v>
      </c>
    </row>
    <row r="1661" spans="1:4" x14ac:dyDescent="0.25">
      <c r="A1661" s="19">
        <v>540366</v>
      </c>
      <c r="B1661" s="19" t="e">
        <f>VLOOKUP($A1661,Config!$B$6:$E$1862,2,FALSE)</f>
        <v>#N/A</v>
      </c>
      <c r="C1661" s="19" t="e">
        <f>VLOOKUP($A1661,Config!$B$6:$E$1862,3,FALSE)</f>
        <v>#N/A</v>
      </c>
      <c r="D1661" s="19" t="e">
        <f>VLOOKUP($A1661,Config!$B$6:$E$1862,4,FALSE)</f>
        <v>#N/A</v>
      </c>
    </row>
    <row r="1662" spans="1:4" x14ac:dyDescent="0.25">
      <c r="A1662" s="19">
        <v>540367</v>
      </c>
      <c r="B1662" s="19">
        <f>VLOOKUP($A1662,Config!$B$6:$E$1862,2,FALSE)</f>
        <v>0</v>
      </c>
      <c r="C1662" s="19" t="str">
        <f>VLOOKUP($A1662,Config!$B$6:$E$1862,3,FALSE)</f>
        <v>Missing</v>
      </c>
      <c r="D1662" s="19" t="str">
        <f>VLOOKUP($A1662,Config!$B$6:$E$1862,4,FALSE)</f>
        <v>Mary</v>
      </c>
    </row>
    <row r="1663" spans="1:4" x14ac:dyDescent="0.25">
      <c r="A1663" s="19">
        <v>540369</v>
      </c>
      <c r="B1663" s="19" t="e">
        <f>VLOOKUP($A1663,Config!$B$6:$E$1862,2,FALSE)</f>
        <v>#N/A</v>
      </c>
      <c r="C1663" s="19" t="e">
        <f>VLOOKUP($A1663,Config!$B$6:$E$1862,3,FALSE)</f>
        <v>#N/A</v>
      </c>
      <c r="D1663" s="19" t="e">
        <f>VLOOKUP($A1663,Config!$B$6:$E$1862,4,FALSE)</f>
        <v>#N/A</v>
      </c>
    </row>
    <row r="1664" spans="1:4" x14ac:dyDescent="0.25">
      <c r="A1664" s="19">
        <v>540370</v>
      </c>
      <c r="B1664" s="19" t="e">
        <f>VLOOKUP($A1664,Config!$B$6:$E$1862,2,FALSE)</f>
        <v>#N/A</v>
      </c>
      <c r="C1664" s="19" t="e">
        <f>VLOOKUP($A1664,Config!$B$6:$E$1862,3,FALSE)</f>
        <v>#N/A</v>
      </c>
      <c r="D1664" s="19" t="e">
        <f>VLOOKUP($A1664,Config!$B$6:$E$1862,4,FALSE)</f>
        <v>#N/A</v>
      </c>
    </row>
    <row r="1665" spans="1:4" x14ac:dyDescent="0.25">
      <c r="A1665" s="19">
        <v>540371</v>
      </c>
      <c r="B1665" s="19" t="e">
        <f>VLOOKUP($A1665,Config!$B$6:$E$1862,2,FALSE)</f>
        <v>#N/A</v>
      </c>
      <c r="C1665" s="19" t="e">
        <f>VLOOKUP($A1665,Config!$B$6:$E$1862,3,FALSE)</f>
        <v>#N/A</v>
      </c>
      <c r="D1665" s="19" t="e">
        <f>VLOOKUP($A1665,Config!$B$6:$E$1862,4,FALSE)</f>
        <v>#N/A</v>
      </c>
    </row>
    <row r="1666" spans="1:4" x14ac:dyDescent="0.25">
      <c r="A1666" s="19">
        <v>540372</v>
      </c>
      <c r="B1666" s="19" t="e">
        <f>VLOOKUP($A1666,Config!$B$6:$E$1862,2,FALSE)</f>
        <v>#N/A</v>
      </c>
      <c r="C1666" s="19" t="e">
        <f>VLOOKUP($A1666,Config!$B$6:$E$1862,3,FALSE)</f>
        <v>#N/A</v>
      </c>
      <c r="D1666" s="19" t="e">
        <f>VLOOKUP($A1666,Config!$B$6:$E$1862,4,FALSE)</f>
        <v>#N/A</v>
      </c>
    </row>
    <row r="1667" spans="1:4" x14ac:dyDescent="0.25">
      <c r="A1667" s="19">
        <v>540373</v>
      </c>
      <c r="B1667" s="19" t="e">
        <f>VLOOKUP($A1667,Config!$B$6:$E$1862,2,FALSE)</f>
        <v>#N/A</v>
      </c>
      <c r="C1667" s="19" t="e">
        <f>VLOOKUP($A1667,Config!$B$6:$E$1862,3,FALSE)</f>
        <v>#N/A</v>
      </c>
      <c r="D1667" s="19" t="e">
        <f>VLOOKUP($A1667,Config!$B$6:$E$1862,4,FALSE)</f>
        <v>#N/A</v>
      </c>
    </row>
    <row r="1668" spans="1:4" x14ac:dyDescent="0.25">
      <c r="A1668" s="19">
        <v>540376</v>
      </c>
      <c r="B1668" s="19" t="e">
        <f>VLOOKUP($A1668,Config!$B$6:$E$1862,2,FALSE)</f>
        <v>#N/A</v>
      </c>
      <c r="C1668" s="19" t="e">
        <f>VLOOKUP($A1668,Config!$B$6:$E$1862,3,FALSE)</f>
        <v>#N/A</v>
      </c>
      <c r="D1668" s="19" t="e">
        <f>VLOOKUP($A1668,Config!$B$6:$E$1862,4,FALSE)</f>
        <v>#N/A</v>
      </c>
    </row>
    <row r="1669" spans="1:4" x14ac:dyDescent="0.25">
      <c r="A1669" s="19">
        <v>540377</v>
      </c>
      <c r="B1669" s="19" t="e">
        <f>VLOOKUP($A1669,Config!$B$6:$E$1862,2,FALSE)</f>
        <v>#N/A</v>
      </c>
      <c r="C1669" s="19" t="e">
        <f>VLOOKUP($A1669,Config!$B$6:$E$1862,3,FALSE)</f>
        <v>#N/A</v>
      </c>
      <c r="D1669" s="19" t="e">
        <f>VLOOKUP($A1669,Config!$B$6:$E$1862,4,FALSE)</f>
        <v>#N/A</v>
      </c>
    </row>
    <row r="1670" spans="1:4" x14ac:dyDescent="0.25">
      <c r="A1670" s="19">
        <v>540379</v>
      </c>
      <c r="B1670" s="19" t="e">
        <f>VLOOKUP($A1670,Config!$B$6:$E$1862,2,FALSE)</f>
        <v>#N/A</v>
      </c>
      <c r="C1670" s="19" t="e">
        <f>VLOOKUP($A1670,Config!$B$6:$E$1862,3,FALSE)</f>
        <v>#N/A</v>
      </c>
      <c r="D1670" s="19" t="e">
        <f>VLOOKUP($A1670,Config!$B$6:$E$1862,4,FALSE)</f>
        <v>#N/A</v>
      </c>
    </row>
    <row r="1671" spans="1:4" x14ac:dyDescent="0.25">
      <c r="A1671" s="19">
        <v>540380</v>
      </c>
      <c r="B1671" s="19" t="e">
        <f>VLOOKUP($A1671,Config!$B$6:$E$1862,2,FALSE)</f>
        <v>#N/A</v>
      </c>
      <c r="C1671" s="19" t="e">
        <f>VLOOKUP($A1671,Config!$B$6:$E$1862,3,FALSE)</f>
        <v>#N/A</v>
      </c>
      <c r="D1671" s="19" t="e">
        <f>VLOOKUP($A1671,Config!$B$6:$E$1862,4,FALSE)</f>
        <v>#N/A</v>
      </c>
    </row>
    <row r="1672" spans="1:4" x14ac:dyDescent="0.25">
      <c r="A1672" s="19">
        <v>540381</v>
      </c>
      <c r="B1672" s="19" t="e">
        <f>VLOOKUP($A1672,Config!$B$6:$E$1862,2,FALSE)</f>
        <v>#N/A</v>
      </c>
      <c r="C1672" s="19" t="e">
        <f>VLOOKUP($A1672,Config!$B$6:$E$1862,3,FALSE)</f>
        <v>#N/A</v>
      </c>
      <c r="D1672" s="19" t="e">
        <f>VLOOKUP($A1672,Config!$B$6:$E$1862,4,FALSE)</f>
        <v>#N/A</v>
      </c>
    </row>
    <row r="1673" spans="1:4" x14ac:dyDescent="0.25">
      <c r="A1673" s="19">
        <v>540382</v>
      </c>
      <c r="B1673" s="19" t="e">
        <f>VLOOKUP($A1673,Config!$B$6:$E$1862,2,FALSE)</f>
        <v>#N/A</v>
      </c>
      <c r="C1673" s="19" t="e">
        <f>VLOOKUP($A1673,Config!$B$6:$E$1862,3,FALSE)</f>
        <v>#N/A</v>
      </c>
      <c r="D1673" s="19" t="e">
        <f>VLOOKUP($A1673,Config!$B$6:$E$1862,4,FALSE)</f>
        <v>#N/A</v>
      </c>
    </row>
    <row r="1674" spans="1:4" x14ac:dyDescent="0.25">
      <c r="A1674" s="19">
        <v>540384</v>
      </c>
      <c r="B1674" s="19" t="e">
        <f>VLOOKUP($A1674,Config!$B$6:$E$1862,2,FALSE)</f>
        <v>#N/A</v>
      </c>
      <c r="C1674" s="19" t="e">
        <f>VLOOKUP($A1674,Config!$B$6:$E$1862,3,FALSE)</f>
        <v>#N/A</v>
      </c>
      <c r="D1674" s="19" t="e">
        <f>VLOOKUP($A1674,Config!$B$6:$E$1862,4,FALSE)</f>
        <v>#N/A</v>
      </c>
    </row>
    <row r="1675" spans="1:4" x14ac:dyDescent="0.25">
      <c r="A1675" s="19">
        <v>540385</v>
      </c>
      <c r="B1675" s="19" t="e">
        <f>VLOOKUP($A1675,Config!$B$6:$E$1862,2,FALSE)</f>
        <v>#N/A</v>
      </c>
      <c r="C1675" s="19" t="e">
        <f>VLOOKUP($A1675,Config!$B$6:$E$1862,3,FALSE)</f>
        <v>#N/A</v>
      </c>
      <c r="D1675" s="19" t="e">
        <f>VLOOKUP($A1675,Config!$B$6:$E$1862,4,FALSE)</f>
        <v>#N/A</v>
      </c>
    </row>
    <row r="1676" spans="1:4" x14ac:dyDescent="0.25">
      <c r="A1676" s="19">
        <v>540386</v>
      </c>
      <c r="B1676" s="19" t="e">
        <f>VLOOKUP($A1676,Config!$B$6:$E$1862,2,FALSE)</f>
        <v>#N/A</v>
      </c>
      <c r="C1676" s="19" t="e">
        <f>VLOOKUP($A1676,Config!$B$6:$E$1862,3,FALSE)</f>
        <v>#N/A</v>
      </c>
      <c r="D1676" s="19" t="e">
        <f>VLOOKUP($A1676,Config!$B$6:$E$1862,4,FALSE)</f>
        <v>#N/A</v>
      </c>
    </row>
    <row r="1677" spans="1:4" x14ac:dyDescent="0.25">
      <c r="A1677" s="19">
        <v>540387</v>
      </c>
      <c r="B1677" s="19" t="e">
        <f>VLOOKUP($A1677,Config!$B$6:$E$1862,2,FALSE)</f>
        <v>#N/A</v>
      </c>
      <c r="C1677" s="19" t="e">
        <f>VLOOKUP($A1677,Config!$B$6:$E$1862,3,FALSE)</f>
        <v>#N/A</v>
      </c>
      <c r="D1677" s="19" t="e">
        <f>VLOOKUP($A1677,Config!$B$6:$E$1862,4,FALSE)</f>
        <v>#N/A</v>
      </c>
    </row>
    <row r="1678" spans="1:4" x14ac:dyDescent="0.25">
      <c r="A1678" s="19">
        <v>540388</v>
      </c>
      <c r="B1678" s="19" t="e">
        <f>VLOOKUP($A1678,Config!$B$6:$E$1862,2,FALSE)</f>
        <v>#N/A</v>
      </c>
      <c r="C1678" s="19" t="e">
        <f>VLOOKUP($A1678,Config!$B$6:$E$1862,3,FALSE)</f>
        <v>#N/A</v>
      </c>
      <c r="D1678" s="19" t="e">
        <f>VLOOKUP($A1678,Config!$B$6:$E$1862,4,FALSE)</f>
        <v>#N/A</v>
      </c>
    </row>
    <row r="1679" spans="1:4" x14ac:dyDescent="0.25">
      <c r="A1679" s="19">
        <v>540400</v>
      </c>
      <c r="B1679" s="19" t="e">
        <f>VLOOKUP($A1679,Config!$B$6:$E$1862,2,FALSE)</f>
        <v>#N/A</v>
      </c>
      <c r="C1679" s="19" t="e">
        <f>VLOOKUP($A1679,Config!$B$6:$E$1862,3,FALSE)</f>
        <v>#N/A</v>
      </c>
      <c r="D1679" s="19" t="e">
        <f>VLOOKUP($A1679,Config!$B$6:$E$1862,4,FALSE)</f>
        <v>#N/A</v>
      </c>
    </row>
    <row r="1680" spans="1:4" x14ac:dyDescent="0.25">
      <c r="A1680" s="19">
        <v>540402</v>
      </c>
      <c r="B1680" s="19" t="e">
        <f>VLOOKUP($A1680,Config!$B$6:$E$1862,2,FALSE)</f>
        <v>#N/A</v>
      </c>
      <c r="C1680" s="19" t="e">
        <f>VLOOKUP($A1680,Config!$B$6:$E$1862,3,FALSE)</f>
        <v>#N/A</v>
      </c>
      <c r="D1680" s="19" t="e">
        <f>VLOOKUP($A1680,Config!$B$6:$E$1862,4,FALSE)</f>
        <v>#N/A</v>
      </c>
    </row>
    <row r="1681" spans="1:4" x14ac:dyDescent="0.25">
      <c r="A1681" s="19">
        <v>540408</v>
      </c>
      <c r="B1681" s="19" t="e">
        <f>VLOOKUP($A1681,Config!$B$6:$E$1862,2,FALSE)</f>
        <v>#N/A</v>
      </c>
      <c r="C1681" s="19" t="e">
        <f>VLOOKUP($A1681,Config!$B$6:$E$1862,3,FALSE)</f>
        <v>#N/A</v>
      </c>
      <c r="D1681" s="19" t="e">
        <f>VLOOKUP($A1681,Config!$B$6:$E$1862,4,FALSE)</f>
        <v>#N/A</v>
      </c>
    </row>
    <row r="1682" spans="1:4" x14ac:dyDescent="0.25">
      <c r="A1682" s="19">
        <v>540409</v>
      </c>
      <c r="B1682" s="19" t="e">
        <f>VLOOKUP($A1682,Config!$B$6:$E$1862,2,FALSE)</f>
        <v>#N/A</v>
      </c>
      <c r="C1682" s="19" t="e">
        <f>VLOOKUP($A1682,Config!$B$6:$E$1862,3,FALSE)</f>
        <v>#N/A</v>
      </c>
      <c r="D1682" s="19" t="e">
        <f>VLOOKUP($A1682,Config!$B$6:$E$1862,4,FALSE)</f>
        <v>#N/A</v>
      </c>
    </row>
    <row r="1683" spans="1:4" x14ac:dyDescent="0.25">
      <c r="A1683" s="19">
        <v>540410</v>
      </c>
      <c r="B1683" s="19" t="e">
        <f>VLOOKUP($A1683,Config!$B$6:$E$1862,2,FALSE)</f>
        <v>#N/A</v>
      </c>
      <c r="C1683" s="19" t="e">
        <f>VLOOKUP($A1683,Config!$B$6:$E$1862,3,FALSE)</f>
        <v>#N/A</v>
      </c>
      <c r="D1683" s="19" t="e">
        <f>VLOOKUP($A1683,Config!$B$6:$E$1862,4,FALSE)</f>
        <v>#N/A</v>
      </c>
    </row>
    <row r="1684" spans="1:4" x14ac:dyDescent="0.25">
      <c r="A1684" s="19">
        <v>540411</v>
      </c>
      <c r="B1684" s="19" t="e">
        <f>VLOOKUP($A1684,Config!$B$6:$E$1862,2,FALSE)</f>
        <v>#N/A</v>
      </c>
      <c r="C1684" s="19" t="e">
        <f>VLOOKUP($A1684,Config!$B$6:$E$1862,3,FALSE)</f>
        <v>#N/A</v>
      </c>
      <c r="D1684" s="19" t="e">
        <f>VLOOKUP($A1684,Config!$B$6:$E$1862,4,FALSE)</f>
        <v>#N/A</v>
      </c>
    </row>
    <row r="1685" spans="1:4" x14ac:dyDescent="0.25">
      <c r="A1685" s="19">
        <v>540412</v>
      </c>
      <c r="B1685" s="19" t="e">
        <f>VLOOKUP($A1685,Config!$B$6:$E$1862,2,FALSE)</f>
        <v>#N/A</v>
      </c>
      <c r="C1685" s="19" t="e">
        <f>VLOOKUP($A1685,Config!$B$6:$E$1862,3,FALSE)</f>
        <v>#N/A</v>
      </c>
      <c r="D1685" s="19" t="e">
        <f>VLOOKUP($A1685,Config!$B$6:$E$1862,4,FALSE)</f>
        <v>#N/A</v>
      </c>
    </row>
    <row r="1686" spans="1:4" x14ac:dyDescent="0.25">
      <c r="A1686" s="19">
        <v>540413</v>
      </c>
      <c r="B1686" s="19" t="e">
        <f>VLOOKUP($A1686,Config!$B$6:$E$1862,2,FALSE)</f>
        <v>#N/A</v>
      </c>
      <c r="C1686" s="19" t="e">
        <f>VLOOKUP($A1686,Config!$B$6:$E$1862,3,FALSE)</f>
        <v>#N/A</v>
      </c>
      <c r="D1686" s="19" t="e">
        <f>VLOOKUP($A1686,Config!$B$6:$E$1862,4,FALSE)</f>
        <v>#N/A</v>
      </c>
    </row>
    <row r="1687" spans="1:4" x14ac:dyDescent="0.25">
      <c r="A1687" s="19">
        <v>540414</v>
      </c>
      <c r="B1687" s="19" t="e">
        <f>VLOOKUP($A1687,Config!$B$6:$E$1862,2,FALSE)</f>
        <v>#N/A</v>
      </c>
      <c r="C1687" s="19" t="e">
        <f>VLOOKUP($A1687,Config!$B$6:$E$1862,3,FALSE)</f>
        <v>#N/A</v>
      </c>
      <c r="D1687" s="19" t="e">
        <f>VLOOKUP($A1687,Config!$B$6:$E$1862,4,FALSE)</f>
        <v>#N/A</v>
      </c>
    </row>
    <row r="1688" spans="1:4" x14ac:dyDescent="0.25">
      <c r="A1688" s="19">
        <v>540415</v>
      </c>
      <c r="B1688" s="19" t="e">
        <f>VLOOKUP($A1688,Config!$B$6:$E$1862,2,FALSE)</f>
        <v>#N/A</v>
      </c>
      <c r="C1688" s="19" t="e">
        <f>VLOOKUP($A1688,Config!$B$6:$E$1862,3,FALSE)</f>
        <v>#N/A</v>
      </c>
      <c r="D1688" s="19" t="e">
        <f>VLOOKUP($A1688,Config!$B$6:$E$1862,4,FALSE)</f>
        <v>#N/A</v>
      </c>
    </row>
    <row r="1689" spans="1:4" x14ac:dyDescent="0.25">
      <c r="A1689" s="19">
        <v>540416</v>
      </c>
      <c r="B1689" s="19" t="e">
        <f>VLOOKUP($A1689,Config!$B$6:$E$1862,2,FALSE)</f>
        <v>#N/A</v>
      </c>
      <c r="C1689" s="19" t="e">
        <f>VLOOKUP($A1689,Config!$B$6:$E$1862,3,FALSE)</f>
        <v>#N/A</v>
      </c>
      <c r="D1689" s="19" t="e">
        <f>VLOOKUP($A1689,Config!$B$6:$E$1862,4,FALSE)</f>
        <v>#N/A</v>
      </c>
    </row>
    <row r="1690" spans="1:4" x14ac:dyDescent="0.25">
      <c r="A1690" s="19">
        <v>540417</v>
      </c>
      <c r="B1690" s="19" t="e">
        <f>VLOOKUP($A1690,Config!$B$6:$E$1862,2,FALSE)</f>
        <v>#N/A</v>
      </c>
      <c r="C1690" s="19" t="e">
        <f>VLOOKUP($A1690,Config!$B$6:$E$1862,3,FALSE)</f>
        <v>#N/A</v>
      </c>
      <c r="D1690" s="19" t="e">
        <f>VLOOKUP($A1690,Config!$B$6:$E$1862,4,FALSE)</f>
        <v>#N/A</v>
      </c>
    </row>
    <row r="1691" spans="1:4" x14ac:dyDescent="0.25">
      <c r="A1691" s="19">
        <v>540418</v>
      </c>
      <c r="B1691" s="19" t="e">
        <f>VLOOKUP($A1691,Config!$B$6:$E$1862,2,FALSE)</f>
        <v>#N/A</v>
      </c>
      <c r="C1691" s="19" t="e">
        <f>VLOOKUP($A1691,Config!$B$6:$E$1862,3,FALSE)</f>
        <v>#N/A</v>
      </c>
      <c r="D1691" s="19" t="e">
        <f>VLOOKUP($A1691,Config!$B$6:$E$1862,4,FALSE)</f>
        <v>#N/A</v>
      </c>
    </row>
    <row r="1692" spans="1:4" x14ac:dyDescent="0.25">
      <c r="A1692" s="19">
        <v>540419</v>
      </c>
      <c r="B1692" s="19">
        <f>VLOOKUP($A1692,Config!$B$6:$E$1862,2,FALSE)</f>
        <v>0</v>
      </c>
      <c r="C1692" s="19" t="str">
        <f>VLOOKUP($A1692,Config!$B$6:$E$1862,3,FALSE)</f>
        <v>Missing</v>
      </c>
      <c r="D1692" s="19" t="str">
        <f>VLOOKUP($A1692,Config!$B$6:$E$1862,4,FALSE)</f>
        <v>Mary</v>
      </c>
    </row>
    <row r="1693" spans="1:4" x14ac:dyDescent="0.25">
      <c r="A1693" s="19">
        <v>540420</v>
      </c>
      <c r="B1693" s="19" t="e">
        <f>VLOOKUP($A1693,Config!$B$6:$E$1862,2,FALSE)</f>
        <v>#N/A</v>
      </c>
      <c r="C1693" s="19" t="e">
        <f>VLOOKUP($A1693,Config!$B$6:$E$1862,3,FALSE)</f>
        <v>#N/A</v>
      </c>
      <c r="D1693" s="19" t="e">
        <f>VLOOKUP($A1693,Config!$B$6:$E$1862,4,FALSE)</f>
        <v>#N/A</v>
      </c>
    </row>
    <row r="1694" spans="1:4" x14ac:dyDescent="0.25">
      <c r="A1694" s="19">
        <v>540421</v>
      </c>
      <c r="B1694" s="19" t="e">
        <f>VLOOKUP($A1694,Config!$B$6:$E$1862,2,FALSE)</f>
        <v>#N/A</v>
      </c>
      <c r="C1694" s="19" t="e">
        <f>VLOOKUP($A1694,Config!$B$6:$E$1862,3,FALSE)</f>
        <v>#N/A</v>
      </c>
      <c r="D1694" s="19" t="e">
        <f>VLOOKUP($A1694,Config!$B$6:$E$1862,4,FALSE)</f>
        <v>#N/A</v>
      </c>
    </row>
    <row r="1695" spans="1:4" x14ac:dyDescent="0.25">
      <c r="A1695" s="19">
        <v>540422</v>
      </c>
      <c r="B1695" s="19" t="e">
        <f>VLOOKUP($A1695,Config!$B$6:$E$1862,2,FALSE)</f>
        <v>#N/A</v>
      </c>
      <c r="C1695" s="19" t="e">
        <f>VLOOKUP($A1695,Config!$B$6:$E$1862,3,FALSE)</f>
        <v>#N/A</v>
      </c>
      <c r="D1695" s="19" t="e">
        <f>VLOOKUP($A1695,Config!$B$6:$E$1862,4,FALSE)</f>
        <v>#N/A</v>
      </c>
    </row>
    <row r="1696" spans="1:4" x14ac:dyDescent="0.25">
      <c r="A1696" s="19">
        <v>540423</v>
      </c>
      <c r="B1696" s="19" t="e">
        <f>VLOOKUP($A1696,Config!$B$6:$E$1862,2,FALSE)</f>
        <v>#N/A</v>
      </c>
      <c r="C1696" s="19" t="e">
        <f>VLOOKUP($A1696,Config!$B$6:$E$1862,3,FALSE)</f>
        <v>#N/A</v>
      </c>
      <c r="D1696" s="19" t="e">
        <f>VLOOKUP($A1696,Config!$B$6:$E$1862,4,FALSE)</f>
        <v>#N/A</v>
      </c>
    </row>
    <row r="1697" spans="1:4" x14ac:dyDescent="0.25">
      <c r="A1697" s="19">
        <v>540424</v>
      </c>
      <c r="B1697" s="19" t="e">
        <f>VLOOKUP($A1697,Config!$B$6:$E$1862,2,FALSE)</f>
        <v>#N/A</v>
      </c>
      <c r="C1697" s="19" t="e">
        <f>VLOOKUP($A1697,Config!$B$6:$E$1862,3,FALSE)</f>
        <v>#N/A</v>
      </c>
      <c r="D1697" s="19" t="e">
        <f>VLOOKUP($A1697,Config!$B$6:$E$1862,4,FALSE)</f>
        <v>#N/A</v>
      </c>
    </row>
    <row r="1698" spans="1:4" x14ac:dyDescent="0.25">
      <c r="A1698" s="19">
        <v>540425</v>
      </c>
      <c r="B1698" s="19">
        <f>VLOOKUP($A1698,Config!$B$6:$E$1862,2,FALSE)</f>
        <v>0</v>
      </c>
      <c r="C1698" s="19" t="str">
        <f>VLOOKUP($A1698,Config!$B$6:$E$1862,3,FALSE)</f>
        <v>Missing</v>
      </c>
      <c r="D1698" s="19" t="str">
        <f>VLOOKUP($A1698,Config!$B$6:$E$1862,4,FALSE)</f>
        <v>Mary</v>
      </c>
    </row>
    <row r="1699" spans="1:4" x14ac:dyDescent="0.25">
      <c r="A1699" s="19">
        <v>540427</v>
      </c>
      <c r="B1699" s="19">
        <f>VLOOKUP($A1699,Config!$B$6:$E$1862,2,FALSE)</f>
        <v>0</v>
      </c>
      <c r="C1699" s="19" t="str">
        <f>VLOOKUP($A1699,Config!$B$6:$E$1862,3,FALSE)</f>
        <v>Missing</v>
      </c>
      <c r="D1699" s="19" t="str">
        <f>VLOOKUP($A1699,Config!$B$6:$E$1862,4,FALSE)</f>
        <v>Mary</v>
      </c>
    </row>
    <row r="1700" spans="1:4" x14ac:dyDescent="0.25">
      <c r="A1700" s="19">
        <v>540428</v>
      </c>
      <c r="B1700" s="19" t="e">
        <f>VLOOKUP($A1700,Config!$B$6:$E$1862,2,FALSE)</f>
        <v>#N/A</v>
      </c>
      <c r="C1700" s="19" t="e">
        <f>VLOOKUP($A1700,Config!$B$6:$E$1862,3,FALSE)</f>
        <v>#N/A</v>
      </c>
      <c r="D1700" s="19" t="e">
        <f>VLOOKUP($A1700,Config!$B$6:$E$1862,4,FALSE)</f>
        <v>#N/A</v>
      </c>
    </row>
    <row r="1701" spans="1:4" x14ac:dyDescent="0.25">
      <c r="A1701" s="19">
        <v>540431</v>
      </c>
      <c r="B1701" s="19" t="e">
        <f>VLOOKUP($A1701,Config!$B$6:$E$1862,2,FALSE)</f>
        <v>#N/A</v>
      </c>
      <c r="C1701" s="19" t="e">
        <f>VLOOKUP($A1701,Config!$B$6:$E$1862,3,FALSE)</f>
        <v>#N/A</v>
      </c>
      <c r="D1701" s="19" t="e">
        <f>VLOOKUP($A1701,Config!$B$6:$E$1862,4,FALSE)</f>
        <v>#N/A</v>
      </c>
    </row>
    <row r="1702" spans="1:4" x14ac:dyDescent="0.25">
      <c r="A1702" s="19">
        <v>540434</v>
      </c>
      <c r="B1702" s="19" t="e">
        <f>VLOOKUP($A1702,Config!$B$6:$E$1862,2,FALSE)</f>
        <v>#N/A</v>
      </c>
      <c r="C1702" s="19" t="e">
        <f>VLOOKUP($A1702,Config!$B$6:$E$1862,3,FALSE)</f>
        <v>#N/A</v>
      </c>
      <c r="D1702" s="19" t="e">
        <f>VLOOKUP($A1702,Config!$B$6:$E$1862,4,FALSE)</f>
        <v>#N/A</v>
      </c>
    </row>
    <row r="1703" spans="1:4" x14ac:dyDescent="0.25">
      <c r="A1703" s="19">
        <v>540436</v>
      </c>
      <c r="B1703" s="19" t="e">
        <f>VLOOKUP($A1703,Config!$B$6:$E$1862,2,FALSE)</f>
        <v>#N/A</v>
      </c>
      <c r="C1703" s="19" t="e">
        <f>VLOOKUP($A1703,Config!$B$6:$E$1862,3,FALSE)</f>
        <v>#N/A</v>
      </c>
      <c r="D1703" s="19" t="e">
        <f>VLOOKUP($A1703,Config!$B$6:$E$1862,4,FALSE)</f>
        <v>#N/A</v>
      </c>
    </row>
    <row r="1704" spans="1:4" x14ac:dyDescent="0.25">
      <c r="A1704" s="19">
        <v>540437</v>
      </c>
      <c r="B1704" s="19" t="e">
        <f>VLOOKUP($A1704,Config!$B$6:$E$1862,2,FALSE)</f>
        <v>#N/A</v>
      </c>
      <c r="C1704" s="19" t="e">
        <f>VLOOKUP($A1704,Config!$B$6:$E$1862,3,FALSE)</f>
        <v>#N/A</v>
      </c>
      <c r="D1704" s="19" t="e">
        <f>VLOOKUP($A1704,Config!$B$6:$E$1862,4,FALSE)</f>
        <v>#N/A</v>
      </c>
    </row>
    <row r="1705" spans="1:4" x14ac:dyDescent="0.25">
      <c r="A1705" s="19">
        <v>540438</v>
      </c>
      <c r="B1705" s="19" t="e">
        <f>VLOOKUP($A1705,Config!$B$6:$E$1862,2,FALSE)</f>
        <v>#N/A</v>
      </c>
      <c r="C1705" s="19" t="e">
        <f>VLOOKUP($A1705,Config!$B$6:$E$1862,3,FALSE)</f>
        <v>#N/A</v>
      </c>
      <c r="D1705" s="19" t="e">
        <f>VLOOKUP($A1705,Config!$B$6:$E$1862,4,FALSE)</f>
        <v>#N/A</v>
      </c>
    </row>
    <row r="1706" spans="1:4" x14ac:dyDescent="0.25">
      <c r="A1706" s="19">
        <v>540439</v>
      </c>
      <c r="B1706" s="19" t="e">
        <f>VLOOKUP($A1706,Config!$B$6:$E$1862,2,FALSE)</f>
        <v>#N/A</v>
      </c>
      <c r="C1706" s="19" t="e">
        <f>VLOOKUP($A1706,Config!$B$6:$E$1862,3,FALSE)</f>
        <v>#N/A</v>
      </c>
      <c r="D1706" s="19" t="e">
        <f>VLOOKUP($A1706,Config!$B$6:$E$1862,4,FALSE)</f>
        <v>#N/A</v>
      </c>
    </row>
    <row r="1707" spans="1:4" x14ac:dyDescent="0.25">
      <c r="A1707" s="1">
        <v>540440</v>
      </c>
      <c r="B1707" s="19" t="e">
        <f>VLOOKUP($A1707,Config!$B$6:$E$1862,2,FALSE)</f>
        <v>#N/A</v>
      </c>
      <c r="C1707" s="19" t="e">
        <f>VLOOKUP($A1707,Config!$B$6:$E$1862,3,FALSE)</f>
        <v>#N/A</v>
      </c>
      <c r="D1707" s="19" t="e">
        <f>VLOOKUP($A1707,Config!$B$6:$E$1862,4,FALSE)</f>
        <v>#N/A</v>
      </c>
    </row>
    <row r="1708" spans="1:4" x14ac:dyDescent="0.25">
      <c r="A1708" s="1">
        <v>540444</v>
      </c>
      <c r="B1708" s="19" t="e">
        <f>VLOOKUP($A1708,Config!$B$6:$E$1862,2,FALSE)</f>
        <v>#N/A</v>
      </c>
      <c r="C1708" s="19" t="e">
        <f>VLOOKUP($A1708,Config!$B$6:$E$1862,3,FALSE)</f>
        <v>#N/A</v>
      </c>
      <c r="D1708" s="19" t="e">
        <f>VLOOKUP($A1708,Config!$B$6:$E$1862,4,FALSE)</f>
        <v>#N/A</v>
      </c>
    </row>
    <row r="1709" spans="1:4" x14ac:dyDescent="0.25">
      <c r="A1709" s="1">
        <v>540445</v>
      </c>
      <c r="B1709" s="19" t="e">
        <f>VLOOKUP($A1709,Config!$B$6:$E$1862,2,FALSE)</f>
        <v>#N/A</v>
      </c>
      <c r="C1709" s="19" t="e">
        <f>VLOOKUP($A1709,Config!$B$6:$E$1862,3,FALSE)</f>
        <v>#N/A</v>
      </c>
      <c r="D1709" s="19" t="e">
        <f>VLOOKUP($A1709,Config!$B$6:$E$1862,4,FALSE)</f>
        <v>#N/A</v>
      </c>
    </row>
    <row r="1710" spans="1:4" x14ac:dyDescent="0.25">
      <c r="A1710" s="1">
        <v>540446</v>
      </c>
      <c r="B1710" s="19" t="e">
        <f>VLOOKUP($A1710,Config!$B$6:$E$1862,2,FALSE)</f>
        <v>#N/A</v>
      </c>
      <c r="C1710" s="19" t="e">
        <f>VLOOKUP($A1710,Config!$B$6:$E$1862,3,FALSE)</f>
        <v>#N/A</v>
      </c>
      <c r="D1710" s="19" t="e">
        <f>VLOOKUP($A1710,Config!$B$6:$E$1862,4,FALSE)</f>
        <v>#N/A</v>
      </c>
    </row>
    <row r="1711" spans="1:4" x14ac:dyDescent="0.25">
      <c r="A1711" s="1">
        <v>540447</v>
      </c>
      <c r="B1711" s="19" t="e">
        <f>VLOOKUP($A1711,Config!$B$6:$E$1862,2,FALSE)</f>
        <v>#N/A</v>
      </c>
      <c r="C1711" s="19" t="e">
        <f>VLOOKUP($A1711,Config!$B$6:$E$1862,3,FALSE)</f>
        <v>#N/A</v>
      </c>
      <c r="D1711" s="19" t="e">
        <f>VLOOKUP($A1711,Config!$B$6:$E$1862,4,FALSE)</f>
        <v>#N/A</v>
      </c>
    </row>
    <row r="1712" spans="1:4" x14ac:dyDescent="0.25">
      <c r="A1712" s="1">
        <v>540448</v>
      </c>
      <c r="B1712" s="19" t="e">
        <f>VLOOKUP($A1712,Config!$B$6:$E$1862,2,FALSE)</f>
        <v>#N/A</v>
      </c>
      <c r="C1712" s="19" t="e">
        <f>VLOOKUP($A1712,Config!$B$6:$E$1862,3,FALSE)</f>
        <v>#N/A</v>
      </c>
      <c r="D1712" s="19" t="e">
        <f>VLOOKUP($A1712,Config!$B$6:$E$1862,4,FALSE)</f>
        <v>#N/A</v>
      </c>
    </row>
    <row r="1713" spans="1:4" x14ac:dyDescent="0.25">
      <c r="A1713" s="1">
        <v>540449</v>
      </c>
      <c r="B1713" s="19" t="e">
        <f>VLOOKUP($A1713,Config!$B$6:$E$1862,2,FALSE)</f>
        <v>#N/A</v>
      </c>
      <c r="C1713" s="19" t="e">
        <f>VLOOKUP($A1713,Config!$B$6:$E$1862,3,FALSE)</f>
        <v>#N/A</v>
      </c>
      <c r="D1713" s="19" t="e">
        <f>VLOOKUP($A1713,Config!$B$6:$E$1862,4,FALSE)</f>
        <v>#N/A</v>
      </c>
    </row>
    <row r="1714" spans="1:4" x14ac:dyDescent="0.25">
      <c r="A1714" s="1">
        <v>540450</v>
      </c>
      <c r="B1714" s="19" t="e">
        <f>VLOOKUP($A1714,Config!$B$6:$E$1862,2,FALSE)</f>
        <v>#N/A</v>
      </c>
      <c r="C1714" s="19" t="e">
        <f>VLOOKUP($A1714,Config!$B$6:$E$1862,3,FALSE)</f>
        <v>#N/A</v>
      </c>
      <c r="D1714" s="19" t="e">
        <f>VLOOKUP($A1714,Config!$B$6:$E$1862,4,FALSE)</f>
        <v>#N/A</v>
      </c>
    </row>
    <row r="1715" spans="1:4" x14ac:dyDescent="0.25">
      <c r="A1715" s="1">
        <v>540451</v>
      </c>
      <c r="B1715" s="19" t="e">
        <f>VLOOKUP($A1715,Config!$B$6:$E$1862,2,FALSE)</f>
        <v>#N/A</v>
      </c>
      <c r="C1715" s="19" t="e">
        <f>VLOOKUP($A1715,Config!$B$6:$E$1862,3,FALSE)</f>
        <v>#N/A</v>
      </c>
      <c r="D1715" s="19" t="e">
        <f>VLOOKUP($A1715,Config!$B$6:$E$1862,4,FALSE)</f>
        <v>#N/A</v>
      </c>
    </row>
    <row r="1716" spans="1:4" x14ac:dyDescent="0.25">
      <c r="A1716" s="1">
        <v>540452</v>
      </c>
      <c r="B1716" s="19" t="e">
        <f>VLOOKUP($A1716,Config!$B$6:$E$1862,2,FALSE)</f>
        <v>#N/A</v>
      </c>
      <c r="C1716" s="19" t="e">
        <f>VLOOKUP($A1716,Config!$B$6:$E$1862,3,FALSE)</f>
        <v>#N/A</v>
      </c>
      <c r="D1716" s="19" t="e">
        <f>VLOOKUP($A1716,Config!$B$6:$E$1862,4,FALSE)</f>
        <v>#N/A</v>
      </c>
    </row>
    <row r="1717" spans="1:4" x14ac:dyDescent="0.25">
      <c r="A1717" s="1">
        <v>540454</v>
      </c>
      <c r="B1717" s="19" t="e">
        <f>VLOOKUP($A1717,Config!$B$6:$E$1862,2,FALSE)</f>
        <v>#N/A</v>
      </c>
      <c r="C1717" s="19" t="e">
        <f>VLOOKUP($A1717,Config!$B$6:$E$1862,3,FALSE)</f>
        <v>#N/A</v>
      </c>
      <c r="D1717" s="19" t="e">
        <f>VLOOKUP($A1717,Config!$B$6:$E$1862,4,FALSE)</f>
        <v>#N/A</v>
      </c>
    </row>
    <row r="1718" spans="1:4" x14ac:dyDescent="0.25">
      <c r="A1718" s="1">
        <v>540455</v>
      </c>
      <c r="B1718" s="19" t="e">
        <f>VLOOKUP($A1718,Config!$B$6:$E$1862,2,FALSE)</f>
        <v>#N/A</v>
      </c>
      <c r="C1718" s="19" t="e">
        <f>VLOOKUP($A1718,Config!$B$6:$E$1862,3,FALSE)</f>
        <v>#N/A</v>
      </c>
      <c r="D1718" s="19" t="e">
        <f>VLOOKUP($A1718,Config!$B$6:$E$1862,4,FALSE)</f>
        <v>#N/A</v>
      </c>
    </row>
    <row r="1719" spans="1:4" x14ac:dyDescent="0.25">
      <c r="A1719" s="1">
        <v>540456</v>
      </c>
      <c r="B1719" s="19" t="e">
        <f>VLOOKUP($A1719,Config!$B$6:$E$1862,2,FALSE)</f>
        <v>#N/A</v>
      </c>
      <c r="C1719" s="19" t="e">
        <f>VLOOKUP($A1719,Config!$B$6:$E$1862,3,FALSE)</f>
        <v>#N/A</v>
      </c>
      <c r="D1719" s="19" t="e">
        <f>VLOOKUP($A1719,Config!$B$6:$E$1862,4,FALSE)</f>
        <v>#N/A</v>
      </c>
    </row>
    <row r="1720" spans="1:4" x14ac:dyDescent="0.25">
      <c r="A1720" s="1">
        <v>540457</v>
      </c>
      <c r="B1720" s="19" t="e">
        <f>VLOOKUP($A1720,Config!$B$6:$E$1862,2,FALSE)</f>
        <v>#N/A</v>
      </c>
      <c r="C1720" s="19" t="e">
        <f>VLOOKUP($A1720,Config!$B$6:$E$1862,3,FALSE)</f>
        <v>#N/A</v>
      </c>
      <c r="D1720" s="19" t="e">
        <f>VLOOKUP($A1720,Config!$B$6:$E$1862,4,FALSE)</f>
        <v>#N/A</v>
      </c>
    </row>
    <row r="1721" spans="1:4" x14ac:dyDescent="0.25">
      <c r="A1721" s="1">
        <v>540458</v>
      </c>
      <c r="B1721" s="19" t="e">
        <f>VLOOKUP($A1721,Config!$B$6:$E$1862,2,FALSE)</f>
        <v>#N/A</v>
      </c>
      <c r="C1721" s="19" t="e">
        <f>VLOOKUP($A1721,Config!$B$6:$E$1862,3,FALSE)</f>
        <v>#N/A</v>
      </c>
      <c r="D1721" s="19" t="e">
        <f>VLOOKUP($A1721,Config!$B$6:$E$1862,4,FALSE)</f>
        <v>#N/A</v>
      </c>
    </row>
    <row r="1722" spans="1:4" x14ac:dyDescent="0.25">
      <c r="A1722" s="1">
        <v>540459</v>
      </c>
      <c r="B1722" s="19" t="e">
        <f>VLOOKUP($A1722,Config!$B$6:$E$1862,2,FALSE)</f>
        <v>#N/A</v>
      </c>
      <c r="C1722" s="19" t="e">
        <f>VLOOKUP($A1722,Config!$B$6:$E$1862,3,FALSE)</f>
        <v>#N/A</v>
      </c>
      <c r="D1722" s="19" t="e">
        <f>VLOOKUP($A1722,Config!$B$6:$E$1862,4,FALSE)</f>
        <v>#N/A</v>
      </c>
    </row>
    <row r="1723" spans="1:4" x14ac:dyDescent="0.25">
      <c r="A1723" s="1">
        <v>540460</v>
      </c>
      <c r="B1723" s="19">
        <f>VLOOKUP($A1723,Config!$B$6:$E$1862,2,FALSE)</f>
        <v>0</v>
      </c>
      <c r="C1723" s="19" t="str">
        <f>VLOOKUP($A1723,Config!$B$6:$E$1862,3,FALSE)</f>
        <v>Missing</v>
      </c>
      <c r="D1723" s="19" t="str">
        <f>VLOOKUP($A1723,Config!$B$6:$E$1862,4,FALSE)</f>
        <v>Mary</v>
      </c>
    </row>
    <row r="1724" spans="1:4" x14ac:dyDescent="0.25">
      <c r="A1724" s="1">
        <v>540461</v>
      </c>
      <c r="B1724" s="19" t="e">
        <f>VLOOKUP($A1724,Config!$B$6:$E$1862,2,FALSE)</f>
        <v>#N/A</v>
      </c>
      <c r="C1724" s="19" t="e">
        <f>VLOOKUP($A1724,Config!$B$6:$E$1862,3,FALSE)</f>
        <v>#N/A</v>
      </c>
      <c r="D1724" s="19" t="e">
        <f>VLOOKUP($A1724,Config!$B$6:$E$1862,4,FALSE)</f>
        <v>#N/A</v>
      </c>
    </row>
    <row r="1725" spans="1:4" x14ac:dyDescent="0.25">
      <c r="A1725" s="1">
        <v>540462</v>
      </c>
      <c r="B1725" s="19" t="e">
        <f>VLOOKUP($A1725,Config!$B$6:$E$1862,2,FALSE)</f>
        <v>#N/A</v>
      </c>
      <c r="C1725" s="19" t="e">
        <f>VLOOKUP($A1725,Config!$B$6:$E$1862,3,FALSE)</f>
        <v>#N/A</v>
      </c>
      <c r="D1725" s="19" t="e">
        <f>VLOOKUP($A1725,Config!$B$6:$E$1862,4,FALSE)</f>
        <v>#N/A</v>
      </c>
    </row>
    <row r="1726" spans="1:4" x14ac:dyDescent="0.25">
      <c r="A1726" s="1">
        <v>540463</v>
      </c>
      <c r="B1726" s="19">
        <f>VLOOKUP($A1726,Config!$B$6:$E$1862,2,FALSE)</f>
        <v>0</v>
      </c>
      <c r="C1726" s="19" t="str">
        <f>VLOOKUP($A1726,Config!$B$6:$E$1862,3,FALSE)</f>
        <v>Missing</v>
      </c>
      <c r="D1726" s="19" t="str">
        <f>VLOOKUP($A1726,Config!$B$6:$E$1862,4,FALSE)</f>
        <v>Mary</v>
      </c>
    </row>
    <row r="1727" spans="1:4" x14ac:dyDescent="0.25">
      <c r="A1727" s="1">
        <v>540465</v>
      </c>
      <c r="B1727" s="19" t="e">
        <f>VLOOKUP($A1727,Config!$B$6:$E$1862,2,FALSE)</f>
        <v>#N/A</v>
      </c>
      <c r="C1727" s="19" t="e">
        <f>VLOOKUP($A1727,Config!$B$6:$E$1862,3,FALSE)</f>
        <v>#N/A</v>
      </c>
      <c r="D1727" s="19" t="e">
        <f>VLOOKUP($A1727,Config!$B$6:$E$1862,4,FALSE)</f>
        <v>#N/A</v>
      </c>
    </row>
    <row r="1728" spans="1:4" x14ac:dyDescent="0.25">
      <c r="A1728" s="1">
        <v>540466</v>
      </c>
      <c r="B1728" s="19" t="e">
        <f>VLOOKUP($A1728,Config!$B$6:$E$1862,2,FALSE)</f>
        <v>#N/A</v>
      </c>
      <c r="C1728" s="19" t="e">
        <f>VLOOKUP($A1728,Config!$B$6:$E$1862,3,FALSE)</f>
        <v>#N/A</v>
      </c>
      <c r="D1728" s="19" t="e">
        <f>VLOOKUP($A1728,Config!$B$6:$E$1862,4,FALSE)</f>
        <v>#N/A</v>
      </c>
    </row>
    <row r="1729" spans="1:4" x14ac:dyDescent="0.25">
      <c r="A1729" s="1">
        <v>540467</v>
      </c>
      <c r="B1729" s="19" t="e">
        <f>VLOOKUP($A1729,Config!$B$6:$E$1862,2,FALSE)</f>
        <v>#N/A</v>
      </c>
      <c r="C1729" s="19" t="e">
        <f>VLOOKUP($A1729,Config!$B$6:$E$1862,3,FALSE)</f>
        <v>#N/A</v>
      </c>
      <c r="D1729" s="19" t="e">
        <f>VLOOKUP($A1729,Config!$B$6:$E$1862,4,FALSE)</f>
        <v>#N/A</v>
      </c>
    </row>
    <row r="1730" spans="1:4" x14ac:dyDescent="0.25">
      <c r="A1730" s="1">
        <v>540469</v>
      </c>
      <c r="B1730" s="19" t="e">
        <f>VLOOKUP($A1730,Config!$B$6:$E$1862,2,FALSE)</f>
        <v>#N/A</v>
      </c>
      <c r="C1730" s="19" t="e">
        <f>VLOOKUP($A1730,Config!$B$6:$E$1862,3,FALSE)</f>
        <v>#N/A</v>
      </c>
      <c r="D1730" s="19" t="e">
        <f>VLOOKUP($A1730,Config!$B$6:$E$1862,4,FALSE)</f>
        <v>#N/A</v>
      </c>
    </row>
    <row r="1731" spans="1:4" x14ac:dyDescent="0.25">
      <c r="A1731" s="1">
        <v>540470</v>
      </c>
      <c r="B1731" s="19" t="e">
        <f>VLOOKUP($A1731,Config!$B$6:$E$1862,2,FALSE)</f>
        <v>#N/A</v>
      </c>
      <c r="C1731" s="19" t="e">
        <f>VLOOKUP($A1731,Config!$B$6:$E$1862,3,FALSE)</f>
        <v>#N/A</v>
      </c>
      <c r="D1731" s="19" t="e">
        <f>VLOOKUP($A1731,Config!$B$6:$E$1862,4,FALSE)</f>
        <v>#N/A</v>
      </c>
    </row>
    <row r="1732" spans="1:4" x14ac:dyDescent="0.25">
      <c r="A1732" s="1">
        <v>540472</v>
      </c>
      <c r="B1732" s="19" t="e">
        <f>VLOOKUP($A1732,Config!$B$6:$E$1862,2,FALSE)</f>
        <v>#N/A</v>
      </c>
      <c r="C1732" s="19" t="e">
        <f>VLOOKUP($A1732,Config!$B$6:$E$1862,3,FALSE)</f>
        <v>#N/A</v>
      </c>
      <c r="D1732" s="19" t="e">
        <f>VLOOKUP($A1732,Config!$B$6:$E$1862,4,FALSE)</f>
        <v>#N/A</v>
      </c>
    </row>
    <row r="1733" spans="1:4" x14ac:dyDescent="0.25">
      <c r="A1733" s="1">
        <v>540473</v>
      </c>
      <c r="B1733" s="19" t="e">
        <f>VLOOKUP($A1733,Config!$B$6:$E$1862,2,FALSE)</f>
        <v>#N/A</v>
      </c>
      <c r="C1733" s="19" t="e">
        <f>VLOOKUP($A1733,Config!$B$6:$E$1862,3,FALSE)</f>
        <v>#N/A</v>
      </c>
      <c r="D1733" s="19" t="e">
        <f>VLOOKUP($A1733,Config!$B$6:$E$1862,4,FALSE)</f>
        <v>#N/A</v>
      </c>
    </row>
    <row r="1734" spans="1:4" x14ac:dyDescent="0.25">
      <c r="A1734" s="1">
        <v>540474</v>
      </c>
      <c r="B1734" s="19" t="e">
        <f>VLOOKUP($A1734,Config!$B$6:$E$1862,2,FALSE)</f>
        <v>#N/A</v>
      </c>
      <c r="C1734" s="19" t="e">
        <f>VLOOKUP($A1734,Config!$B$6:$E$1862,3,FALSE)</f>
        <v>#N/A</v>
      </c>
      <c r="D1734" s="19" t="e">
        <f>VLOOKUP($A1734,Config!$B$6:$E$1862,4,FALSE)</f>
        <v>#N/A</v>
      </c>
    </row>
    <row r="1735" spans="1:4" x14ac:dyDescent="0.25">
      <c r="A1735" s="1">
        <v>540475</v>
      </c>
      <c r="B1735" s="19" t="e">
        <f>VLOOKUP($A1735,Config!$B$6:$E$1862,2,FALSE)</f>
        <v>#N/A</v>
      </c>
      <c r="C1735" s="19" t="e">
        <f>VLOOKUP($A1735,Config!$B$6:$E$1862,3,FALSE)</f>
        <v>#N/A</v>
      </c>
      <c r="D1735" s="19" t="e">
        <f>VLOOKUP($A1735,Config!$B$6:$E$1862,4,FALSE)</f>
        <v>#N/A</v>
      </c>
    </row>
    <row r="1736" spans="1:4" x14ac:dyDescent="0.25">
      <c r="A1736" s="1">
        <v>540476</v>
      </c>
      <c r="B1736" s="19">
        <f>VLOOKUP($A1736,Config!$B$6:$E$1862,2,FALSE)</f>
        <v>0</v>
      </c>
      <c r="C1736" s="19" t="str">
        <f>VLOOKUP($A1736,Config!$B$6:$E$1862,3,FALSE)</f>
        <v>Missing</v>
      </c>
      <c r="D1736" s="19" t="str">
        <f>VLOOKUP($A1736,Config!$B$6:$E$1862,4,FALSE)</f>
        <v>Mary</v>
      </c>
    </row>
    <row r="1737" spans="1:4" x14ac:dyDescent="0.25">
      <c r="A1737" s="1">
        <v>540477</v>
      </c>
      <c r="B1737" s="19" t="e">
        <f>VLOOKUP($A1737,Config!$B$6:$E$1862,2,FALSE)</f>
        <v>#N/A</v>
      </c>
      <c r="C1737" s="19" t="e">
        <f>VLOOKUP($A1737,Config!$B$6:$E$1862,3,FALSE)</f>
        <v>#N/A</v>
      </c>
      <c r="D1737" s="19" t="e">
        <f>VLOOKUP($A1737,Config!$B$6:$E$1862,4,FALSE)</f>
        <v>#N/A</v>
      </c>
    </row>
    <row r="1738" spans="1:4" x14ac:dyDescent="0.25">
      <c r="A1738" s="1">
        <v>540479</v>
      </c>
      <c r="B1738" s="19" t="e">
        <f>VLOOKUP($A1738,Config!$B$6:$E$1862,2,FALSE)</f>
        <v>#N/A</v>
      </c>
      <c r="C1738" s="19" t="e">
        <f>VLOOKUP($A1738,Config!$B$6:$E$1862,3,FALSE)</f>
        <v>#N/A</v>
      </c>
      <c r="D1738" s="19" t="e">
        <f>VLOOKUP($A1738,Config!$B$6:$E$1862,4,FALSE)</f>
        <v>#N/A</v>
      </c>
    </row>
    <row r="1739" spans="1:4" x14ac:dyDescent="0.25">
      <c r="A1739" s="1">
        <v>540480</v>
      </c>
      <c r="B1739" s="19" t="e">
        <f>VLOOKUP($A1739,Config!$B$6:$E$1862,2,FALSE)</f>
        <v>#N/A</v>
      </c>
      <c r="C1739" s="19" t="e">
        <f>VLOOKUP($A1739,Config!$B$6:$E$1862,3,FALSE)</f>
        <v>#N/A</v>
      </c>
      <c r="D1739" s="19" t="e">
        <f>VLOOKUP($A1739,Config!$B$6:$E$1862,4,FALSE)</f>
        <v>#N/A</v>
      </c>
    </row>
    <row r="1740" spans="1:4" x14ac:dyDescent="0.25">
      <c r="A1740" s="1">
        <v>540481</v>
      </c>
      <c r="B1740" s="19" t="e">
        <f>VLOOKUP($A1740,Config!$B$6:$E$1862,2,FALSE)</f>
        <v>#N/A</v>
      </c>
      <c r="C1740" s="19" t="e">
        <f>VLOOKUP($A1740,Config!$B$6:$E$1862,3,FALSE)</f>
        <v>#N/A</v>
      </c>
      <c r="D1740" s="19" t="e">
        <f>VLOOKUP($A1740,Config!$B$6:$E$1862,4,FALSE)</f>
        <v>#N/A</v>
      </c>
    </row>
    <row r="1741" spans="1:4" x14ac:dyDescent="0.25">
      <c r="A1741" s="1">
        <v>540484</v>
      </c>
      <c r="B1741" s="19" t="e">
        <f>VLOOKUP($A1741,Config!$B$6:$E$1862,2,FALSE)</f>
        <v>#N/A</v>
      </c>
      <c r="C1741" s="19" t="e">
        <f>VLOOKUP($A1741,Config!$B$6:$E$1862,3,FALSE)</f>
        <v>#N/A</v>
      </c>
      <c r="D1741" s="19" t="e">
        <f>VLOOKUP($A1741,Config!$B$6:$E$1862,4,FALSE)</f>
        <v>#N/A</v>
      </c>
    </row>
    <row r="1742" spans="1:4" x14ac:dyDescent="0.25">
      <c r="A1742" s="1">
        <v>540486</v>
      </c>
      <c r="B1742" s="19" t="e">
        <f>VLOOKUP($A1742,Config!$B$6:$E$1862,2,FALSE)</f>
        <v>#N/A</v>
      </c>
      <c r="C1742" s="19" t="e">
        <f>VLOOKUP($A1742,Config!$B$6:$E$1862,3,FALSE)</f>
        <v>#N/A</v>
      </c>
      <c r="D1742" s="19" t="e">
        <f>VLOOKUP($A1742,Config!$B$6:$E$1862,4,FALSE)</f>
        <v>#N/A</v>
      </c>
    </row>
    <row r="1743" spans="1:4" x14ac:dyDescent="0.25">
      <c r="A1743" s="1">
        <v>540487</v>
      </c>
      <c r="B1743" s="19" t="e">
        <f>VLOOKUP($A1743,Config!$B$6:$E$1862,2,FALSE)</f>
        <v>#N/A</v>
      </c>
      <c r="C1743" s="19" t="e">
        <f>VLOOKUP($A1743,Config!$B$6:$E$1862,3,FALSE)</f>
        <v>#N/A</v>
      </c>
      <c r="D1743" s="19" t="e">
        <f>VLOOKUP($A1743,Config!$B$6:$E$1862,4,FALSE)</f>
        <v>#N/A</v>
      </c>
    </row>
    <row r="1744" spans="1:4" x14ac:dyDescent="0.25">
      <c r="A1744" s="1">
        <v>540488</v>
      </c>
      <c r="B1744" s="19" t="e">
        <f>VLOOKUP($A1744,Config!$B$6:$E$1862,2,FALSE)</f>
        <v>#N/A</v>
      </c>
      <c r="C1744" s="19" t="e">
        <f>VLOOKUP($A1744,Config!$B$6:$E$1862,3,FALSE)</f>
        <v>#N/A</v>
      </c>
      <c r="D1744" s="19" t="e">
        <f>VLOOKUP($A1744,Config!$B$6:$E$1862,4,FALSE)</f>
        <v>#N/A</v>
      </c>
    </row>
    <row r="1745" spans="1:4" x14ac:dyDescent="0.25">
      <c r="A1745" s="1">
        <v>540489</v>
      </c>
      <c r="B1745" s="19" t="e">
        <f>VLOOKUP($A1745,Config!$B$6:$E$1862,2,FALSE)</f>
        <v>#N/A</v>
      </c>
      <c r="C1745" s="19" t="e">
        <f>VLOOKUP($A1745,Config!$B$6:$E$1862,3,FALSE)</f>
        <v>#N/A</v>
      </c>
      <c r="D1745" s="19" t="e">
        <f>VLOOKUP($A1745,Config!$B$6:$E$1862,4,FALSE)</f>
        <v>#N/A</v>
      </c>
    </row>
    <row r="1746" spans="1:4" x14ac:dyDescent="0.25">
      <c r="A1746" s="1">
        <v>540490</v>
      </c>
      <c r="B1746" s="19">
        <f>VLOOKUP($A1746,Config!$B$6:$E$1862,2,FALSE)</f>
        <v>0</v>
      </c>
      <c r="C1746" s="19" t="str">
        <f>VLOOKUP($A1746,Config!$B$6:$E$1862,3,FALSE)</f>
        <v>Missing</v>
      </c>
      <c r="D1746" s="19" t="str">
        <f>VLOOKUP($A1746,Config!$B$6:$E$1862,4,FALSE)</f>
        <v>Mary</v>
      </c>
    </row>
    <row r="1747" spans="1:4" x14ac:dyDescent="0.25">
      <c r="A1747" s="1">
        <v>540491</v>
      </c>
      <c r="B1747" s="19" t="e">
        <f>VLOOKUP($A1747,Config!$B$6:$E$1862,2,FALSE)</f>
        <v>#N/A</v>
      </c>
      <c r="C1747" s="19" t="e">
        <f>VLOOKUP($A1747,Config!$B$6:$E$1862,3,FALSE)</f>
        <v>#N/A</v>
      </c>
      <c r="D1747" s="19" t="e">
        <f>VLOOKUP($A1747,Config!$B$6:$E$1862,4,FALSE)</f>
        <v>#N/A</v>
      </c>
    </row>
    <row r="1748" spans="1:4" x14ac:dyDescent="0.25">
      <c r="A1748" s="1">
        <v>540492</v>
      </c>
      <c r="B1748" s="19" t="e">
        <f>VLOOKUP($A1748,Config!$B$6:$E$1862,2,FALSE)</f>
        <v>#N/A</v>
      </c>
      <c r="C1748" s="19" t="e">
        <f>VLOOKUP($A1748,Config!$B$6:$E$1862,3,FALSE)</f>
        <v>#N/A</v>
      </c>
      <c r="D1748" s="19" t="e">
        <f>VLOOKUP($A1748,Config!$B$6:$E$1862,4,FALSE)</f>
        <v>#N/A</v>
      </c>
    </row>
    <row r="1749" spans="1:4" x14ac:dyDescent="0.25">
      <c r="A1749" s="1">
        <v>540493</v>
      </c>
      <c r="B1749" s="19" t="e">
        <f>VLOOKUP($A1749,Config!$B$6:$E$1862,2,FALSE)</f>
        <v>#N/A</v>
      </c>
      <c r="C1749" s="19" t="e">
        <f>VLOOKUP($A1749,Config!$B$6:$E$1862,3,FALSE)</f>
        <v>#N/A</v>
      </c>
      <c r="D1749" s="19" t="e">
        <f>VLOOKUP($A1749,Config!$B$6:$E$1862,4,FALSE)</f>
        <v>#N/A</v>
      </c>
    </row>
    <row r="1750" spans="1:4" x14ac:dyDescent="0.25">
      <c r="A1750" s="1">
        <v>540494</v>
      </c>
      <c r="B1750" s="19" t="e">
        <f>VLOOKUP($A1750,Config!$B$6:$E$1862,2,FALSE)</f>
        <v>#N/A</v>
      </c>
      <c r="C1750" s="19" t="e">
        <f>VLOOKUP($A1750,Config!$B$6:$E$1862,3,FALSE)</f>
        <v>#N/A</v>
      </c>
      <c r="D1750" s="19" t="e">
        <f>VLOOKUP($A1750,Config!$B$6:$E$1862,4,FALSE)</f>
        <v>#N/A</v>
      </c>
    </row>
    <row r="1751" spans="1:4" x14ac:dyDescent="0.25">
      <c r="A1751" s="1">
        <v>540496</v>
      </c>
      <c r="B1751" s="19" t="e">
        <f>VLOOKUP($A1751,Config!$B$6:$E$1862,2,FALSE)</f>
        <v>#N/A</v>
      </c>
      <c r="C1751" s="19" t="e">
        <f>VLOOKUP($A1751,Config!$B$6:$E$1862,3,FALSE)</f>
        <v>#N/A</v>
      </c>
      <c r="D1751" s="19" t="e">
        <f>VLOOKUP($A1751,Config!$B$6:$E$1862,4,FALSE)</f>
        <v>#N/A</v>
      </c>
    </row>
    <row r="1752" spans="1:4" x14ac:dyDescent="0.25">
      <c r="A1752" s="1">
        <v>540497</v>
      </c>
      <c r="B1752" s="19" t="e">
        <f>VLOOKUP($A1752,Config!$B$6:$E$1862,2,FALSE)</f>
        <v>#N/A</v>
      </c>
      <c r="C1752" s="19" t="e">
        <f>VLOOKUP($A1752,Config!$B$6:$E$1862,3,FALSE)</f>
        <v>#N/A</v>
      </c>
      <c r="D1752" s="19" t="e">
        <f>VLOOKUP($A1752,Config!$B$6:$E$1862,4,FALSE)</f>
        <v>#N/A</v>
      </c>
    </row>
    <row r="1753" spans="1:4" x14ac:dyDescent="0.25">
      <c r="A1753" s="1">
        <v>540498</v>
      </c>
      <c r="B1753" s="19" t="e">
        <f>VLOOKUP($A1753,Config!$B$6:$E$1862,2,FALSE)</f>
        <v>#N/A</v>
      </c>
      <c r="C1753" s="19" t="e">
        <f>VLOOKUP($A1753,Config!$B$6:$E$1862,3,FALSE)</f>
        <v>#N/A</v>
      </c>
      <c r="D1753" s="19" t="e">
        <f>VLOOKUP($A1753,Config!$B$6:$E$1862,4,FALSE)</f>
        <v>#N/A</v>
      </c>
    </row>
    <row r="1754" spans="1:4" x14ac:dyDescent="0.25">
      <c r="A1754" s="1">
        <v>540499</v>
      </c>
      <c r="B1754" s="19" t="e">
        <f>VLOOKUP($A1754,Config!$B$6:$E$1862,2,FALSE)</f>
        <v>#N/A</v>
      </c>
      <c r="C1754" s="19" t="e">
        <f>VLOOKUP($A1754,Config!$B$6:$E$1862,3,FALSE)</f>
        <v>#N/A</v>
      </c>
      <c r="D1754" s="19" t="e">
        <f>VLOOKUP($A1754,Config!$B$6:$E$1862,4,FALSE)</f>
        <v>#N/A</v>
      </c>
    </row>
    <row r="1755" spans="1:4" x14ac:dyDescent="0.25">
      <c r="A1755" s="1">
        <v>540500</v>
      </c>
      <c r="B1755" s="19" t="e">
        <f>VLOOKUP($A1755,Config!$B$6:$E$1862,2,FALSE)</f>
        <v>#N/A</v>
      </c>
      <c r="C1755" s="19" t="e">
        <f>VLOOKUP($A1755,Config!$B$6:$E$1862,3,FALSE)</f>
        <v>#N/A</v>
      </c>
      <c r="D1755" s="19" t="e">
        <f>VLOOKUP($A1755,Config!$B$6:$E$1862,4,FALSE)</f>
        <v>#N/A</v>
      </c>
    </row>
    <row r="1756" spans="1:4" x14ac:dyDescent="0.25">
      <c r="A1756" s="1">
        <v>540501</v>
      </c>
      <c r="B1756" s="19" t="e">
        <f>VLOOKUP($A1756,Config!$B$6:$E$1862,2,FALSE)</f>
        <v>#N/A</v>
      </c>
      <c r="C1756" s="19" t="e">
        <f>VLOOKUP($A1756,Config!$B$6:$E$1862,3,FALSE)</f>
        <v>#N/A</v>
      </c>
      <c r="D1756" s="19" t="e">
        <f>VLOOKUP($A1756,Config!$B$6:$E$1862,4,FALSE)</f>
        <v>#N/A</v>
      </c>
    </row>
    <row r="1757" spans="1:4" x14ac:dyDescent="0.25">
      <c r="A1757" s="1">
        <v>540502</v>
      </c>
      <c r="B1757" s="19" t="e">
        <f>VLOOKUP($A1757,Config!$B$6:$E$1862,2,FALSE)</f>
        <v>#N/A</v>
      </c>
      <c r="C1757" s="19" t="e">
        <f>VLOOKUP($A1757,Config!$B$6:$E$1862,3,FALSE)</f>
        <v>#N/A</v>
      </c>
      <c r="D1757" s="19" t="e">
        <f>VLOOKUP($A1757,Config!$B$6:$E$1862,4,FALSE)</f>
        <v>#N/A</v>
      </c>
    </row>
    <row r="1758" spans="1:4" x14ac:dyDescent="0.25">
      <c r="A1758" s="1">
        <v>540503</v>
      </c>
      <c r="B1758" s="19" t="e">
        <f>VLOOKUP($A1758,Config!$B$6:$E$1862,2,FALSE)</f>
        <v>#N/A</v>
      </c>
      <c r="C1758" s="19" t="e">
        <f>VLOOKUP($A1758,Config!$B$6:$E$1862,3,FALSE)</f>
        <v>#N/A</v>
      </c>
      <c r="D1758" s="19" t="e">
        <f>VLOOKUP($A1758,Config!$B$6:$E$1862,4,FALSE)</f>
        <v>#N/A</v>
      </c>
    </row>
    <row r="1759" spans="1:4" x14ac:dyDescent="0.25">
      <c r="A1759" s="1">
        <v>540506</v>
      </c>
      <c r="B1759" s="19" t="e">
        <f>VLOOKUP($A1759,Config!$B$6:$E$1862,2,FALSE)</f>
        <v>#N/A</v>
      </c>
      <c r="C1759" s="19" t="e">
        <f>VLOOKUP($A1759,Config!$B$6:$E$1862,3,FALSE)</f>
        <v>#N/A</v>
      </c>
      <c r="D1759" s="19" t="e">
        <f>VLOOKUP($A1759,Config!$B$6:$E$1862,4,FALSE)</f>
        <v>#N/A</v>
      </c>
    </row>
    <row r="1760" spans="1:4" x14ac:dyDescent="0.25">
      <c r="A1760" s="1">
        <v>540507</v>
      </c>
      <c r="B1760" s="19" t="e">
        <f>VLOOKUP($A1760,Config!$B$6:$E$1862,2,FALSE)</f>
        <v>#N/A</v>
      </c>
      <c r="C1760" s="19" t="e">
        <f>VLOOKUP($A1760,Config!$B$6:$E$1862,3,FALSE)</f>
        <v>#N/A</v>
      </c>
      <c r="D1760" s="19" t="e">
        <f>VLOOKUP($A1760,Config!$B$6:$E$1862,4,FALSE)</f>
        <v>#N/A</v>
      </c>
    </row>
    <row r="1761" spans="1:4" x14ac:dyDescent="0.25">
      <c r="A1761" s="1">
        <v>540508</v>
      </c>
      <c r="B1761" s="19" t="e">
        <f>VLOOKUP($A1761,Config!$B$6:$E$1862,2,FALSE)</f>
        <v>#N/A</v>
      </c>
      <c r="C1761" s="19" t="e">
        <f>VLOOKUP($A1761,Config!$B$6:$E$1862,3,FALSE)</f>
        <v>#N/A</v>
      </c>
      <c r="D1761" s="19" t="e">
        <f>VLOOKUP($A1761,Config!$B$6:$E$1862,4,FALSE)</f>
        <v>#N/A</v>
      </c>
    </row>
    <row r="1762" spans="1:4" x14ac:dyDescent="0.25">
      <c r="A1762" s="1">
        <v>540509</v>
      </c>
      <c r="B1762" s="19" t="e">
        <f>VLOOKUP($A1762,Config!$B$6:$E$1862,2,FALSE)</f>
        <v>#N/A</v>
      </c>
      <c r="C1762" s="19" t="e">
        <f>VLOOKUP($A1762,Config!$B$6:$E$1862,3,FALSE)</f>
        <v>#N/A</v>
      </c>
      <c r="D1762" s="19" t="e">
        <f>VLOOKUP($A1762,Config!$B$6:$E$1862,4,FALSE)</f>
        <v>#N/A</v>
      </c>
    </row>
    <row r="1763" spans="1:4" x14ac:dyDescent="0.25">
      <c r="A1763" s="1">
        <v>540510</v>
      </c>
      <c r="B1763" s="19" t="e">
        <f>VLOOKUP($A1763,Config!$B$6:$E$1862,2,FALSE)</f>
        <v>#N/A</v>
      </c>
      <c r="C1763" s="19" t="e">
        <f>VLOOKUP($A1763,Config!$B$6:$E$1862,3,FALSE)</f>
        <v>#N/A</v>
      </c>
      <c r="D1763" s="19" t="e">
        <f>VLOOKUP($A1763,Config!$B$6:$E$1862,4,FALSE)</f>
        <v>#N/A</v>
      </c>
    </row>
    <row r="1764" spans="1:4" x14ac:dyDescent="0.25">
      <c r="A1764" s="1">
        <v>540512</v>
      </c>
      <c r="B1764" s="19" t="e">
        <f>VLOOKUP($A1764,Config!$B$6:$E$1862,2,FALSE)</f>
        <v>#N/A</v>
      </c>
      <c r="C1764" s="19" t="e">
        <f>VLOOKUP($A1764,Config!$B$6:$E$1862,3,FALSE)</f>
        <v>#N/A</v>
      </c>
      <c r="D1764" s="19" t="e">
        <f>VLOOKUP($A1764,Config!$B$6:$E$1862,4,FALSE)</f>
        <v>#N/A</v>
      </c>
    </row>
    <row r="1765" spans="1:4" x14ac:dyDescent="0.25">
      <c r="A1765" s="1">
        <v>540516</v>
      </c>
      <c r="B1765" s="19" t="e">
        <f>VLOOKUP($A1765,Config!$B$6:$E$1862,2,FALSE)</f>
        <v>#N/A</v>
      </c>
      <c r="C1765" s="19" t="e">
        <f>VLOOKUP($A1765,Config!$B$6:$E$1862,3,FALSE)</f>
        <v>#N/A</v>
      </c>
      <c r="D1765" s="19" t="e">
        <f>VLOOKUP($A1765,Config!$B$6:$E$1862,4,FALSE)</f>
        <v>#N/A</v>
      </c>
    </row>
    <row r="1766" spans="1:4" x14ac:dyDescent="0.25">
      <c r="A1766" s="1">
        <v>540517</v>
      </c>
      <c r="B1766" s="19" t="e">
        <f>VLOOKUP($A1766,Config!$B$6:$E$1862,2,FALSE)</f>
        <v>#N/A</v>
      </c>
      <c r="C1766" s="19" t="e">
        <f>VLOOKUP($A1766,Config!$B$6:$E$1862,3,FALSE)</f>
        <v>#N/A</v>
      </c>
      <c r="D1766" s="19" t="e">
        <f>VLOOKUP($A1766,Config!$B$6:$E$1862,4,FALSE)</f>
        <v>#N/A</v>
      </c>
    </row>
    <row r="1767" spans="1:4" x14ac:dyDescent="0.25">
      <c r="A1767" s="1">
        <v>540518</v>
      </c>
      <c r="B1767" s="19" t="e">
        <f>VLOOKUP($A1767,Config!$B$6:$E$1862,2,FALSE)</f>
        <v>#N/A</v>
      </c>
      <c r="C1767" s="19" t="e">
        <f>VLOOKUP($A1767,Config!$B$6:$E$1862,3,FALSE)</f>
        <v>#N/A</v>
      </c>
      <c r="D1767" s="19" t="e">
        <f>VLOOKUP($A1767,Config!$B$6:$E$1862,4,FALSE)</f>
        <v>#N/A</v>
      </c>
    </row>
    <row r="1768" spans="1:4" x14ac:dyDescent="0.25">
      <c r="A1768" s="1">
        <v>540519</v>
      </c>
      <c r="B1768" s="19" t="e">
        <f>VLOOKUP($A1768,Config!$B$6:$E$1862,2,FALSE)</f>
        <v>#N/A</v>
      </c>
      <c r="C1768" s="19" t="e">
        <f>VLOOKUP($A1768,Config!$B$6:$E$1862,3,FALSE)</f>
        <v>#N/A</v>
      </c>
      <c r="D1768" s="19" t="e">
        <f>VLOOKUP($A1768,Config!$B$6:$E$1862,4,FALSE)</f>
        <v>#N/A</v>
      </c>
    </row>
    <row r="1769" spans="1:4" x14ac:dyDescent="0.25">
      <c r="A1769" s="1">
        <v>540520</v>
      </c>
      <c r="B1769" s="19" t="e">
        <f>VLOOKUP($A1769,Config!$B$6:$E$1862,2,FALSE)</f>
        <v>#N/A</v>
      </c>
      <c r="C1769" s="19" t="e">
        <f>VLOOKUP($A1769,Config!$B$6:$E$1862,3,FALSE)</f>
        <v>#N/A</v>
      </c>
      <c r="D1769" s="19" t="e">
        <f>VLOOKUP($A1769,Config!$B$6:$E$1862,4,FALSE)</f>
        <v>#N/A</v>
      </c>
    </row>
    <row r="1770" spans="1:4" x14ac:dyDescent="0.25">
      <c r="A1770" s="1">
        <v>540521</v>
      </c>
      <c r="B1770" s="19" t="e">
        <f>VLOOKUP($A1770,Config!$B$6:$E$1862,2,FALSE)</f>
        <v>#N/A</v>
      </c>
      <c r="C1770" s="19" t="e">
        <f>VLOOKUP($A1770,Config!$B$6:$E$1862,3,FALSE)</f>
        <v>#N/A</v>
      </c>
      <c r="D1770" s="19" t="e">
        <f>VLOOKUP($A1770,Config!$B$6:$E$1862,4,FALSE)</f>
        <v>#N/A</v>
      </c>
    </row>
    <row r="1771" spans="1:4" x14ac:dyDescent="0.25">
      <c r="A1771" s="1">
        <v>540522</v>
      </c>
      <c r="B1771" s="19" t="e">
        <f>VLOOKUP($A1771,Config!$B$6:$E$1862,2,FALSE)</f>
        <v>#N/A</v>
      </c>
      <c r="C1771" s="19" t="e">
        <f>VLOOKUP($A1771,Config!$B$6:$E$1862,3,FALSE)</f>
        <v>#N/A</v>
      </c>
      <c r="D1771" s="19" t="e">
        <f>VLOOKUP($A1771,Config!$B$6:$E$1862,4,FALSE)</f>
        <v>#N/A</v>
      </c>
    </row>
    <row r="1772" spans="1:4" x14ac:dyDescent="0.25">
      <c r="A1772" s="1">
        <v>540523</v>
      </c>
      <c r="B1772" s="19" t="e">
        <f>VLOOKUP($A1772,Config!$B$6:$E$1862,2,FALSE)</f>
        <v>#N/A</v>
      </c>
      <c r="C1772" s="19" t="e">
        <f>VLOOKUP($A1772,Config!$B$6:$E$1862,3,FALSE)</f>
        <v>#N/A</v>
      </c>
      <c r="D1772" s="19" t="e">
        <f>VLOOKUP($A1772,Config!$B$6:$E$1862,4,FALSE)</f>
        <v>#N/A</v>
      </c>
    </row>
    <row r="1773" spans="1:4" x14ac:dyDescent="0.25">
      <c r="A1773" s="1">
        <v>540524</v>
      </c>
      <c r="B1773" s="19" t="e">
        <f>VLOOKUP($A1773,Config!$B$6:$E$1862,2,FALSE)</f>
        <v>#N/A</v>
      </c>
      <c r="C1773" s="19" t="e">
        <f>VLOOKUP($A1773,Config!$B$6:$E$1862,3,FALSE)</f>
        <v>#N/A</v>
      </c>
      <c r="D1773" s="19" t="e">
        <f>VLOOKUP($A1773,Config!$B$6:$E$1862,4,FALSE)</f>
        <v>#N/A</v>
      </c>
    </row>
    <row r="1774" spans="1:4" x14ac:dyDescent="0.25">
      <c r="A1774" s="1">
        <v>540525</v>
      </c>
      <c r="B1774" s="19" t="e">
        <f>VLOOKUP($A1774,Config!$B$6:$E$1862,2,FALSE)</f>
        <v>#N/A</v>
      </c>
      <c r="C1774" s="19" t="e">
        <f>VLOOKUP($A1774,Config!$B$6:$E$1862,3,FALSE)</f>
        <v>#N/A</v>
      </c>
      <c r="D1774" s="19" t="e">
        <f>VLOOKUP($A1774,Config!$B$6:$E$1862,4,FALSE)</f>
        <v>#N/A</v>
      </c>
    </row>
    <row r="1775" spans="1:4" x14ac:dyDescent="0.25">
      <c r="A1775" s="1">
        <v>540526</v>
      </c>
      <c r="B1775" s="19" t="e">
        <f>VLOOKUP($A1775,Config!$B$6:$E$1862,2,FALSE)</f>
        <v>#N/A</v>
      </c>
      <c r="C1775" s="19" t="e">
        <f>VLOOKUP($A1775,Config!$B$6:$E$1862,3,FALSE)</f>
        <v>#N/A</v>
      </c>
      <c r="D1775" s="19" t="e">
        <f>VLOOKUP($A1775,Config!$B$6:$E$1862,4,FALSE)</f>
        <v>#N/A</v>
      </c>
    </row>
    <row r="1776" spans="1:4" x14ac:dyDescent="0.25">
      <c r="A1776" s="1">
        <v>540527</v>
      </c>
      <c r="B1776" s="19" t="e">
        <f>VLOOKUP($A1776,Config!$B$6:$E$1862,2,FALSE)</f>
        <v>#N/A</v>
      </c>
      <c r="C1776" s="19" t="e">
        <f>VLOOKUP($A1776,Config!$B$6:$E$1862,3,FALSE)</f>
        <v>#N/A</v>
      </c>
      <c r="D1776" s="19" t="e">
        <f>VLOOKUP($A1776,Config!$B$6:$E$1862,4,FALSE)</f>
        <v>#N/A</v>
      </c>
    </row>
    <row r="1777" spans="1:4" x14ac:dyDescent="0.25">
      <c r="A1777" s="1">
        <v>540528</v>
      </c>
      <c r="B1777" s="19" t="e">
        <f>VLOOKUP($A1777,Config!$B$6:$E$1862,2,FALSE)</f>
        <v>#N/A</v>
      </c>
      <c r="C1777" s="19" t="e">
        <f>VLOOKUP($A1777,Config!$B$6:$E$1862,3,FALSE)</f>
        <v>#N/A</v>
      </c>
      <c r="D1777" s="19" t="e">
        <f>VLOOKUP($A1777,Config!$B$6:$E$1862,4,FALSE)</f>
        <v>#N/A</v>
      </c>
    </row>
    <row r="1778" spans="1:4" x14ac:dyDescent="0.25">
      <c r="A1778" s="1">
        <v>540529</v>
      </c>
      <c r="B1778" s="19" t="e">
        <f>VLOOKUP($A1778,Config!$B$6:$E$1862,2,FALSE)</f>
        <v>#N/A</v>
      </c>
      <c r="C1778" s="19" t="e">
        <f>VLOOKUP($A1778,Config!$B$6:$E$1862,3,FALSE)</f>
        <v>#N/A</v>
      </c>
      <c r="D1778" s="19" t="e">
        <f>VLOOKUP($A1778,Config!$B$6:$E$1862,4,FALSE)</f>
        <v>#N/A</v>
      </c>
    </row>
    <row r="1779" spans="1:4" x14ac:dyDescent="0.25">
      <c r="A1779" s="1">
        <v>540532</v>
      </c>
      <c r="B1779" s="19" t="e">
        <f>VLOOKUP($A1779,Config!$B$6:$E$1862,2,FALSE)</f>
        <v>#N/A</v>
      </c>
      <c r="C1779" s="19" t="e">
        <f>VLOOKUP($A1779,Config!$B$6:$E$1862,3,FALSE)</f>
        <v>#N/A</v>
      </c>
      <c r="D1779" s="19" t="e">
        <f>VLOOKUP($A1779,Config!$B$6:$E$1862,4,FALSE)</f>
        <v>#N/A</v>
      </c>
    </row>
    <row r="1780" spans="1:4" x14ac:dyDescent="0.25">
      <c r="A1780" s="1">
        <v>540533</v>
      </c>
      <c r="B1780" s="19" t="e">
        <f>VLOOKUP($A1780,Config!$B$6:$E$1862,2,FALSE)</f>
        <v>#N/A</v>
      </c>
      <c r="C1780" s="19" t="e">
        <f>VLOOKUP($A1780,Config!$B$6:$E$1862,3,FALSE)</f>
        <v>#N/A</v>
      </c>
      <c r="D1780" s="19" t="e">
        <f>VLOOKUP($A1780,Config!$B$6:$E$1862,4,FALSE)</f>
        <v>#N/A</v>
      </c>
    </row>
    <row r="1781" spans="1:4" x14ac:dyDescent="0.25">
      <c r="A1781" s="1">
        <v>540534</v>
      </c>
      <c r="B1781" s="19" t="e">
        <f>VLOOKUP($A1781,Config!$B$6:$E$1862,2,FALSE)</f>
        <v>#N/A</v>
      </c>
      <c r="C1781" s="19" t="e">
        <f>VLOOKUP($A1781,Config!$B$6:$E$1862,3,FALSE)</f>
        <v>#N/A</v>
      </c>
      <c r="D1781" s="19" t="e">
        <f>VLOOKUP($A1781,Config!$B$6:$E$1862,4,FALSE)</f>
        <v>#N/A</v>
      </c>
    </row>
    <row r="1782" spans="1:4" x14ac:dyDescent="0.25">
      <c r="A1782" s="1">
        <v>540536</v>
      </c>
      <c r="B1782" s="19" t="e">
        <f>VLOOKUP($A1782,Config!$B$6:$E$1862,2,FALSE)</f>
        <v>#N/A</v>
      </c>
      <c r="C1782" s="19" t="e">
        <f>VLOOKUP($A1782,Config!$B$6:$E$1862,3,FALSE)</f>
        <v>#N/A</v>
      </c>
      <c r="D1782" s="19" t="e">
        <f>VLOOKUP($A1782,Config!$B$6:$E$1862,4,FALSE)</f>
        <v>#N/A</v>
      </c>
    </row>
    <row r="1783" spans="1:4" x14ac:dyDescent="0.25">
      <c r="A1783" s="1">
        <v>540537</v>
      </c>
      <c r="B1783" s="19" t="e">
        <f>VLOOKUP($A1783,Config!$B$6:$E$1862,2,FALSE)</f>
        <v>#N/A</v>
      </c>
      <c r="C1783" s="19" t="e">
        <f>VLOOKUP($A1783,Config!$B$6:$E$1862,3,FALSE)</f>
        <v>#N/A</v>
      </c>
      <c r="D1783" s="19" t="e">
        <f>VLOOKUP($A1783,Config!$B$6:$E$1862,4,FALSE)</f>
        <v>#N/A</v>
      </c>
    </row>
    <row r="1784" spans="1:4" x14ac:dyDescent="0.25">
      <c r="A1784" s="1">
        <v>540538</v>
      </c>
      <c r="B1784" s="19" t="e">
        <f>VLOOKUP($A1784,Config!$B$6:$E$1862,2,FALSE)</f>
        <v>#N/A</v>
      </c>
      <c r="C1784" s="19" t="e">
        <f>VLOOKUP($A1784,Config!$B$6:$E$1862,3,FALSE)</f>
        <v>#N/A</v>
      </c>
      <c r="D1784" s="19" t="e">
        <f>VLOOKUP($A1784,Config!$B$6:$E$1862,4,FALSE)</f>
        <v>#N/A</v>
      </c>
    </row>
    <row r="1785" spans="1:4" x14ac:dyDescent="0.25">
      <c r="A1785" s="1">
        <v>540539</v>
      </c>
      <c r="B1785" s="19" t="e">
        <f>VLOOKUP($A1785,Config!$B$6:$E$1862,2,FALSE)</f>
        <v>#N/A</v>
      </c>
      <c r="C1785" s="19" t="e">
        <f>VLOOKUP($A1785,Config!$B$6:$E$1862,3,FALSE)</f>
        <v>#N/A</v>
      </c>
      <c r="D1785" s="19" t="e">
        <f>VLOOKUP($A1785,Config!$B$6:$E$1862,4,FALSE)</f>
        <v>#N/A</v>
      </c>
    </row>
    <row r="1786" spans="1:4" x14ac:dyDescent="0.25">
      <c r="A1786" s="1">
        <v>540540</v>
      </c>
      <c r="B1786" s="19" t="e">
        <f>VLOOKUP($A1786,Config!$B$6:$E$1862,2,FALSE)</f>
        <v>#N/A</v>
      </c>
      <c r="C1786" s="19" t="e">
        <f>VLOOKUP($A1786,Config!$B$6:$E$1862,3,FALSE)</f>
        <v>#N/A</v>
      </c>
      <c r="D1786" s="19" t="e">
        <f>VLOOKUP($A1786,Config!$B$6:$E$1862,4,FALSE)</f>
        <v>#N/A</v>
      </c>
    </row>
    <row r="1787" spans="1:4" x14ac:dyDescent="0.25">
      <c r="A1787" s="1">
        <v>540541</v>
      </c>
      <c r="B1787" s="19" t="e">
        <f>VLOOKUP($A1787,Config!$B$6:$E$1862,2,FALSE)</f>
        <v>#N/A</v>
      </c>
      <c r="C1787" s="19" t="e">
        <f>VLOOKUP($A1787,Config!$B$6:$E$1862,3,FALSE)</f>
        <v>#N/A</v>
      </c>
      <c r="D1787" s="19" t="e">
        <f>VLOOKUP($A1787,Config!$B$6:$E$1862,4,FALSE)</f>
        <v>#N/A</v>
      </c>
    </row>
    <row r="1788" spans="1:4" x14ac:dyDescent="0.25">
      <c r="A1788" s="1">
        <v>540542</v>
      </c>
      <c r="B1788" s="19" t="e">
        <f>VLOOKUP($A1788,Config!$B$6:$E$1862,2,FALSE)</f>
        <v>#N/A</v>
      </c>
      <c r="C1788" s="19" t="e">
        <f>VLOOKUP($A1788,Config!$B$6:$E$1862,3,FALSE)</f>
        <v>#N/A</v>
      </c>
      <c r="D1788" s="19" t="e">
        <f>VLOOKUP($A1788,Config!$B$6:$E$1862,4,FALSE)</f>
        <v>#N/A</v>
      </c>
    </row>
    <row r="1789" spans="1:4" x14ac:dyDescent="0.25">
      <c r="A1789" s="1">
        <v>540543</v>
      </c>
      <c r="B1789" s="19" t="e">
        <f>VLOOKUP($A1789,Config!$B$6:$E$1862,2,FALSE)</f>
        <v>#N/A</v>
      </c>
      <c r="C1789" s="19" t="e">
        <f>VLOOKUP($A1789,Config!$B$6:$E$1862,3,FALSE)</f>
        <v>#N/A</v>
      </c>
      <c r="D1789" s="19" t="e">
        <f>VLOOKUP($A1789,Config!$B$6:$E$1862,4,FALSE)</f>
        <v>#N/A</v>
      </c>
    </row>
    <row r="1790" spans="1:4" x14ac:dyDescent="0.25">
      <c r="A1790" s="1">
        <v>540545</v>
      </c>
      <c r="B1790" s="19" t="e">
        <f>VLOOKUP($A1790,Config!$B$6:$E$1862,2,FALSE)</f>
        <v>#N/A</v>
      </c>
      <c r="C1790" s="19" t="e">
        <f>VLOOKUP($A1790,Config!$B$6:$E$1862,3,FALSE)</f>
        <v>#N/A</v>
      </c>
      <c r="D1790" s="19" t="e">
        <f>VLOOKUP($A1790,Config!$B$6:$E$1862,4,FALSE)</f>
        <v>#N/A</v>
      </c>
    </row>
    <row r="1791" spans="1:4" x14ac:dyDescent="0.25">
      <c r="A1791" s="1">
        <v>540546</v>
      </c>
      <c r="B1791" s="19" t="e">
        <f>VLOOKUP($A1791,Config!$B$6:$E$1862,2,FALSE)</f>
        <v>#N/A</v>
      </c>
      <c r="C1791" s="19" t="e">
        <f>VLOOKUP($A1791,Config!$B$6:$E$1862,3,FALSE)</f>
        <v>#N/A</v>
      </c>
      <c r="D1791" s="19" t="e">
        <f>VLOOKUP($A1791,Config!$B$6:$E$1862,4,FALSE)</f>
        <v>#N/A</v>
      </c>
    </row>
    <row r="1792" spans="1:4" x14ac:dyDescent="0.25">
      <c r="A1792" s="1">
        <v>540547</v>
      </c>
      <c r="B1792" s="19" t="e">
        <f>VLOOKUP($A1792,Config!$B$6:$E$1862,2,FALSE)</f>
        <v>#N/A</v>
      </c>
      <c r="C1792" s="19" t="e">
        <f>VLOOKUP($A1792,Config!$B$6:$E$1862,3,FALSE)</f>
        <v>#N/A</v>
      </c>
      <c r="D1792" s="19" t="e">
        <f>VLOOKUP($A1792,Config!$B$6:$E$1862,4,FALSE)</f>
        <v>#N/A</v>
      </c>
    </row>
    <row r="1793" spans="1:4" x14ac:dyDescent="0.25">
      <c r="A1793" s="1">
        <v>540549</v>
      </c>
      <c r="B1793" s="19" t="e">
        <f>VLOOKUP($A1793,Config!$B$6:$E$1862,2,FALSE)</f>
        <v>#N/A</v>
      </c>
      <c r="C1793" s="19" t="e">
        <f>VLOOKUP($A1793,Config!$B$6:$E$1862,3,FALSE)</f>
        <v>#N/A</v>
      </c>
      <c r="D1793" s="19" t="e">
        <f>VLOOKUP($A1793,Config!$B$6:$E$1862,4,FALSE)</f>
        <v>#N/A</v>
      </c>
    </row>
    <row r="1794" spans="1:4" x14ac:dyDescent="0.25">
      <c r="A1794" s="1">
        <v>540551</v>
      </c>
      <c r="B1794" s="19" t="e">
        <f>VLOOKUP($A1794,Config!$B$6:$E$1862,2,FALSE)</f>
        <v>#N/A</v>
      </c>
      <c r="C1794" s="19" t="e">
        <f>VLOOKUP($A1794,Config!$B$6:$E$1862,3,FALSE)</f>
        <v>#N/A</v>
      </c>
      <c r="D1794" s="19" t="e">
        <f>VLOOKUP($A1794,Config!$B$6:$E$1862,4,FALSE)</f>
        <v>#N/A</v>
      </c>
    </row>
    <row r="1795" spans="1:4" x14ac:dyDescent="0.25">
      <c r="A1795" s="1">
        <v>540552</v>
      </c>
      <c r="B1795" s="19" t="e">
        <f>VLOOKUP($A1795,Config!$B$6:$E$1862,2,FALSE)</f>
        <v>#N/A</v>
      </c>
      <c r="C1795" s="19" t="e">
        <f>VLOOKUP($A1795,Config!$B$6:$E$1862,3,FALSE)</f>
        <v>#N/A</v>
      </c>
      <c r="D1795" s="19" t="e">
        <f>VLOOKUP($A1795,Config!$B$6:$E$1862,4,FALSE)</f>
        <v>#N/A</v>
      </c>
    </row>
    <row r="1796" spans="1:4" x14ac:dyDescent="0.25">
      <c r="A1796" s="1">
        <v>540553</v>
      </c>
      <c r="B1796" s="19" t="e">
        <f>VLOOKUP($A1796,Config!$B$6:$E$1862,2,FALSE)</f>
        <v>#N/A</v>
      </c>
      <c r="C1796" s="19" t="e">
        <f>VLOOKUP($A1796,Config!$B$6:$E$1862,3,FALSE)</f>
        <v>#N/A</v>
      </c>
      <c r="D1796" s="19" t="e">
        <f>VLOOKUP($A1796,Config!$B$6:$E$1862,4,FALSE)</f>
        <v>#N/A</v>
      </c>
    </row>
    <row r="1797" spans="1:4" x14ac:dyDescent="0.25">
      <c r="A1797" s="1">
        <v>540554</v>
      </c>
      <c r="B1797" s="19" t="e">
        <f>VLOOKUP($A1797,Config!$B$6:$E$1862,2,FALSE)</f>
        <v>#N/A</v>
      </c>
      <c r="C1797" s="19" t="e">
        <f>VLOOKUP($A1797,Config!$B$6:$E$1862,3,FALSE)</f>
        <v>#N/A</v>
      </c>
      <c r="D1797" s="19" t="e">
        <f>VLOOKUP($A1797,Config!$B$6:$E$1862,4,FALSE)</f>
        <v>#N/A</v>
      </c>
    </row>
    <row r="1798" spans="1:4" x14ac:dyDescent="0.25">
      <c r="A1798" s="1">
        <v>540563</v>
      </c>
      <c r="B1798" s="19" t="e">
        <f>VLOOKUP($A1798,Config!$B$6:$E$1862,2,FALSE)</f>
        <v>#N/A</v>
      </c>
      <c r="C1798" s="19" t="e">
        <f>VLOOKUP($A1798,Config!$B$6:$E$1862,3,FALSE)</f>
        <v>#N/A</v>
      </c>
      <c r="D1798" s="19" t="e">
        <f>VLOOKUP($A1798,Config!$B$6:$E$1862,4,FALSE)</f>
        <v>#N/A</v>
      </c>
    </row>
    <row r="1799" spans="1:4" x14ac:dyDescent="0.25">
      <c r="A1799" s="1">
        <v>540597</v>
      </c>
      <c r="B1799" s="19" t="e">
        <f>VLOOKUP($A1799,Config!$B$6:$E$1862,2,FALSE)</f>
        <v>#N/A</v>
      </c>
      <c r="C1799" s="19" t="e">
        <f>VLOOKUP($A1799,Config!$B$6:$E$1862,3,FALSE)</f>
        <v>#N/A</v>
      </c>
      <c r="D1799" s="19" t="e">
        <f>VLOOKUP($A1799,Config!$B$6:$E$1862,4,FALSE)</f>
        <v>#N/A</v>
      </c>
    </row>
    <row r="1800" spans="1:4" x14ac:dyDescent="0.25">
      <c r="A1800" s="1">
        <v>541001</v>
      </c>
      <c r="B1800" s="19" t="e">
        <f>VLOOKUP($A1800,Config!$B$6:$E$1862,2,FALSE)</f>
        <v>#N/A</v>
      </c>
      <c r="C1800" s="19" t="e">
        <f>VLOOKUP($A1800,Config!$B$6:$E$1862,3,FALSE)</f>
        <v>#N/A</v>
      </c>
      <c r="D1800" s="19" t="e">
        <f>VLOOKUP($A1800,Config!$B$6:$E$1862,4,FALSE)</f>
        <v>#N/A</v>
      </c>
    </row>
    <row r="1801" spans="1:4" x14ac:dyDescent="0.25">
      <c r="A1801" s="1">
        <v>541002</v>
      </c>
      <c r="B1801" s="19" t="e">
        <f>VLOOKUP($A1801,Config!$B$6:$E$1862,2,FALSE)</f>
        <v>#N/A</v>
      </c>
      <c r="C1801" s="19" t="e">
        <f>VLOOKUP($A1801,Config!$B$6:$E$1862,3,FALSE)</f>
        <v>#N/A</v>
      </c>
      <c r="D1801" s="19" t="e">
        <f>VLOOKUP($A1801,Config!$B$6:$E$1862,4,FALSE)</f>
        <v>#N/A</v>
      </c>
    </row>
    <row r="1802" spans="1:4" x14ac:dyDescent="0.25">
      <c r="A1802" s="1">
        <v>541003</v>
      </c>
      <c r="B1802" s="19" t="e">
        <f>VLOOKUP($A1802,Config!$B$6:$E$1862,2,FALSE)</f>
        <v>#N/A</v>
      </c>
      <c r="C1802" s="19" t="e">
        <f>VLOOKUP($A1802,Config!$B$6:$E$1862,3,FALSE)</f>
        <v>#N/A</v>
      </c>
      <c r="D1802" s="19" t="e">
        <f>VLOOKUP($A1802,Config!$B$6:$E$1862,4,FALSE)</f>
        <v>#N/A</v>
      </c>
    </row>
    <row r="1803" spans="1:4" x14ac:dyDescent="0.25">
      <c r="A1803" s="1">
        <v>541004</v>
      </c>
      <c r="B1803" s="19" t="e">
        <f>VLOOKUP($A1803,Config!$B$6:$E$1862,2,FALSE)</f>
        <v>#N/A</v>
      </c>
      <c r="C1803" s="19" t="e">
        <f>VLOOKUP($A1803,Config!$B$6:$E$1862,3,FALSE)</f>
        <v>#N/A</v>
      </c>
      <c r="D1803" s="19" t="e">
        <f>VLOOKUP($A1803,Config!$B$6:$E$1862,4,FALSE)</f>
        <v>#N/A</v>
      </c>
    </row>
    <row r="1804" spans="1:4" x14ac:dyDescent="0.25">
      <c r="A1804" s="1">
        <v>541005</v>
      </c>
      <c r="B1804" s="19" t="e">
        <f>VLOOKUP($A1804,Config!$B$6:$E$1862,2,FALSE)</f>
        <v>#N/A</v>
      </c>
      <c r="C1804" s="19" t="e">
        <f>VLOOKUP($A1804,Config!$B$6:$E$1862,3,FALSE)</f>
        <v>#N/A</v>
      </c>
      <c r="D1804" s="19" t="e">
        <f>VLOOKUP($A1804,Config!$B$6:$E$1862,4,FALSE)</f>
        <v>#N/A</v>
      </c>
    </row>
    <row r="1805" spans="1:4" x14ac:dyDescent="0.25">
      <c r="A1805" s="1">
        <v>541006</v>
      </c>
      <c r="B1805" s="19" t="e">
        <f>VLOOKUP($A1805,Config!$B$6:$E$1862,2,FALSE)</f>
        <v>#N/A</v>
      </c>
      <c r="C1805" s="19" t="e">
        <f>VLOOKUP($A1805,Config!$B$6:$E$1862,3,FALSE)</f>
        <v>#N/A</v>
      </c>
      <c r="D1805" s="19" t="e">
        <f>VLOOKUP($A1805,Config!$B$6:$E$1862,4,FALSE)</f>
        <v>#N/A</v>
      </c>
    </row>
    <row r="1806" spans="1:4" x14ac:dyDescent="0.25">
      <c r="A1806" s="1">
        <v>541007</v>
      </c>
      <c r="B1806" s="19" t="e">
        <f>VLOOKUP($A1806,Config!$B$6:$E$1862,2,FALSE)</f>
        <v>#N/A</v>
      </c>
      <c r="C1806" s="19" t="e">
        <f>VLOOKUP($A1806,Config!$B$6:$E$1862,3,FALSE)</f>
        <v>#N/A</v>
      </c>
      <c r="D1806" s="19" t="e">
        <f>VLOOKUP($A1806,Config!$B$6:$E$1862,4,FALSE)</f>
        <v>#N/A</v>
      </c>
    </row>
    <row r="1807" spans="1:4" x14ac:dyDescent="0.25">
      <c r="A1807" s="1">
        <v>541008</v>
      </c>
      <c r="B1807" s="19" t="e">
        <f>VLOOKUP($A1807,Config!$B$6:$E$1862,2,FALSE)</f>
        <v>#N/A</v>
      </c>
      <c r="C1807" s="19" t="e">
        <f>VLOOKUP($A1807,Config!$B$6:$E$1862,3,FALSE)</f>
        <v>#N/A</v>
      </c>
      <c r="D1807" s="19" t="e">
        <f>VLOOKUP($A1807,Config!$B$6:$E$1862,4,FALSE)</f>
        <v>#N/A</v>
      </c>
    </row>
    <row r="1808" spans="1:4" x14ac:dyDescent="0.25">
      <c r="A1808" s="1">
        <v>541009</v>
      </c>
      <c r="B1808" s="19" t="e">
        <f>VLOOKUP($A1808,Config!$B$6:$E$1862,2,FALSE)</f>
        <v>#N/A</v>
      </c>
      <c r="C1808" s="19" t="e">
        <f>VLOOKUP($A1808,Config!$B$6:$E$1862,3,FALSE)</f>
        <v>#N/A</v>
      </c>
      <c r="D1808" s="19" t="e">
        <f>VLOOKUP($A1808,Config!$B$6:$E$1862,4,FALSE)</f>
        <v>#N/A</v>
      </c>
    </row>
    <row r="1809" spans="1:4" x14ac:dyDescent="0.25">
      <c r="A1809" s="1">
        <v>541010</v>
      </c>
      <c r="B1809" s="19" t="e">
        <f>VLOOKUP($A1809,Config!$B$6:$E$1862,2,FALSE)</f>
        <v>#N/A</v>
      </c>
      <c r="C1809" s="19" t="e">
        <f>VLOOKUP($A1809,Config!$B$6:$E$1862,3,FALSE)</f>
        <v>#N/A</v>
      </c>
      <c r="D1809" s="19" t="e">
        <f>VLOOKUP($A1809,Config!$B$6:$E$1862,4,FALSE)</f>
        <v>#N/A</v>
      </c>
    </row>
    <row r="1810" spans="1:4" x14ac:dyDescent="0.25">
      <c r="A1810" s="1">
        <v>541011</v>
      </c>
      <c r="B1810" s="19" t="e">
        <f>VLOOKUP($A1810,Config!$B$6:$E$1862,2,FALSE)</f>
        <v>#N/A</v>
      </c>
      <c r="C1810" s="19" t="e">
        <f>VLOOKUP($A1810,Config!$B$6:$E$1862,3,FALSE)</f>
        <v>#N/A</v>
      </c>
      <c r="D1810" s="19" t="e">
        <f>VLOOKUP($A1810,Config!$B$6:$E$1862,4,FALSE)</f>
        <v>#N/A</v>
      </c>
    </row>
    <row r="1811" spans="1:4" x14ac:dyDescent="0.25">
      <c r="A1811" s="1">
        <v>541012</v>
      </c>
      <c r="B1811" s="19" t="e">
        <f>VLOOKUP($A1811,Config!$B$6:$E$1862,2,FALSE)</f>
        <v>#N/A</v>
      </c>
      <c r="C1811" s="19" t="e">
        <f>VLOOKUP($A1811,Config!$B$6:$E$1862,3,FALSE)</f>
        <v>#N/A</v>
      </c>
      <c r="D1811" s="19" t="e">
        <f>VLOOKUP($A1811,Config!$B$6:$E$1862,4,FALSE)</f>
        <v>#N/A</v>
      </c>
    </row>
    <row r="1812" spans="1:4" x14ac:dyDescent="0.25">
      <c r="A1812" s="1">
        <v>541013</v>
      </c>
      <c r="B1812" s="19" t="e">
        <f>VLOOKUP($A1812,Config!$B$6:$E$1862,2,FALSE)</f>
        <v>#N/A</v>
      </c>
      <c r="C1812" s="19" t="e">
        <f>VLOOKUP($A1812,Config!$B$6:$E$1862,3,FALSE)</f>
        <v>#N/A</v>
      </c>
      <c r="D1812" s="19" t="e">
        <f>VLOOKUP($A1812,Config!$B$6:$E$1862,4,FALSE)</f>
        <v>#N/A</v>
      </c>
    </row>
    <row r="1813" spans="1:4" x14ac:dyDescent="0.25">
      <c r="A1813" s="1">
        <v>541014</v>
      </c>
      <c r="B1813" s="19" t="e">
        <f>VLOOKUP($A1813,Config!$B$6:$E$1862,2,FALSE)</f>
        <v>#N/A</v>
      </c>
      <c r="C1813" s="19" t="e">
        <f>VLOOKUP($A1813,Config!$B$6:$E$1862,3,FALSE)</f>
        <v>#N/A</v>
      </c>
      <c r="D1813" s="19" t="e">
        <f>VLOOKUP($A1813,Config!$B$6:$E$1862,4,FALSE)</f>
        <v>#N/A</v>
      </c>
    </row>
    <row r="1814" spans="1:4" x14ac:dyDescent="0.25">
      <c r="A1814" s="1">
        <v>541015</v>
      </c>
      <c r="B1814" s="19" t="e">
        <f>VLOOKUP($A1814,Config!$B$6:$E$1862,2,FALSE)</f>
        <v>#N/A</v>
      </c>
      <c r="C1814" s="19" t="e">
        <f>VLOOKUP($A1814,Config!$B$6:$E$1862,3,FALSE)</f>
        <v>#N/A</v>
      </c>
      <c r="D1814" s="19" t="e">
        <f>VLOOKUP($A1814,Config!$B$6:$E$1862,4,FALSE)</f>
        <v>#N/A</v>
      </c>
    </row>
    <row r="1815" spans="1:4" x14ac:dyDescent="0.25">
      <c r="A1815" s="1">
        <v>541028</v>
      </c>
      <c r="B1815" s="19" t="e">
        <f>VLOOKUP($A1815,Config!$B$6:$E$1862,2,FALSE)</f>
        <v>#N/A</v>
      </c>
      <c r="C1815" s="19" t="e">
        <f>VLOOKUP($A1815,Config!$B$6:$E$1862,3,FALSE)</f>
        <v>#N/A</v>
      </c>
      <c r="D1815" s="19" t="e">
        <f>VLOOKUP($A1815,Config!$B$6:$E$1862,4,FALSE)</f>
        <v>#N/A</v>
      </c>
    </row>
    <row r="1816" spans="1:4" x14ac:dyDescent="0.25">
      <c r="A1816" s="1">
        <v>541031</v>
      </c>
      <c r="B1816" s="19" t="e">
        <f>VLOOKUP($A1816,Config!$B$6:$E$1862,2,FALSE)</f>
        <v>#N/A</v>
      </c>
      <c r="C1816" s="19" t="e">
        <f>VLOOKUP($A1816,Config!$B$6:$E$1862,3,FALSE)</f>
        <v>#N/A</v>
      </c>
      <c r="D1816" s="19" t="e">
        <f>VLOOKUP($A1816,Config!$B$6:$E$1862,4,FALSE)</f>
        <v>#N/A</v>
      </c>
    </row>
    <row r="1817" spans="1:4" x14ac:dyDescent="0.25">
      <c r="A1817" s="1">
        <v>541033</v>
      </c>
      <c r="B1817" s="19" t="e">
        <f>VLOOKUP($A1817,Config!$B$6:$E$1862,2,FALSE)</f>
        <v>#N/A</v>
      </c>
      <c r="C1817" s="19" t="e">
        <f>VLOOKUP($A1817,Config!$B$6:$E$1862,3,FALSE)</f>
        <v>#N/A</v>
      </c>
      <c r="D1817" s="19" t="e">
        <f>VLOOKUP($A1817,Config!$B$6:$E$1862,4,FALSE)</f>
        <v>#N/A</v>
      </c>
    </row>
    <row r="1818" spans="1:4" x14ac:dyDescent="0.25">
      <c r="A1818" s="1">
        <v>541034</v>
      </c>
      <c r="B1818" s="19" t="e">
        <f>VLOOKUP($A1818,Config!$B$6:$E$1862,2,FALSE)</f>
        <v>#N/A</v>
      </c>
      <c r="C1818" s="19" t="e">
        <f>VLOOKUP($A1818,Config!$B$6:$E$1862,3,FALSE)</f>
        <v>#N/A</v>
      </c>
      <c r="D1818" s="19" t="e">
        <f>VLOOKUP($A1818,Config!$B$6:$E$1862,4,FALSE)</f>
        <v>#N/A</v>
      </c>
    </row>
    <row r="1819" spans="1:4" x14ac:dyDescent="0.25">
      <c r="A1819" s="1">
        <v>541035</v>
      </c>
      <c r="B1819" s="19" t="e">
        <f>VLOOKUP($A1819,Config!$B$6:$E$1862,2,FALSE)</f>
        <v>#N/A</v>
      </c>
      <c r="C1819" s="19" t="e">
        <f>VLOOKUP($A1819,Config!$B$6:$E$1862,3,FALSE)</f>
        <v>#N/A</v>
      </c>
      <c r="D1819" s="19" t="e">
        <f>VLOOKUP($A1819,Config!$B$6:$E$1862,4,FALSE)</f>
        <v>#N/A</v>
      </c>
    </row>
    <row r="1820" spans="1:4" x14ac:dyDescent="0.25">
      <c r="A1820" s="1">
        <v>541038</v>
      </c>
      <c r="B1820" s="19" t="e">
        <f>VLOOKUP($A1820,Config!$B$6:$E$1862,2,FALSE)</f>
        <v>#N/A</v>
      </c>
      <c r="C1820" s="19" t="e">
        <f>VLOOKUP($A1820,Config!$B$6:$E$1862,3,FALSE)</f>
        <v>#N/A</v>
      </c>
      <c r="D1820" s="19" t="e">
        <f>VLOOKUP($A1820,Config!$B$6:$E$1862,4,FALSE)</f>
        <v>#N/A</v>
      </c>
    </row>
    <row r="1821" spans="1:4" x14ac:dyDescent="0.25">
      <c r="A1821" s="1">
        <v>541041</v>
      </c>
      <c r="B1821" s="19" t="e">
        <f>VLOOKUP($A1821,Config!$B$6:$E$1862,2,FALSE)</f>
        <v>#N/A</v>
      </c>
      <c r="C1821" s="19" t="e">
        <f>VLOOKUP($A1821,Config!$B$6:$E$1862,3,FALSE)</f>
        <v>#N/A</v>
      </c>
      <c r="D1821" s="19" t="e">
        <f>VLOOKUP($A1821,Config!$B$6:$E$1862,4,FALSE)</f>
        <v>#N/A</v>
      </c>
    </row>
    <row r="1822" spans="1:4" x14ac:dyDescent="0.25">
      <c r="A1822" s="1">
        <v>541042</v>
      </c>
      <c r="B1822" s="19" t="e">
        <f>VLOOKUP($A1822,Config!$B$6:$E$1862,2,FALSE)</f>
        <v>#N/A</v>
      </c>
      <c r="C1822" s="19" t="e">
        <f>VLOOKUP($A1822,Config!$B$6:$E$1862,3,FALSE)</f>
        <v>#N/A</v>
      </c>
      <c r="D1822" s="19" t="e">
        <f>VLOOKUP($A1822,Config!$B$6:$E$1862,4,FALSE)</f>
        <v>#N/A</v>
      </c>
    </row>
    <row r="1823" spans="1:4" x14ac:dyDescent="0.25">
      <c r="A1823" s="1">
        <v>541043</v>
      </c>
      <c r="B1823" s="19" t="e">
        <f>VLOOKUP($A1823,Config!$B$6:$E$1862,2,FALSE)</f>
        <v>#N/A</v>
      </c>
      <c r="C1823" s="19" t="e">
        <f>VLOOKUP($A1823,Config!$B$6:$E$1862,3,FALSE)</f>
        <v>#N/A</v>
      </c>
      <c r="D1823" s="19" t="e">
        <f>VLOOKUP($A1823,Config!$B$6:$E$1862,4,FALSE)</f>
        <v>#N/A</v>
      </c>
    </row>
    <row r="1824" spans="1:4" x14ac:dyDescent="0.25">
      <c r="A1824" s="1">
        <v>541044</v>
      </c>
      <c r="B1824" s="19" t="e">
        <f>VLOOKUP($A1824,Config!$B$6:$E$1862,2,FALSE)</f>
        <v>#N/A</v>
      </c>
      <c r="C1824" s="19" t="e">
        <f>VLOOKUP($A1824,Config!$B$6:$E$1862,3,FALSE)</f>
        <v>#N/A</v>
      </c>
      <c r="D1824" s="19" t="e">
        <f>VLOOKUP($A1824,Config!$B$6:$E$1862,4,FALSE)</f>
        <v>#N/A</v>
      </c>
    </row>
    <row r="1825" spans="1:4" x14ac:dyDescent="0.25">
      <c r="A1825" s="1">
        <v>541045</v>
      </c>
      <c r="B1825" s="19" t="e">
        <f>VLOOKUP($A1825,Config!$B$6:$E$1862,2,FALSE)</f>
        <v>#N/A</v>
      </c>
      <c r="C1825" s="19" t="e">
        <f>VLOOKUP($A1825,Config!$B$6:$E$1862,3,FALSE)</f>
        <v>#N/A</v>
      </c>
      <c r="D1825" s="19" t="e">
        <f>VLOOKUP($A1825,Config!$B$6:$E$1862,4,FALSE)</f>
        <v>#N/A</v>
      </c>
    </row>
    <row r="1826" spans="1:4" x14ac:dyDescent="0.25">
      <c r="A1826" s="1">
        <v>541046</v>
      </c>
      <c r="B1826" s="19" t="e">
        <f>VLOOKUP($A1826,Config!$B$6:$E$1862,2,FALSE)</f>
        <v>#N/A</v>
      </c>
      <c r="C1826" s="19" t="e">
        <f>VLOOKUP($A1826,Config!$B$6:$E$1862,3,FALSE)</f>
        <v>#N/A</v>
      </c>
      <c r="D1826" s="19" t="e">
        <f>VLOOKUP($A1826,Config!$B$6:$E$1862,4,FALSE)</f>
        <v>#N/A</v>
      </c>
    </row>
    <row r="1827" spans="1:4" x14ac:dyDescent="0.25">
      <c r="A1827" s="1">
        <v>541048</v>
      </c>
      <c r="B1827" s="19" t="e">
        <f>VLOOKUP($A1827,Config!$B$6:$E$1862,2,FALSE)</f>
        <v>#N/A</v>
      </c>
      <c r="C1827" s="19" t="e">
        <f>VLOOKUP($A1827,Config!$B$6:$E$1862,3,FALSE)</f>
        <v>#N/A</v>
      </c>
      <c r="D1827" s="19" t="e">
        <f>VLOOKUP($A1827,Config!$B$6:$E$1862,4,FALSE)</f>
        <v>#N/A</v>
      </c>
    </row>
    <row r="1828" spans="1:4" x14ac:dyDescent="0.25">
      <c r="A1828" s="1">
        <v>541050</v>
      </c>
      <c r="B1828" s="19" t="e">
        <f>VLOOKUP($A1828,Config!$B$6:$E$1862,2,FALSE)</f>
        <v>#N/A</v>
      </c>
      <c r="C1828" s="19" t="e">
        <f>VLOOKUP($A1828,Config!$B$6:$E$1862,3,FALSE)</f>
        <v>#N/A</v>
      </c>
      <c r="D1828" s="19" t="e">
        <f>VLOOKUP($A1828,Config!$B$6:$E$1862,4,FALSE)</f>
        <v>#N/A</v>
      </c>
    </row>
    <row r="1829" spans="1:4" x14ac:dyDescent="0.25">
      <c r="A1829" s="1">
        <v>541052</v>
      </c>
      <c r="B1829" s="19" t="e">
        <f>VLOOKUP($A1829,Config!$B$6:$E$1862,2,FALSE)</f>
        <v>#N/A</v>
      </c>
      <c r="C1829" s="19" t="e">
        <f>VLOOKUP($A1829,Config!$B$6:$E$1862,3,FALSE)</f>
        <v>#N/A</v>
      </c>
      <c r="D1829" s="19" t="e">
        <f>VLOOKUP($A1829,Config!$B$6:$E$1862,4,FALSE)</f>
        <v>#N/A</v>
      </c>
    </row>
    <row r="1830" spans="1:4" x14ac:dyDescent="0.25">
      <c r="A1830" s="1">
        <v>541053</v>
      </c>
      <c r="B1830" s="19" t="e">
        <f>VLOOKUP($A1830,Config!$B$6:$E$1862,2,FALSE)</f>
        <v>#N/A</v>
      </c>
      <c r="C1830" s="19" t="e">
        <f>VLOOKUP($A1830,Config!$B$6:$E$1862,3,FALSE)</f>
        <v>#N/A</v>
      </c>
      <c r="D1830" s="19" t="e">
        <f>VLOOKUP($A1830,Config!$B$6:$E$1862,4,FALSE)</f>
        <v>#N/A</v>
      </c>
    </row>
    <row r="1831" spans="1:4" x14ac:dyDescent="0.25">
      <c r="A1831" s="1">
        <v>541057</v>
      </c>
      <c r="B1831" s="19" t="e">
        <f>VLOOKUP($A1831,Config!$B$6:$E$1862,2,FALSE)</f>
        <v>#N/A</v>
      </c>
      <c r="C1831" s="19" t="e">
        <f>VLOOKUP($A1831,Config!$B$6:$E$1862,3,FALSE)</f>
        <v>#N/A</v>
      </c>
      <c r="D1831" s="19" t="e">
        <f>VLOOKUP($A1831,Config!$B$6:$E$1862,4,FALSE)</f>
        <v>#N/A</v>
      </c>
    </row>
    <row r="1832" spans="1:4" x14ac:dyDescent="0.25">
      <c r="A1832" s="1">
        <v>541058</v>
      </c>
      <c r="B1832" s="19" t="e">
        <f>VLOOKUP($A1832,Config!$B$6:$E$1862,2,FALSE)</f>
        <v>#N/A</v>
      </c>
      <c r="C1832" s="19" t="e">
        <f>VLOOKUP($A1832,Config!$B$6:$E$1862,3,FALSE)</f>
        <v>#N/A</v>
      </c>
      <c r="D1832" s="19" t="e">
        <f>VLOOKUP($A1832,Config!$B$6:$E$1862,4,FALSE)</f>
        <v>#N/A</v>
      </c>
    </row>
    <row r="1833" spans="1:4" x14ac:dyDescent="0.25">
      <c r="A1833" s="1">
        <v>541059</v>
      </c>
      <c r="B1833" s="19" t="e">
        <f>VLOOKUP($A1833,Config!$B$6:$E$1862,2,FALSE)</f>
        <v>#N/A</v>
      </c>
      <c r="C1833" s="19" t="e">
        <f>VLOOKUP($A1833,Config!$B$6:$E$1862,3,FALSE)</f>
        <v>#N/A</v>
      </c>
      <c r="D1833" s="19" t="e">
        <f>VLOOKUP($A1833,Config!$B$6:$E$1862,4,FALSE)</f>
        <v>#N/A</v>
      </c>
    </row>
    <row r="1834" spans="1:4" x14ac:dyDescent="0.25">
      <c r="A1834" s="1">
        <v>541061</v>
      </c>
      <c r="B1834" s="19" t="e">
        <f>VLOOKUP($A1834,Config!$B$6:$E$1862,2,FALSE)</f>
        <v>#N/A</v>
      </c>
      <c r="C1834" s="19" t="e">
        <f>VLOOKUP($A1834,Config!$B$6:$E$1862,3,FALSE)</f>
        <v>#N/A</v>
      </c>
      <c r="D1834" s="19" t="e">
        <f>VLOOKUP($A1834,Config!$B$6:$E$1862,4,FALSE)</f>
        <v>#N/A</v>
      </c>
    </row>
    <row r="1835" spans="1:4" x14ac:dyDescent="0.25">
      <c r="A1835" s="1">
        <v>541062</v>
      </c>
      <c r="B1835" s="19" t="e">
        <f>VLOOKUP($A1835,Config!$B$6:$E$1862,2,FALSE)</f>
        <v>#N/A</v>
      </c>
      <c r="C1835" s="19" t="e">
        <f>VLOOKUP($A1835,Config!$B$6:$E$1862,3,FALSE)</f>
        <v>#N/A</v>
      </c>
      <c r="D1835" s="19" t="e">
        <f>VLOOKUP($A1835,Config!$B$6:$E$1862,4,FALSE)</f>
        <v>#N/A</v>
      </c>
    </row>
    <row r="1836" spans="1:4" x14ac:dyDescent="0.25">
      <c r="A1836" s="1">
        <v>541063</v>
      </c>
      <c r="B1836" s="19" t="e">
        <f>VLOOKUP($A1836,Config!$B$6:$E$1862,2,FALSE)</f>
        <v>#N/A</v>
      </c>
      <c r="C1836" s="19" t="e">
        <f>VLOOKUP($A1836,Config!$B$6:$E$1862,3,FALSE)</f>
        <v>#N/A</v>
      </c>
      <c r="D1836" s="19" t="e">
        <f>VLOOKUP($A1836,Config!$B$6:$E$1862,4,FALSE)</f>
        <v>#N/A</v>
      </c>
    </row>
    <row r="1837" spans="1:4" x14ac:dyDescent="0.25">
      <c r="A1837" s="1">
        <v>541064</v>
      </c>
      <c r="B1837" s="19" t="e">
        <f>VLOOKUP($A1837,Config!$B$6:$E$1862,2,FALSE)</f>
        <v>#N/A</v>
      </c>
      <c r="C1837" s="19" t="e">
        <f>VLOOKUP($A1837,Config!$B$6:$E$1862,3,FALSE)</f>
        <v>#N/A</v>
      </c>
      <c r="D1837" s="19" t="e">
        <f>VLOOKUP($A1837,Config!$B$6:$E$1862,4,FALSE)</f>
        <v>#N/A</v>
      </c>
    </row>
    <row r="1838" spans="1:4" x14ac:dyDescent="0.25">
      <c r="A1838" s="1">
        <v>541065</v>
      </c>
      <c r="B1838" s="19" t="e">
        <f>VLOOKUP($A1838,Config!$B$6:$E$1862,2,FALSE)</f>
        <v>#N/A</v>
      </c>
      <c r="C1838" s="19" t="e">
        <f>VLOOKUP($A1838,Config!$B$6:$E$1862,3,FALSE)</f>
        <v>#N/A</v>
      </c>
      <c r="D1838" s="19" t="e">
        <f>VLOOKUP($A1838,Config!$B$6:$E$1862,4,FALSE)</f>
        <v>#N/A</v>
      </c>
    </row>
    <row r="1839" spans="1:4" x14ac:dyDescent="0.25">
      <c r="A1839" s="1">
        <v>541067</v>
      </c>
      <c r="B1839" s="19" t="e">
        <f>VLOOKUP($A1839,Config!$B$6:$E$1862,2,FALSE)</f>
        <v>#N/A</v>
      </c>
      <c r="C1839" s="19" t="e">
        <f>VLOOKUP($A1839,Config!$B$6:$E$1862,3,FALSE)</f>
        <v>#N/A</v>
      </c>
      <c r="D1839" s="19" t="e">
        <f>VLOOKUP($A1839,Config!$B$6:$E$1862,4,FALSE)</f>
        <v>#N/A</v>
      </c>
    </row>
    <row r="1840" spans="1:4" x14ac:dyDescent="0.25">
      <c r="A1840" s="1">
        <v>541068</v>
      </c>
      <c r="B1840" s="19" t="e">
        <f>VLOOKUP($A1840,Config!$B$6:$E$1862,2,FALSE)</f>
        <v>#N/A</v>
      </c>
      <c r="C1840" s="19" t="e">
        <f>VLOOKUP($A1840,Config!$B$6:$E$1862,3,FALSE)</f>
        <v>#N/A</v>
      </c>
      <c r="D1840" s="19" t="e">
        <f>VLOOKUP($A1840,Config!$B$6:$E$1862,4,FALSE)</f>
        <v>#N/A</v>
      </c>
    </row>
    <row r="1841" spans="1:4" x14ac:dyDescent="0.25">
      <c r="A1841" s="1">
        <v>541076</v>
      </c>
      <c r="B1841" s="19" t="e">
        <f>VLOOKUP($A1841,Config!$B$6:$E$1862,2,FALSE)</f>
        <v>#N/A</v>
      </c>
      <c r="C1841" s="19" t="e">
        <f>VLOOKUP($A1841,Config!$B$6:$E$1862,3,FALSE)</f>
        <v>#N/A</v>
      </c>
      <c r="D1841" s="19" t="e">
        <f>VLOOKUP($A1841,Config!$B$6:$E$1862,4,FALSE)</f>
        <v>#N/A</v>
      </c>
    </row>
    <row r="1842" spans="1:4" x14ac:dyDescent="0.25">
      <c r="A1842" s="1">
        <v>541077</v>
      </c>
      <c r="B1842" s="19" t="e">
        <f>VLOOKUP($A1842,Config!$B$6:$E$1862,2,FALSE)</f>
        <v>#N/A</v>
      </c>
      <c r="C1842" s="19" t="e">
        <f>VLOOKUP($A1842,Config!$B$6:$E$1862,3,FALSE)</f>
        <v>#N/A</v>
      </c>
      <c r="D1842" s="19" t="e">
        <f>VLOOKUP($A1842,Config!$B$6:$E$1862,4,FALSE)</f>
        <v>#N/A</v>
      </c>
    </row>
    <row r="1843" spans="1:4" x14ac:dyDescent="0.25">
      <c r="A1843">
        <v>541078</v>
      </c>
      <c r="B1843" s="19" t="e">
        <f>VLOOKUP($A1843,Config!$B$6:$E$1862,2,FALSE)</f>
        <v>#N/A</v>
      </c>
      <c r="C1843" s="19" t="e">
        <f>VLOOKUP($A1843,Config!$B$6:$E$1862,3,FALSE)</f>
        <v>#N/A</v>
      </c>
      <c r="D1843" s="19" t="e">
        <f>VLOOKUP($A1843,Config!$B$6:$E$1862,4,FALSE)</f>
        <v>#N/A</v>
      </c>
    </row>
    <row r="1844" spans="1:4" x14ac:dyDescent="0.25">
      <c r="A1844">
        <v>541079</v>
      </c>
      <c r="B1844" s="19" t="e">
        <f>VLOOKUP($A1844,Config!$B$6:$E$1862,2,FALSE)</f>
        <v>#N/A</v>
      </c>
      <c r="C1844" s="19" t="e">
        <f>VLOOKUP($A1844,Config!$B$6:$E$1862,3,FALSE)</f>
        <v>#N/A</v>
      </c>
      <c r="D1844" s="19" t="e">
        <f>VLOOKUP($A1844,Config!$B$6:$E$1862,4,FALSE)</f>
        <v>#N/A</v>
      </c>
    </row>
    <row r="1845" spans="1:4" x14ac:dyDescent="0.25">
      <c r="A1845">
        <v>541080</v>
      </c>
      <c r="B1845" s="19" t="e">
        <f>VLOOKUP($A1845,Config!$B$6:$E$1862,2,FALSE)</f>
        <v>#N/A</v>
      </c>
      <c r="C1845" s="19" t="e">
        <f>VLOOKUP($A1845,Config!$B$6:$E$1862,3,FALSE)</f>
        <v>#N/A</v>
      </c>
      <c r="D1845" s="19" t="e">
        <f>VLOOKUP($A1845,Config!$B$6:$E$1862,4,FALSE)</f>
        <v>#N/A</v>
      </c>
    </row>
    <row r="1846" spans="1:4" x14ac:dyDescent="0.25">
      <c r="A1846">
        <v>541081</v>
      </c>
      <c r="B1846" s="19" t="e">
        <f>VLOOKUP($A1846,Config!$B$6:$E$1862,2,FALSE)</f>
        <v>#N/A</v>
      </c>
      <c r="C1846" s="19" t="e">
        <f>VLOOKUP($A1846,Config!$B$6:$E$1862,3,FALSE)</f>
        <v>#N/A</v>
      </c>
      <c r="D1846" s="19" t="e">
        <f>VLOOKUP($A1846,Config!$B$6:$E$1862,4,FALSE)</f>
        <v>#N/A</v>
      </c>
    </row>
    <row r="1847" spans="1:4" x14ac:dyDescent="0.25">
      <c r="A1847">
        <v>541082</v>
      </c>
      <c r="B1847" s="19" t="e">
        <f>VLOOKUP($A1847,Config!$B$6:$E$1862,2,FALSE)</f>
        <v>#N/A</v>
      </c>
      <c r="C1847" s="19" t="e">
        <f>VLOOKUP($A1847,Config!$B$6:$E$1862,3,FALSE)</f>
        <v>#N/A</v>
      </c>
      <c r="D1847" s="19" t="e">
        <f>VLOOKUP($A1847,Config!$B$6:$E$1862,4,FALSE)</f>
        <v>#N/A</v>
      </c>
    </row>
    <row r="1848" spans="1:4" x14ac:dyDescent="0.25">
      <c r="A1848">
        <v>541083</v>
      </c>
      <c r="B1848" s="19" t="e">
        <f>VLOOKUP($A1848,Config!$B$6:$E$1862,2,FALSE)</f>
        <v>#N/A</v>
      </c>
      <c r="C1848" s="19" t="e">
        <f>VLOOKUP($A1848,Config!$B$6:$E$1862,3,FALSE)</f>
        <v>#N/A</v>
      </c>
      <c r="D1848" s="19" t="e">
        <f>VLOOKUP($A1848,Config!$B$6:$E$1862,4,FALSE)</f>
        <v>#N/A</v>
      </c>
    </row>
    <row r="1849" spans="1:4" x14ac:dyDescent="0.25">
      <c r="A1849">
        <v>541084</v>
      </c>
      <c r="B1849" s="19" t="e">
        <f>VLOOKUP($A1849,Config!$B$6:$E$1862,2,FALSE)</f>
        <v>#N/A</v>
      </c>
      <c r="C1849" s="19" t="e">
        <f>VLOOKUP($A1849,Config!$B$6:$E$1862,3,FALSE)</f>
        <v>#N/A</v>
      </c>
      <c r="D1849" s="19" t="e">
        <f>VLOOKUP($A1849,Config!$B$6:$E$1862,4,FALSE)</f>
        <v>#N/A</v>
      </c>
    </row>
    <row r="1850" spans="1:4" x14ac:dyDescent="0.25">
      <c r="A1850">
        <v>541085</v>
      </c>
      <c r="B1850" s="19" t="e">
        <f>VLOOKUP($A1850,Config!$B$6:$E$1862,2,FALSE)</f>
        <v>#N/A</v>
      </c>
      <c r="C1850" s="19" t="e">
        <f>VLOOKUP($A1850,Config!$B$6:$E$1862,3,FALSE)</f>
        <v>#N/A</v>
      </c>
      <c r="D1850" s="19" t="e">
        <f>VLOOKUP($A1850,Config!$B$6:$E$1862,4,FALSE)</f>
        <v>#N/A</v>
      </c>
    </row>
    <row r="1851" spans="1:4" x14ac:dyDescent="0.25">
      <c r="A1851">
        <v>541086</v>
      </c>
      <c r="B1851" s="19" t="e">
        <f>VLOOKUP($A1851,Config!$B$6:$E$1862,2,FALSE)</f>
        <v>#N/A</v>
      </c>
      <c r="C1851" s="19" t="e">
        <f>VLOOKUP($A1851,Config!$B$6:$E$1862,3,FALSE)</f>
        <v>#N/A</v>
      </c>
      <c r="D1851" s="19" t="e">
        <f>VLOOKUP($A1851,Config!$B$6:$E$1862,4,FALSE)</f>
        <v>#N/A</v>
      </c>
    </row>
    <row r="1852" spans="1:4" x14ac:dyDescent="0.25">
      <c r="A1852">
        <v>541087</v>
      </c>
      <c r="B1852" s="19" t="e">
        <f>VLOOKUP($A1852,Config!$B$6:$E$1862,2,FALSE)</f>
        <v>#N/A</v>
      </c>
      <c r="C1852" s="19" t="e">
        <f>VLOOKUP($A1852,Config!$B$6:$E$1862,3,FALSE)</f>
        <v>#N/A</v>
      </c>
      <c r="D1852" s="19" t="e">
        <f>VLOOKUP($A1852,Config!$B$6:$E$1862,4,FALSE)</f>
        <v>#N/A</v>
      </c>
    </row>
    <row r="1853" spans="1:4" x14ac:dyDescent="0.25">
      <c r="A1853">
        <v>541088</v>
      </c>
      <c r="B1853" s="19" t="e">
        <f>VLOOKUP($A1853,Config!$B$6:$E$1862,2,FALSE)</f>
        <v>#N/A</v>
      </c>
      <c r="C1853" s="19" t="e">
        <f>VLOOKUP($A1853,Config!$B$6:$E$1862,3,FALSE)</f>
        <v>#N/A</v>
      </c>
      <c r="D1853" s="19" t="e">
        <f>VLOOKUP($A1853,Config!$B$6:$E$1862,4,FALSE)</f>
        <v>#N/A</v>
      </c>
    </row>
    <row r="1854" spans="1:4" x14ac:dyDescent="0.25">
      <c r="A1854">
        <v>541090</v>
      </c>
      <c r="B1854" s="19" t="e">
        <f>VLOOKUP($A1854,Config!$B$6:$E$1862,2,FALSE)</f>
        <v>#N/A</v>
      </c>
      <c r="C1854" s="19" t="e">
        <f>VLOOKUP($A1854,Config!$B$6:$E$1862,3,FALSE)</f>
        <v>#N/A</v>
      </c>
      <c r="D1854" s="19" t="e">
        <f>VLOOKUP($A1854,Config!$B$6:$E$1862,4,FALSE)</f>
        <v>#N/A</v>
      </c>
    </row>
    <row r="1855" spans="1:4" x14ac:dyDescent="0.25">
      <c r="A1855">
        <v>541091</v>
      </c>
      <c r="B1855" s="19" t="e">
        <f>VLOOKUP($A1855,Config!$B$6:$E$1862,2,FALSE)</f>
        <v>#N/A</v>
      </c>
      <c r="C1855" s="19" t="e">
        <f>VLOOKUP($A1855,Config!$B$6:$E$1862,3,FALSE)</f>
        <v>#N/A</v>
      </c>
      <c r="D1855" s="19" t="e">
        <f>VLOOKUP($A1855,Config!$B$6:$E$1862,4,FALSE)</f>
        <v>#N/A</v>
      </c>
    </row>
    <row r="1856" spans="1:4" x14ac:dyDescent="0.25">
      <c r="A1856">
        <v>541092</v>
      </c>
      <c r="B1856" s="19" t="e">
        <f>VLOOKUP($A1856,Config!$B$6:$E$1862,2,FALSE)</f>
        <v>#N/A</v>
      </c>
      <c r="C1856" s="19" t="e">
        <f>VLOOKUP($A1856,Config!$B$6:$E$1862,3,FALSE)</f>
        <v>#N/A</v>
      </c>
      <c r="D1856" s="19" t="e">
        <f>VLOOKUP($A1856,Config!$B$6:$E$1862,4,FALSE)</f>
        <v>#N/A</v>
      </c>
    </row>
    <row r="1857" spans="1:4" x14ac:dyDescent="0.25">
      <c r="A1857">
        <v>541100</v>
      </c>
      <c r="B1857" s="19" t="e">
        <f>VLOOKUP($A1857,Config!$B$6:$E$1862,2,FALSE)</f>
        <v>#N/A</v>
      </c>
      <c r="C1857" s="19" t="e">
        <f>VLOOKUP($A1857,Config!$B$6:$E$1862,3,FALSE)</f>
        <v>#N/A</v>
      </c>
      <c r="D1857" s="19" t="e">
        <f>VLOOKUP($A1857,Config!$B$6:$E$1862,4,FALSE)</f>
        <v>#N/A</v>
      </c>
    </row>
  </sheetData>
  <sortState ref="A1:D1857">
    <sortCondition ref="A1:A1857"/>
  </sortState>
  <conditionalFormatting sqref="C1:C1048576">
    <cfRule type="cellIs" dxfId="4" priority="1" operator="equal">
      <formula>"Suspect"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1862"/>
  <sheetViews>
    <sheetView tabSelected="1" zoomScaleNormal="100" workbookViewId="0">
      <selection activeCell="B4" sqref="B4"/>
    </sheetView>
  </sheetViews>
  <sheetFormatPr defaultRowHeight="15" x14ac:dyDescent="0.25"/>
  <cols>
    <col min="1" max="1" width="18" bestFit="1" customWidth="1"/>
    <col min="2" max="2" width="14.85546875" bestFit="1" customWidth="1"/>
    <col min="3" max="3" width="36.140625" bestFit="1" customWidth="1"/>
    <col min="4" max="4" width="7.85546875" bestFit="1" customWidth="1"/>
    <col min="5" max="5" width="11.5703125" customWidth="1"/>
    <col min="9" max="9" width="9" bestFit="1" customWidth="1"/>
    <col min="10" max="10" width="12.5703125" bestFit="1" customWidth="1"/>
    <col min="11" max="11" width="12.7109375" bestFit="1" customWidth="1"/>
    <col min="14" max="15" width="9.140625" style="1"/>
  </cols>
  <sheetData>
    <row r="1" spans="1:17" x14ac:dyDescent="0.25">
      <c r="A1" s="3"/>
      <c r="B1" s="7" t="s">
        <v>0</v>
      </c>
      <c r="P1" s="12" t="s">
        <v>4</v>
      </c>
      <c r="Q1" s="12" t="s">
        <v>9</v>
      </c>
    </row>
    <row r="2" spans="1:17" x14ac:dyDescent="0.25">
      <c r="A2" s="2"/>
      <c r="B2" s="14" t="s">
        <v>11</v>
      </c>
      <c r="P2" s="15">
        <v>19680107</v>
      </c>
      <c r="Q2" s="15" t="s">
        <v>5</v>
      </c>
    </row>
    <row r="3" spans="1:17" x14ac:dyDescent="0.25">
      <c r="A3" s="5" t="s">
        <v>1</v>
      </c>
      <c r="B3" s="4">
        <v>19680107</v>
      </c>
      <c r="P3" s="15">
        <v>19920220</v>
      </c>
      <c r="Q3" s="15" t="s">
        <v>10</v>
      </c>
    </row>
    <row r="4" spans="1:17" x14ac:dyDescent="0.25">
      <c r="A4" s="5" t="s">
        <v>2</v>
      </c>
      <c r="B4" s="11">
        <v>36198.375</v>
      </c>
      <c r="P4" s="15">
        <v>19990131</v>
      </c>
      <c r="Q4" s="15" t="s">
        <v>6</v>
      </c>
    </row>
    <row r="5" spans="1:17" x14ac:dyDescent="0.25">
      <c r="A5" s="8" t="s">
        <v>3</v>
      </c>
      <c r="B5" s="13" t="s">
        <v>7</v>
      </c>
      <c r="C5" s="13" t="s">
        <v>8</v>
      </c>
      <c r="D5" s="13" t="s">
        <v>9</v>
      </c>
      <c r="P5" s="15">
        <v>19990206</v>
      </c>
    </row>
    <row r="6" spans="1:17" x14ac:dyDescent="0.25">
      <c r="A6" s="9" t="s">
        <v>12</v>
      </c>
      <c r="B6" s="19">
        <v>540084</v>
      </c>
      <c r="C6" s="19"/>
      <c r="D6" s="17" t="s">
        <v>10</v>
      </c>
      <c r="E6" s="19" t="s">
        <v>147</v>
      </c>
      <c r="P6" s="15">
        <v>19990518</v>
      </c>
    </row>
    <row r="7" spans="1:17" ht="15.75" thickBot="1" x14ac:dyDescent="0.3">
      <c r="A7" s="10">
        <f>COUNTA('.r file'!B1:ZZ1)</f>
        <v>31</v>
      </c>
      <c r="B7" s="19">
        <v>540425</v>
      </c>
      <c r="C7" s="19"/>
      <c r="D7" s="17" t="s">
        <v>10</v>
      </c>
      <c r="E7" s="19" t="s">
        <v>147</v>
      </c>
      <c r="P7" s="15">
        <v>20010309</v>
      </c>
    </row>
    <row r="8" spans="1:17" ht="15.75" thickBot="1" x14ac:dyDescent="0.3">
      <c r="A8" s="9" t="s">
        <v>39</v>
      </c>
      <c r="B8" s="19">
        <v>540427</v>
      </c>
      <c r="C8" s="19"/>
      <c r="D8" s="17" t="s">
        <v>10</v>
      </c>
      <c r="E8" s="19" t="s">
        <v>147</v>
      </c>
      <c r="G8" s="38" t="s">
        <v>41</v>
      </c>
      <c r="H8" s="39"/>
      <c r="I8" s="27" t="s">
        <v>36</v>
      </c>
      <c r="J8" s="27" t="s">
        <v>37</v>
      </c>
      <c r="K8" s="27" t="s">
        <v>38</v>
      </c>
      <c r="P8" s="15">
        <v>20030425</v>
      </c>
    </row>
    <row r="9" spans="1:17" x14ac:dyDescent="0.25">
      <c r="A9" s="20">
        <f>COUNTA(B6:B2000)</f>
        <v>36</v>
      </c>
      <c r="B9" s="19">
        <v>540332</v>
      </c>
      <c r="C9" s="19"/>
      <c r="D9" s="17" t="s">
        <v>10</v>
      </c>
      <c r="E9" s="19" t="s">
        <v>147</v>
      </c>
      <c r="G9" s="46" t="s">
        <v>147</v>
      </c>
      <c r="H9" s="47"/>
      <c r="I9" s="25">
        <f t="shared" ref="I9:I17" si="0">COUNTIF($E$6:$E$2000,G9)</f>
        <v>36</v>
      </c>
      <c r="J9" s="2">
        <v>91</v>
      </c>
      <c r="K9" s="26">
        <v>0</v>
      </c>
      <c r="P9" s="15">
        <v>20040304</v>
      </c>
    </row>
    <row r="10" spans="1:17" x14ac:dyDescent="0.25">
      <c r="A10" s="9" t="s">
        <v>40</v>
      </c>
      <c r="B10" s="19">
        <v>540306</v>
      </c>
      <c r="C10" s="19"/>
      <c r="D10" s="17" t="s">
        <v>5</v>
      </c>
      <c r="E10" s="19" t="s">
        <v>147</v>
      </c>
      <c r="G10" s="48"/>
      <c r="H10" s="49"/>
      <c r="I10" s="25"/>
      <c r="J10" s="19"/>
      <c r="K10" s="21"/>
      <c r="P10" s="15">
        <v>20070821</v>
      </c>
    </row>
    <row r="11" spans="1:17" x14ac:dyDescent="0.25">
      <c r="A11" s="20">
        <f>SUM(I9:I19)</f>
        <v>36</v>
      </c>
      <c r="B11" s="19">
        <v>540476</v>
      </c>
      <c r="C11" s="19"/>
      <c r="D11" s="17" t="s">
        <v>10</v>
      </c>
      <c r="E11" s="19" t="s">
        <v>147</v>
      </c>
      <c r="G11" s="50"/>
      <c r="H11" s="51"/>
      <c r="I11" s="25"/>
      <c r="J11" s="19"/>
      <c r="K11" s="21"/>
      <c r="P11" s="15">
        <v>20080529</v>
      </c>
    </row>
    <row r="12" spans="1:17" x14ac:dyDescent="0.25">
      <c r="A12" s="16"/>
      <c r="B12" s="19">
        <v>540367</v>
      </c>
      <c r="C12" s="19"/>
      <c r="D12" s="17" t="s">
        <v>10</v>
      </c>
      <c r="E12" s="19" t="s">
        <v>147</v>
      </c>
      <c r="G12" s="44"/>
      <c r="H12" s="45"/>
      <c r="I12" s="25"/>
      <c r="J12" s="19"/>
      <c r="K12" s="21"/>
      <c r="P12" s="15">
        <v>20090401</v>
      </c>
    </row>
    <row r="13" spans="1:17" x14ac:dyDescent="0.25">
      <c r="A13" s="16"/>
      <c r="B13" s="19">
        <v>540460</v>
      </c>
      <c r="C13" s="19"/>
      <c r="D13" s="17" t="s">
        <v>10</v>
      </c>
      <c r="E13" s="19" t="s">
        <v>147</v>
      </c>
      <c r="G13" s="52"/>
      <c r="H13" s="53"/>
      <c r="I13" s="25"/>
      <c r="J13" s="19"/>
      <c r="K13" s="21"/>
      <c r="P13" s="15">
        <v>20090412</v>
      </c>
    </row>
    <row r="14" spans="1:17" x14ac:dyDescent="0.25">
      <c r="A14" s="29"/>
      <c r="B14" s="19">
        <v>540326</v>
      </c>
      <c r="C14" s="19"/>
      <c r="D14" s="17" t="s">
        <v>10</v>
      </c>
      <c r="E14" s="19" t="s">
        <v>147</v>
      </c>
      <c r="G14" s="40"/>
      <c r="H14" s="41"/>
      <c r="I14" s="25"/>
      <c r="J14" s="19"/>
      <c r="K14" s="21"/>
      <c r="P14" s="15">
        <v>20090517</v>
      </c>
    </row>
    <row r="15" spans="1:17" x14ac:dyDescent="0.25">
      <c r="A15" s="30"/>
      <c r="B15" s="19">
        <v>540325</v>
      </c>
      <c r="C15" s="19"/>
      <c r="D15" s="17" t="s">
        <v>10</v>
      </c>
      <c r="E15" s="19" t="s">
        <v>147</v>
      </c>
      <c r="G15" s="42"/>
      <c r="H15" s="43"/>
      <c r="I15" s="25"/>
      <c r="J15" s="19"/>
      <c r="K15" s="21"/>
      <c r="P15" s="15">
        <v>20100226</v>
      </c>
    </row>
    <row r="16" spans="1:17" x14ac:dyDescent="0.25">
      <c r="A16" s="16"/>
      <c r="B16" s="19">
        <v>540136</v>
      </c>
      <c r="C16" s="19"/>
      <c r="D16" s="17" t="s">
        <v>10</v>
      </c>
      <c r="E16" s="19" t="s">
        <v>147</v>
      </c>
      <c r="G16" s="32"/>
      <c r="H16" s="33"/>
      <c r="I16" s="25"/>
      <c r="J16" s="19"/>
      <c r="K16" s="21"/>
      <c r="P16" s="15">
        <v>20101007</v>
      </c>
    </row>
    <row r="17" spans="1:16" x14ac:dyDescent="0.25">
      <c r="A17" s="16"/>
      <c r="B17" s="19">
        <v>540334</v>
      </c>
      <c r="C17" s="19"/>
      <c r="D17" s="17" t="s">
        <v>10</v>
      </c>
      <c r="E17" s="19" t="s">
        <v>147</v>
      </c>
      <c r="G17" s="32"/>
      <c r="H17" s="33"/>
      <c r="I17" s="25"/>
      <c r="J17" s="19"/>
      <c r="K17" s="21"/>
      <c r="P17" s="15">
        <v>20110105</v>
      </c>
    </row>
    <row r="18" spans="1:16" x14ac:dyDescent="0.25">
      <c r="A18" s="16"/>
      <c r="B18" s="19">
        <v>40993</v>
      </c>
      <c r="C18" s="19"/>
      <c r="D18" s="17" t="s">
        <v>10</v>
      </c>
      <c r="E18" s="19" t="s">
        <v>147</v>
      </c>
      <c r="G18" s="34"/>
      <c r="H18" s="35"/>
      <c r="I18" s="18"/>
      <c r="J18" s="19"/>
      <c r="K18" s="21"/>
      <c r="P18" s="15">
        <v>20120223</v>
      </c>
    </row>
    <row r="19" spans="1:16" ht="15.75" thickBot="1" x14ac:dyDescent="0.3">
      <c r="A19" s="16"/>
      <c r="B19" s="19">
        <v>540335</v>
      </c>
      <c r="C19" s="19"/>
      <c r="D19" s="17" t="s">
        <v>10</v>
      </c>
      <c r="E19" s="19" t="s">
        <v>147</v>
      </c>
      <c r="G19" s="36"/>
      <c r="H19" s="37"/>
      <c r="I19" s="22"/>
      <c r="J19" s="23"/>
      <c r="K19" s="24"/>
      <c r="P19" s="15">
        <v>20120315</v>
      </c>
    </row>
    <row r="20" spans="1:16" x14ac:dyDescent="0.25">
      <c r="A20" s="16"/>
      <c r="B20" s="19">
        <v>540167</v>
      </c>
      <c r="C20" s="19"/>
      <c r="D20" s="17" t="s">
        <v>10</v>
      </c>
      <c r="E20" s="19" t="s">
        <v>147</v>
      </c>
      <c r="P20" s="15">
        <v>20130123</v>
      </c>
    </row>
    <row r="21" spans="1:16" x14ac:dyDescent="0.25">
      <c r="A21" s="16"/>
      <c r="B21" s="19">
        <v>540331</v>
      </c>
      <c r="C21" s="19"/>
      <c r="D21" s="17" t="s">
        <v>10</v>
      </c>
      <c r="E21" s="19" t="s">
        <v>147</v>
      </c>
      <c r="J21" s="28"/>
      <c r="P21" s="15">
        <v>20130215</v>
      </c>
    </row>
    <row r="22" spans="1:16" x14ac:dyDescent="0.25">
      <c r="A22" s="16"/>
      <c r="B22" s="19">
        <v>540463</v>
      </c>
      <c r="C22" s="19"/>
      <c r="D22" s="17" t="s">
        <v>10</v>
      </c>
      <c r="E22" s="19" t="s">
        <v>147</v>
      </c>
      <c r="P22" s="15">
        <v>20140821</v>
      </c>
    </row>
    <row r="23" spans="1:16" x14ac:dyDescent="0.25">
      <c r="A23" s="16"/>
      <c r="B23" s="19">
        <v>540336</v>
      </c>
      <c r="C23" s="19"/>
      <c r="D23" s="17" t="s">
        <v>10</v>
      </c>
      <c r="E23" s="19" t="s">
        <v>147</v>
      </c>
      <c r="I23" s="28"/>
      <c r="P23" s="15"/>
    </row>
    <row r="24" spans="1:16" x14ac:dyDescent="0.25">
      <c r="A24" s="16"/>
      <c r="B24" s="19">
        <v>540085</v>
      </c>
      <c r="C24" s="19"/>
      <c r="D24" s="17" t="s">
        <v>10</v>
      </c>
      <c r="E24" s="19" t="s">
        <v>147</v>
      </c>
      <c r="P24" s="15"/>
    </row>
    <row r="25" spans="1:16" x14ac:dyDescent="0.25">
      <c r="A25" s="16"/>
      <c r="B25" s="19">
        <v>540328</v>
      </c>
      <c r="C25" s="19"/>
      <c r="D25" s="17" t="s">
        <v>10</v>
      </c>
      <c r="E25" s="19" t="s">
        <v>147</v>
      </c>
      <c r="P25" s="15"/>
    </row>
    <row r="26" spans="1:16" x14ac:dyDescent="0.25">
      <c r="A26" s="16"/>
      <c r="B26" s="19">
        <v>540330</v>
      </c>
      <c r="C26" s="19"/>
      <c r="D26" s="17" t="s">
        <v>10</v>
      </c>
      <c r="E26" s="19" t="s">
        <v>147</v>
      </c>
      <c r="P26" s="15"/>
    </row>
    <row r="27" spans="1:16" x14ac:dyDescent="0.25">
      <c r="A27" s="16"/>
      <c r="B27" s="19">
        <v>540305</v>
      </c>
      <c r="C27" s="19"/>
      <c r="D27" s="17" t="s">
        <v>10</v>
      </c>
      <c r="E27" s="19" t="s">
        <v>147</v>
      </c>
      <c r="I27" s="1"/>
      <c r="P27" s="15"/>
    </row>
    <row r="28" spans="1:16" x14ac:dyDescent="0.25">
      <c r="A28" s="16"/>
      <c r="B28" s="19">
        <v>540304</v>
      </c>
      <c r="C28" s="19"/>
      <c r="D28" s="17" t="s">
        <v>10</v>
      </c>
      <c r="E28" s="19" t="s">
        <v>147</v>
      </c>
      <c r="I28" s="1"/>
      <c r="J28" s="1"/>
      <c r="P28" s="15"/>
    </row>
    <row r="29" spans="1:16" x14ac:dyDescent="0.25">
      <c r="A29" s="16"/>
      <c r="B29" s="19">
        <v>540333</v>
      </c>
      <c r="C29" s="19"/>
      <c r="D29" s="17" t="s">
        <v>10</v>
      </c>
      <c r="E29" s="19" t="s">
        <v>147</v>
      </c>
      <c r="I29" s="1"/>
      <c r="J29" s="1"/>
      <c r="P29" s="15"/>
    </row>
    <row r="30" spans="1:16" x14ac:dyDescent="0.25">
      <c r="A30" s="16"/>
      <c r="B30" s="19">
        <v>540324</v>
      </c>
      <c r="C30" s="19"/>
      <c r="D30" s="17" t="s">
        <v>10</v>
      </c>
      <c r="E30" s="19" t="s">
        <v>147</v>
      </c>
      <c r="I30" s="1"/>
      <c r="J30" s="1"/>
      <c r="P30" s="15"/>
    </row>
    <row r="31" spans="1:16" x14ac:dyDescent="0.25">
      <c r="A31" s="16"/>
      <c r="B31" s="19">
        <v>540191</v>
      </c>
      <c r="C31" s="19"/>
      <c r="D31" s="17" t="s">
        <v>10</v>
      </c>
      <c r="E31" s="19" t="s">
        <v>147</v>
      </c>
      <c r="I31" s="1"/>
      <c r="J31" s="1"/>
      <c r="P31" s="15"/>
    </row>
    <row r="32" spans="1:16" x14ac:dyDescent="0.25">
      <c r="A32" s="16"/>
      <c r="B32" s="19">
        <v>540419</v>
      </c>
      <c r="C32" s="19"/>
      <c r="D32" s="17" t="s">
        <v>10</v>
      </c>
      <c r="E32" s="19" t="s">
        <v>147</v>
      </c>
      <c r="I32" s="1"/>
      <c r="J32" s="1"/>
      <c r="P32" s="15"/>
    </row>
    <row r="33" spans="1:16" x14ac:dyDescent="0.25">
      <c r="A33" s="16"/>
      <c r="B33" s="19">
        <v>540490</v>
      </c>
      <c r="C33" s="19"/>
      <c r="D33" s="17" t="s">
        <v>10</v>
      </c>
      <c r="E33" s="19" t="s">
        <v>147</v>
      </c>
      <c r="I33" s="1"/>
      <c r="J33" s="1"/>
      <c r="P33" s="15"/>
    </row>
    <row r="34" spans="1:16" x14ac:dyDescent="0.25">
      <c r="A34" s="16"/>
      <c r="B34" s="19">
        <v>999999</v>
      </c>
      <c r="C34" s="19"/>
      <c r="D34" s="17" t="s">
        <v>10</v>
      </c>
      <c r="E34" s="19" t="s">
        <v>147</v>
      </c>
      <c r="H34" s="1"/>
      <c r="I34" s="1"/>
      <c r="J34" s="1"/>
      <c r="P34" s="15"/>
    </row>
    <row r="35" spans="1:16" x14ac:dyDescent="0.25">
      <c r="A35" s="16"/>
      <c r="B35" s="19">
        <v>540575</v>
      </c>
      <c r="C35" s="19"/>
      <c r="D35" s="17" t="s">
        <v>10</v>
      </c>
      <c r="E35" s="19" t="s">
        <v>147</v>
      </c>
      <c r="I35" s="1"/>
      <c r="J35" s="1"/>
      <c r="P35" s="15"/>
    </row>
    <row r="36" spans="1:16" x14ac:dyDescent="0.25">
      <c r="A36" s="16"/>
      <c r="B36" s="19">
        <v>540595</v>
      </c>
      <c r="C36" s="19"/>
      <c r="D36" s="17" t="s">
        <v>10</v>
      </c>
      <c r="E36" s="19" t="s">
        <v>147</v>
      </c>
      <c r="I36" s="1"/>
      <c r="J36" s="1"/>
      <c r="P36" s="15"/>
    </row>
    <row r="37" spans="1:16" x14ac:dyDescent="0.25">
      <c r="A37" s="16"/>
      <c r="B37" s="19">
        <v>540594</v>
      </c>
      <c r="C37" s="19"/>
      <c r="D37" s="17" t="s">
        <v>10</v>
      </c>
      <c r="E37" s="19" t="s">
        <v>147</v>
      </c>
      <c r="I37" s="1"/>
      <c r="J37" s="1"/>
      <c r="P37" s="15"/>
    </row>
    <row r="38" spans="1:16" x14ac:dyDescent="0.25">
      <c r="A38" s="16"/>
      <c r="B38" s="19">
        <v>540569</v>
      </c>
      <c r="C38" s="19"/>
      <c r="D38" s="17" t="s">
        <v>10</v>
      </c>
      <c r="E38" s="19" t="s">
        <v>147</v>
      </c>
      <c r="I38" s="1"/>
      <c r="J38" s="1"/>
      <c r="P38" s="15"/>
    </row>
    <row r="39" spans="1:16" x14ac:dyDescent="0.25">
      <c r="A39" s="16"/>
      <c r="B39" s="19">
        <v>540621</v>
      </c>
      <c r="C39" s="19"/>
      <c r="D39" s="17" t="s">
        <v>10</v>
      </c>
      <c r="E39" s="19" t="s">
        <v>147</v>
      </c>
      <c r="I39" s="1"/>
      <c r="J39" s="1"/>
      <c r="P39" s="15"/>
    </row>
    <row r="40" spans="1:16" x14ac:dyDescent="0.25">
      <c r="A40" s="16"/>
      <c r="B40" s="19">
        <v>40993</v>
      </c>
      <c r="C40" s="19"/>
      <c r="D40" s="17" t="s">
        <v>10</v>
      </c>
      <c r="E40" s="19" t="s">
        <v>147</v>
      </c>
      <c r="I40" s="1"/>
      <c r="J40" s="1"/>
      <c r="P40" s="15"/>
    </row>
    <row r="41" spans="1:16" x14ac:dyDescent="0.25">
      <c r="A41" s="16"/>
      <c r="B41" s="19">
        <v>540620</v>
      </c>
      <c r="C41" s="19"/>
      <c r="D41" s="17" t="s">
        <v>10</v>
      </c>
      <c r="E41" s="19" t="s">
        <v>147</v>
      </c>
      <c r="I41" s="1"/>
      <c r="J41" s="1"/>
      <c r="P41" s="15"/>
    </row>
    <row r="42" spans="1:16" x14ac:dyDescent="0.25">
      <c r="A42" s="16"/>
      <c r="B42" s="19"/>
      <c r="C42" s="19"/>
      <c r="D42" s="17"/>
      <c r="E42" s="19"/>
      <c r="I42" s="1"/>
      <c r="J42" s="1"/>
      <c r="P42" s="15"/>
    </row>
    <row r="43" spans="1:16" x14ac:dyDescent="0.25">
      <c r="A43" s="16"/>
      <c r="B43" s="19"/>
      <c r="C43" s="19"/>
      <c r="D43" s="17"/>
      <c r="E43" s="19"/>
      <c r="I43" s="1"/>
      <c r="J43" s="1"/>
      <c r="P43" s="15"/>
    </row>
    <row r="44" spans="1:16" x14ac:dyDescent="0.25">
      <c r="A44" s="16"/>
      <c r="B44" s="19"/>
      <c r="C44" s="19"/>
      <c r="D44" s="17"/>
      <c r="E44" s="19"/>
      <c r="I44" s="1"/>
      <c r="J44" s="1"/>
      <c r="P44" s="15"/>
    </row>
    <row r="45" spans="1:16" x14ac:dyDescent="0.25">
      <c r="A45" s="16"/>
      <c r="B45" s="19"/>
      <c r="C45" s="19"/>
      <c r="D45" s="17"/>
      <c r="E45" s="19"/>
      <c r="I45" s="1"/>
      <c r="J45" s="1"/>
      <c r="P45" s="15"/>
    </row>
    <row r="46" spans="1:16" x14ac:dyDescent="0.25">
      <c r="A46" s="16"/>
      <c r="B46" s="19"/>
      <c r="C46" s="19"/>
      <c r="D46" s="17"/>
      <c r="E46" s="19"/>
      <c r="I46" s="1"/>
      <c r="J46" s="1"/>
    </row>
    <row r="47" spans="1:16" x14ac:dyDescent="0.25">
      <c r="A47" s="16"/>
      <c r="B47" s="19"/>
      <c r="C47" s="19"/>
      <c r="D47" s="17"/>
      <c r="E47" s="19"/>
      <c r="I47" s="1"/>
      <c r="J47" s="1"/>
    </row>
    <row r="48" spans="1:16" x14ac:dyDescent="0.25">
      <c r="A48" s="16"/>
      <c r="B48" s="19"/>
      <c r="C48" s="19"/>
      <c r="D48" s="17"/>
      <c r="E48" s="19"/>
      <c r="I48" s="1"/>
      <c r="J48" s="1"/>
    </row>
    <row r="49" spans="1:10" x14ac:dyDescent="0.25">
      <c r="A49" s="16"/>
      <c r="B49" s="19"/>
      <c r="C49" s="19"/>
      <c r="D49" s="17"/>
      <c r="E49" s="19"/>
      <c r="I49" s="1"/>
      <c r="J49" s="1"/>
    </row>
    <row r="50" spans="1:10" x14ac:dyDescent="0.25">
      <c r="A50" s="16"/>
      <c r="B50" s="19"/>
      <c r="C50" s="19"/>
      <c r="D50" s="17"/>
      <c r="E50" s="19"/>
      <c r="I50" s="1"/>
      <c r="J50" s="1"/>
    </row>
    <row r="51" spans="1:10" x14ac:dyDescent="0.25">
      <c r="A51" s="16"/>
      <c r="B51" s="19"/>
      <c r="C51" s="19"/>
      <c r="D51" s="17"/>
      <c r="E51" s="19"/>
      <c r="I51" s="1"/>
      <c r="J51" s="1"/>
    </row>
    <row r="52" spans="1:10" x14ac:dyDescent="0.25">
      <c r="A52" s="16"/>
      <c r="B52" s="19"/>
      <c r="C52" s="19"/>
      <c r="D52" s="17"/>
      <c r="E52" s="19"/>
      <c r="I52" s="1"/>
      <c r="J52" s="1"/>
    </row>
    <row r="53" spans="1:10" x14ac:dyDescent="0.25">
      <c r="A53" s="16"/>
      <c r="B53" s="19"/>
      <c r="C53" s="19"/>
      <c r="D53" s="17"/>
      <c r="E53" s="19"/>
      <c r="I53" s="1"/>
      <c r="J53" s="1"/>
    </row>
    <row r="54" spans="1:10" x14ac:dyDescent="0.25">
      <c r="A54" s="16"/>
      <c r="B54" s="19"/>
      <c r="C54" s="19"/>
      <c r="D54" s="17"/>
      <c r="E54" s="19"/>
      <c r="I54" s="1"/>
      <c r="J54" s="1"/>
    </row>
    <row r="55" spans="1:10" x14ac:dyDescent="0.25">
      <c r="A55" s="16"/>
      <c r="B55" s="19"/>
      <c r="C55" s="19"/>
      <c r="D55" s="17"/>
      <c r="E55" s="19"/>
      <c r="I55" s="1"/>
      <c r="J55" s="1"/>
    </row>
    <row r="56" spans="1:10" x14ac:dyDescent="0.25">
      <c r="A56" s="16"/>
      <c r="B56" s="19"/>
      <c r="C56" s="19"/>
      <c r="D56" s="17"/>
      <c r="E56" s="19"/>
      <c r="I56" s="1"/>
      <c r="J56" s="1"/>
    </row>
    <row r="57" spans="1:10" x14ac:dyDescent="0.25">
      <c r="A57" s="16"/>
      <c r="B57" s="19"/>
      <c r="C57" s="19"/>
      <c r="D57" s="17"/>
      <c r="E57" s="19"/>
      <c r="I57" s="1"/>
      <c r="J57" s="1"/>
    </row>
    <row r="58" spans="1:10" x14ac:dyDescent="0.25">
      <c r="A58" s="16"/>
      <c r="B58" s="19"/>
      <c r="C58" s="19"/>
      <c r="D58" s="17"/>
      <c r="E58" s="19"/>
      <c r="I58" s="1"/>
      <c r="J58" s="1"/>
    </row>
    <row r="59" spans="1:10" x14ac:dyDescent="0.25">
      <c r="A59" s="16"/>
      <c r="B59" s="19"/>
      <c r="C59" s="19"/>
      <c r="D59" s="17"/>
      <c r="E59" s="19"/>
      <c r="I59" s="1"/>
      <c r="J59" s="1"/>
    </row>
    <row r="60" spans="1:10" x14ac:dyDescent="0.25">
      <c r="A60" s="16"/>
      <c r="B60" s="19"/>
      <c r="C60" s="19"/>
      <c r="D60" s="17"/>
      <c r="E60" s="19"/>
      <c r="I60" s="1"/>
      <c r="J60" s="1"/>
    </row>
    <row r="61" spans="1:10" x14ac:dyDescent="0.25">
      <c r="A61" s="16"/>
      <c r="B61" s="19"/>
      <c r="C61" s="19"/>
      <c r="D61" s="17"/>
      <c r="E61" s="19"/>
      <c r="I61" s="1"/>
      <c r="J61" s="1"/>
    </row>
    <row r="62" spans="1:10" x14ac:dyDescent="0.25">
      <c r="A62" s="16"/>
      <c r="B62" s="19"/>
      <c r="C62" s="19"/>
      <c r="D62" s="17"/>
      <c r="E62" s="19"/>
      <c r="I62" s="1"/>
      <c r="J62" s="1"/>
    </row>
    <row r="63" spans="1:10" x14ac:dyDescent="0.25">
      <c r="A63" s="16"/>
      <c r="B63" s="19"/>
      <c r="C63" s="19"/>
      <c r="D63" s="17"/>
      <c r="E63" s="19"/>
      <c r="I63" s="1"/>
      <c r="J63" s="1"/>
    </row>
    <row r="64" spans="1:10" x14ac:dyDescent="0.25">
      <c r="A64" s="16"/>
      <c r="B64" s="19"/>
      <c r="C64" s="19"/>
      <c r="D64" s="17"/>
      <c r="E64" s="19"/>
      <c r="I64" s="1"/>
      <c r="J64" s="1"/>
    </row>
    <row r="65" spans="1:10" x14ac:dyDescent="0.25">
      <c r="A65" s="16"/>
      <c r="B65" s="19"/>
      <c r="C65" s="19"/>
      <c r="D65" s="17"/>
      <c r="E65" s="19"/>
      <c r="I65" s="1"/>
      <c r="J65" s="1"/>
    </row>
    <row r="66" spans="1:10" x14ac:dyDescent="0.25">
      <c r="A66" s="16"/>
      <c r="B66" s="19"/>
      <c r="C66" s="19"/>
      <c r="D66" s="17"/>
      <c r="E66" s="19"/>
      <c r="I66" s="1"/>
      <c r="J66" s="1"/>
    </row>
    <row r="67" spans="1:10" x14ac:dyDescent="0.25">
      <c r="A67" s="16"/>
      <c r="B67" s="19"/>
      <c r="C67" s="19"/>
      <c r="D67" s="17"/>
      <c r="E67" s="19"/>
      <c r="I67" s="1"/>
      <c r="J67" s="1"/>
    </row>
    <row r="68" spans="1:10" x14ac:dyDescent="0.25">
      <c r="A68" s="16"/>
      <c r="B68" s="19"/>
      <c r="C68" s="19"/>
      <c r="D68" s="17"/>
      <c r="E68" s="19"/>
      <c r="I68" s="1"/>
      <c r="J68" s="1"/>
    </row>
    <row r="69" spans="1:10" x14ac:dyDescent="0.25">
      <c r="A69" s="16"/>
      <c r="B69" s="19"/>
      <c r="C69" s="19"/>
      <c r="D69" s="17"/>
      <c r="E69" s="19"/>
      <c r="I69" s="1"/>
      <c r="J69" s="1"/>
    </row>
    <row r="70" spans="1:10" x14ac:dyDescent="0.25">
      <c r="A70" s="16"/>
      <c r="B70" s="19"/>
      <c r="C70" s="19"/>
      <c r="D70" s="17"/>
      <c r="E70" s="19"/>
      <c r="I70" s="1"/>
      <c r="J70" s="1"/>
    </row>
    <row r="71" spans="1:10" x14ac:dyDescent="0.25">
      <c r="A71" s="16"/>
      <c r="B71" s="19"/>
      <c r="C71" s="19"/>
      <c r="D71" s="17"/>
      <c r="E71" s="19"/>
      <c r="I71" s="1"/>
      <c r="J71" s="1"/>
    </row>
    <row r="72" spans="1:10" x14ac:dyDescent="0.25">
      <c r="A72" s="16"/>
      <c r="B72" s="19"/>
      <c r="C72" s="19"/>
      <c r="D72" s="17"/>
      <c r="E72" s="19"/>
      <c r="I72" s="1"/>
      <c r="J72" s="1"/>
    </row>
    <row r="73" spans="1:10" x14ac:dyDescent="0.25">
      <c r="A73" s="16"/>
      <c r="B73" s="19"/>
      <c r="C73" s="19"/>
      <c r="D73" s="17"/>
      <c r="E73" s="19"/>
      <c r="I73" s="1"/>
      <c r="J73" s="1"/>
    </row>
    <row r="74" spans="1:10" x14ac:dyDescent="0.25">
      <c r="A74" s="16"/>
      <c r="B74" s="19"/>
      <c r="C74" s="19"/>
      <c r="D74" s="17"/>
      <c r="E74" s="19"/>
      <c r="I74" s="1"/>
      <c r="J74" s="1"/>
    </row>
    <row r="75" spans="1:10" x14ac:dyDescent="0.25">
      <c r="A75" s="16"/>
      <c r="B75" s="19"/>
      <c r="C75" s="19"/>
      <c r="D75" s="17"/>
      <c r="E75" s="19"/>
      <c r="I75" s="1"/>
      <c r="J75" s="1"/>
    </row>
    <row r="76" spans="1:10" x14ac:dyDescent="0.25">
      <c r="A76" s="16"/>
      <c r="B76" s="19"/>
      <c r="C76" s="19"/>
      <c r="D76" s="17"/>
      <c r="E76" s="19"/>
      <c r="I76" s="1"/>
      <c r="J76" s="1"/>
    </row>
    <row r="77" spans="1:10" x14ac:dyDescent="0.25">
      <c r="A77" s="16"/>
      <c r="B77" s="19"/>
      <c r="C77" s="19"/>
      <c r="D77" s="17"/>
      <c r="E77" s="19"/>
      <c r="I77" s="1"/>
      <c r="J77" s="1"/>
    </row>
    <row r="78" spans="1:10" x14ac:dyDescent="0.25">
      <c r="A78" s="16"/>
      <c r="B78" s="19"/>
      <c r="C78" s="19"/>
      <c r="D78" s="17"/>
      <c r="E78" s="19"/>
      <c r="I78" s="1"/>
      <c r="J78" s="1"/>
    </row>
    <row r="79" spans="1:10" x14ac:dyDescent="0.25">
      <c r="A79" s="16"/>
      <c r="B79" s="19"/>
      <c r="C79" s="19"/>
      <c r="D79" s="17"/>
      <c r="E79" s="19"/>
      <c r="I79" s="1"/>
      <c r="J79" s="1"/>
    </row>
    <row r="80" spans="1:10" x14ac:dyDescent="0.25">
      <c r="A80" s="16"/>
      <c r="B80" s="19"/>
      <c r="C80" s="19"/>
      <c r="D80" s="17"/>
      <c r="E80" s="19"/>
      <c r="I80" s="1"/>
      <c r="J80" s="1"/>
    </row>
    <row r="81" spans="1:10" x14ac:dyDescent="0.25">
      <c r="A81" s="16"/>
      <c r="B81" s="19"/>
      <c r="C81" s="19"/>
      <c r="D81" s="17"/>
      <c r="E81" s="19"/>
      <c r="I81" s="1"/>
      <c r="J81" s="1"/>
    </row>
    <row r="82" spans="1:10" x14ac:dyDescent="0.25">
      <c r="A82" s="16"/>
      <c r="B82" s="19"/>
      <c r="C82" s="19"/>
      <c r="D82" s="17"/>
      <c r="E82" s="19"/>
      <c r="I82" s="1"/>
      <c r="J82" s="1"/>
    </row>
    <row r="83" spans="1:10" x14ac:dyDescent="0.25">
      <c r="A83" s="16"/>
      <c r="B83" s="19"/>
      <c r="C83" s="19"/>
      <c r="D83" s="17"/>
      <c r="E83" s="19"/>
      <c r="I83" s="1"/>
      <c r="J83" s="1"/>
    </row>
    <row r="84" spans="1:10" x14ac:dyDescent="0.25">
      <c r="A84" s="16"/>
      <c r="B84" s="19"/>
      <c r="C84" s="19"/>
      <c r="D84" s="17"/>
      <c r="E84" s="19"/>
      <c r="I84" s="1"/>
      <c r="J84" s="1"/>
    </row>
    <row r="85" spans="1:10" x14ac:dyDescent="0.25">
      <c r="A85" s="16"/>
      <c r="B85" s="19"/>
      <c r="C85" s="19"/>
      <c r="D85" s="17"/>
      <c r="E85" s="19"/>
      <c r="I85" s="1"/>
      <c r="J85" s="1"/>
    </row>
    <row r="86" spans="1:10" x14ac:dyDescent="0.25">
      <c r="A86" s="16"/>
      <c r="B86" s="19"/>
      <c r="C86" s="19"/>
      <c r="D86" s="17"/>
      <c r="E86" s="19"/>
      <c r="I86" s="1"/>
      <c r="J86" s="1"/>
    </row>
    <row r="87" spans="1:10" x14ac:dyDescent="0.25">
      <c r="A87" s="16"/>
      <c r="B87" s="19"/>
      <c r="C87" s="19"/>
      <c r="D87" s="17"/>
      <c r="E87" s="19"/>
      <c r="I87" s="1"/>
      <c r="J87" s="1"/>
    </row>
    <row r="88" spans="1:10" x14ac:dyDescent="0.25">
      <c r="A88" s="16"/>
      <c r="B88" s="19"/>
      <c r="C88" s="19"/>
      <c r="D88" s="17"/>
      <c r="E88" s="19"/>
      <c r="I88" s="1"/>
      <c r="J88" s="1"/>
    </row>
    <row r="89" spans="1:10" x14ac:dyDescent="0.25">
      <c r="A89" s="16"/>
      <c r="B89" s="19"/>
      <c r="C89" s="19"/>
      <c r="D89" s="17"/>
      <c r="E89" s="19"/>
      <c r="I89" s="1"/>
      <c r="J89" s="1"/>
    </row>
    <row r="90" spans="1:10" x14ac:dyDescent="0.25">
      <c r="A90" s="16"/>
      <c r="B90" s="19"/>
      <c r="C90" s="19"/>
      <c r="D90" s="17"/>
      <c r="E90" s="19"/>
      <c r="I90" s="1"/>
      <c r="J90" s="1"/>
    </row>
    <row r="91" spans="1:10" x14ac:dyDescent="0.25">
      <c r="A91" s="16"/>
      <c r="B91" s="19"/>
      <c r="C91" s="19"/>
      <c r="D91" s="17"/>
      <c r="E91" s="19"/>
      <c r="I91" s="1"/>
      <c r="J91" s="1"/>
    </row>
    <row r="92" spans="1:10" x14ac:dyDescent="0.25">
      <c r="A92" s="16"/>
      <c r="B92" s="19"/>
      <c r="C92" s="19"/>
      <c r="D92" s="17"/>
      <c r="E92" s="19"/>
      <c r="I92" s="1"/>
      <c r="J92" s="1"/>
    </row>
    <row r="93" spans="1:10" x14ac:dyDescent="0.25">
      <c r="A93" s="16"/>
      <c r="B93" s="19"/>
      <c r="C93" s="19"/>
      <c r="D93" s="17"/>
      <c r="E93" s="19"/>
      <c r="I93" s="1"/>
      <c r="J93" s="1"/>
    </row>
    <row r="94" spans="1:10" x14ac:dyDescent="0.25">
      <c r="A94" s="16"/>
      <c r="B94" s="19"/>
      <c r="C94" s="19"/>
      <c r="D94" s="17"/>
      <c r="E94" s="19"/>
      <c r="I94" s="1"/>
      <c r="J94" s="1"/>
    </row>
    <row r="95" spans="1:10" x14ac:dyDescent="0.25">
      <c r="A95" s="16"/>
      <c r="B95" s="19"/>
      <c r="C95" s="19"/>
      <c r="D95" s="17"/>
      <c r="E95" s="19"/>
      <c r="I95" s="1"/>
      <c r="J95" s="1"/>
    </row>
    <row r="96" spans="1:10" x14ac:dyDescent="0.25">
      <c r="A96" s="16"/>
      <c r="B96" s="19"/>
      <c r="C96" s="19"/>
      <c r="D96" s="17"/>
      <c r="E96" s="19"/>
      <c r="I96" s="1"/>
      <c r="J96" s="1"/>
    </row>
    <row r="97" spans="1:10" x14ac:dyDescent="0.25">
      <c r="A97" s="16"/>
      <c r="B97" s="19"/>
      <c r="C97" s="19"/>
      <c r="D97" s="17"/>
      <c r="E97" s="19"/>
      <c r="I97" s="1"/>
      <c r="J97" s="1"/>
    </row>
    <row r="98" spans="1:10" x14ac:dyDescent="0.25">
      <c r="A98" s="16"/>
      <c r="B98" s="19"/>
      <c r="C98" s="19"/>
      <c r="D98" s="17"/>
      <c r="E98" s="19"/>
      <c r="I98" s="1"/>
      <c r="J98" s="1"/>
    </row>
    <row r="99" spans="1:10" x14ac:dyDescent="0.25">
      <c r="A99" s="16"/>
      <c r="B99" s="19"/>
      <c r="C99" s="19"/>
      <c r="D99" s="17"/>
      <c r="E99" s="19"/>
      <c r="I99" s="1"/>
      <c r="J99" s="1"/>
    </row>
    <row r="100" spans="1:10" x14ac:dyDescent="0.25">
      <c r="A100" s="16"/>
      <c r="B100" s="19"/>
      <c r="C100" s="19"/>
      <c r="D100" s="17"/>
      <c r="E100" s="19"/>
      <c r="I100" s="1"/>
      <c r="J100" s="1"/>
    </row>
    <row r="101" spans="1:10" x14ac:dyDescent="0.25">
      <c r="B101" s="19"/>
      <c r="C101" s="19"/>
      <c r="D101" s="17"/>
      <c r="E101" s="19"/>
      <c r="I101" s="1"/>
      <c r="J101" s="1"/>
    </row>
    <row r="102" spans="1:10" x14ac:dyDescent="0.25">
      <c r="B102" s="19"/>
      <c r="C102" s="19"/>
      <c r="D102" s="17"/>
      <c r="E102" s="19"/>
      <c r="I102" s="1"/>
      <c r="J102" s="1"/>
    </row>
    <row r="103" spans="1:10" x14ac:dyDescent="0.25">
      <c r="B103" s="19"/>
      <c r="C103" s="19"/>
      <c r="D103" s="17"/>
      <c r="E103" s="19"/>
      <c r="I103" s="1"/>
      <c r="J103" s="1"/>
    </row>
    <row r="104" spans="1:10" x14ac:dyDescent="0.25">
      <c r="B104" s="19"/>
      <c r="C104" s="19"/>
      <c r="D104" s="17"/>
      <c r="E104" s="19"/>
      <c r="I104" s="1"/>
      <c r="J104" s="1"/>
    </row>
    <row r="105" spans="1:10" x14ac:dyDescent="0.25">
      <c r="B105" s="19"/>
      <c r="C105" s="19"/>
      <c r="D105" s="17"/>
      <c r="E105" s="19"/>
      <c r="I105" s="1"/>
      <c r="J105" s="1"/>
    </row>
    <row r="106" spans="1:10" x14ac:dyDescent="0.25">
      <c r="B106" s="19"/>
      <c r="C106" s="19"/>
      <c r="D106" s="17"/>
      <c r="E106" s="19"/>
      <c r="I106" s="1"/>
      <c r="J106" s="1"/>
    </row>
    <row r="107" spans="1:10" x14ac:dyDescent="0.25">
      <c r="B107" s="19"/>
      <c r="C107" s="19"/>
      <c r="D107" s="17"/>
      <c r="E107" s="19"/>
      <c r="I107" s="1"/>
      <c r="J107" s="1"/>
    </row>
    <row r="108" spans="1:10" x14ac:dyDescent="0.25">
      <c r="B108" s="19"/>
      <c r="C108" s="19"/>
      <c r="D108" s="17"/>
      <c r="E108" s="19"/>
      <c r="F108" s="31" t="s">
        <v>68</v>
      </c>
      <c r="I108" s="1"/>
      <c r="J108" s="1"/>
    </row>
    <row r="109" spans="1:10" x14ac:dyDescent="0.25">
      <c r="B109" s="19"/>
      <c r="C109" s="19"/>
      <c r="D109" s="17"/>
      <c r="E109" s="19"/>
      <c r="I109" s="1"/>
      <c r="J109" s="1"/>
    </row>
    <row r="110" spans="1:10" x14ac:dyDescent="0.25">
      <c r="B110" s="19"/>
      <c r="C110" s="19"/>
      <c r="D110" s="17"/>
      <c r="E110" s="19"/>
      <c r="I110" s="1"/>
      <c r="J110" s="1"/>
    </row>
    <row r="111" spans="1:10" x14ac:dyDescent="0.25">
      <c r="B111" s="19"/>
      <c r="C111" s="19"/>
      <c r="D111" s="17"/>
      <c r="E111" s="19"/>
      <c r="I111" s="1"/>
      <c r="J111" s="1"/>
    </row>
    <row r="112" spans="1:10" x14ac:dyDescent="0.25">
      <c r="B112" s="19"/>
      <c r="C112" s="19"/>
      <c r="D112" s="17"/>
      <c r="E112" s="19"/>
      <c r="I112" s="1"/>
      <c r="J112" s="1"/>
    </row>
    <row r="113" spans="2:10" x14ac:dyDescent="0.25">
      <c r="B113" s="19"/>
      <c r="C113" s="19"/>
      <c r="D113" s="17"/>
      <c r="E113" s="19"/>
      <c r="I113" s="1"/>
      <c r="J113" s="1"/>
    </row>
    <row r="114" spans="2:10" x14ac:dyDescent="0.25">
      <c r="B114" s="19"/>
      <c r="C114" s="19"/>
      <c r="D114" s="17"/>
      <c r="E114" s="19"/>
      <c r="I114" s="1"/>
      <c r="J114" s="1"/>
    </row>
    <row r="115" spans="2:10" x14ac:dyDescent="0.25">
      <c r="B115" s="19"/>
      <c r="C115" s="19"/>
      <c r="D115" s="17"/>
      <c r="E115" s="19"/>
      <c r="I115" s="1"/>
      <c r="J115" s="1"/>
    </row>
    <row r="116" spans="2:10" x14ac:dyDescent="0.25">
      <c r="B116" s="19"/>
      <c r="C116" s="19"/>
      <c r="D116" s="17"/>
      <c r="E116" s="19"/>
      <c r="I116" s="1"/>
      <c r="J116" s="1"/>
    </row>
    <row r="117" spans="2:10" x14ac:dyDescent="0.25">
      <c r="B117" s="19"/>
      <c r="C117" s="19"/>
      <c r="D117" s="17"/>
      <c r="E117" s="19"/>
      <c r="I117" s="1"/>
      <c r="J117" s="1"/>
    </row>
    <row r="118" spans="2:10" x14ac:dyDescent="0.25">
      <c r="B118" s="19"/>
      <c r="C118" s="19"/>
      <c r="D118" s="17"/>
      <c r="E118" s="19"/>
      <c r="I118" s="1"/>
      <c r="J118" s="1"/>
    </row>
    <row r="119" spans="2:10" x14ac:dyDescent="0.25">
      <c r="B119" s="19"/>
      <c r="C119" s="19"/>
      <c r="D119" s="17"/>
      <c r="E119" s="19"/>
      <c r="I119" s="1"/>
      <c r="J119" s="1"/>
    </row>
    <row r="120" spans="2:10" x14ac:dyDescent="0.25">
      <c r="B120" s="19"/>
      <c r="C120" s="19"/>
      <c r="D120" s="17"/>
      <c r="E120" s="19"/>
      <c r="I120" s="1"/>
      <c r="J120" s="1"/>
    </row>
    <row r="121" spans="2:10" x14ac:dyDescent="0.25">
      <c r="B121" s="19"/>
      <c r="C121" s="19"/>
      <c r="D121" s="17"/>
      <c r="E121" s="19"/>
      <c r="I121" s="1"/>
      <c r="J121" s="1"/>
    </row>
    <row r="122" spans="2:10" x14ac:dyDescent="0.25">
      <c r="B122" s="19"/>
      <c r="C122" s="19"/>
      <c r="D122" s="17"/>
      <c r="E122" s="19"/>
      <c r="I122" s="1"/>
      <c r="J122" s="1"/>
    </row>
    <row r="123" spans="2:10" x14ac:dyDescent="0.25">
      <c r="B123" s="19"/>
      <c r="C123" s="19"/>
      <c r="D123" s="17"/>
      <c r="E123" s="19"/>
      <c r="I123" s="1"/>
      <c r="J123" s="1"/>
    </row>
    <row r="124" spans="2:10" x14ac:dyDescent="0.25">
      <c r="B124" s="19"/>
      <c r="C124" s="19"/>
      <c r="D124" s="17"/>
      <c r="E124" s="19"/>
      <c r="I124" s="1"/>
      <c r="J124" s="1"/>
    </row>
    <row r="125" spans="2:10" x14ac:dyDescent="0.25">
      <c r="B125" s="19"/>
      <c r="C125" s="19"/>
      <c r="D125" s="17"/>
      <c r="E125" s="19"/>
      <c r="I125" s="1"/>
      <c r="J125" s="1"/>
    </row>
    <row r="126" spans="2:10" x14ac:dyDescent="0.25">
      <c r="B126" s="19"/>
      <c r="C126" s="19"/>
      <c r="D126" s="17"/>
      <c r="E126" s="19"/>
      <c r="I126" s="1"/>
      <c r="J126" s="1"/>
    </row>
    <row r="127" spans="2:10" x14ac:dyDescent="0.25">
      <c r="B127" s="19"/>
      <c r="C127" s="19"/>
      <c r="D127" s="17"/>
      <c r="E127" s="19"/>
      <c r="I127" s="1"/>
      <c r="J127" s="1"/>
    </row>
    <row r="128" spans="2:10" x14ac:dyDescent="0.25">
      <c r="B128" s="19"/>
      <c r="C128" s="19"/>
      <c r="D128" s="17"/>
      <c r="E128" s="19"/>
      <c r="I128" s="1"/>
      <c r="J128" s="1"/>
    </row>
    <row r="129" spans="2:10" x14ac:dyDescent="0.25">
      <c r="B129" s="19"/>
      <c r="C129" s="19"/>
      <c r="D129" s="17"/>
      <c r="E129" s="19"/>
      <c r="I129" s="1"/>
      <c r="J129" s="1"/>
    </row>
    <row r="130" spans="2:10" x14ac:dyDescent="0.25">
      <c r="B130" s="19"/>
      <c r="C130" s="19"/>
      <c r="D130" s="17"/>
      <c r="E130" s="19"/>
      <c r="I130" s="1"/>
      <c r="J130" s="1"/>
    </row>
    <row r="131" spans="2:10" x14ac:dyDescent="0.25">
      <c r="B131" s="19"/>
      <c r="C131" s="19"/>
      <c r="D131" s="17"/>
      <c r="E131" s="19"/>
      <c r="I131" s="1"/>
      <c r="J131" s="1"/>
    </row>
    <row r="132" spans="2:10" x14ac:dyDescent="0.25">
      <c r="B132" s="19"/>
      <c r="C132" s="19"/>
      <c r="D132" s="17"/>
      <c r="E132" s="19"/>
      <c r="I132" s="1"/>
      <c r="J132" s="1"/>
    </row>
    <row r="133" spans="2:10" x14ac:dyDescent="0.25">
      <c r="B133" s="19"/>
      <c r="C133" s="19"/>
      <c r="D133" s="17"/>
      <c r="E133" s="19"/>
      <c r="I133" s="1"/>
      <c r="J133" s="1"/>
    </row>
    <row r="134" spans="2:10" x14ac:dyDescent="0.25">
      <c r="B134" s="19"/>
      <c r="C134" s="19"/>
      <c r="D134" s="17"/>
      <c r="E134" s="19"/>
      <c r="I134" s="1"/>
      <c r="J134" s="1"/>
    </row>
    <row r="135" spans="2:10" x14ac:dyDescent="0.25">
      <c r="B135" s="19"/>
      <c r="C135" s="19"/>
      <c r="D135" s="17"/>
      <c r="E135" s="19"/>
      <c r="I135" s="1"/>
      <c r="J135" s="1"/>
    </row>
    <row r="136" spans="2:10" x14ac:dyDescent="0.25">
      <c r="B136" s="19"/>
      <c r="C136" s="19"/>
      <c r="D136" s="17"/>
      <c r="E136" s="19"/>
      <c r="I136" s="1"/>
      <c r="J136" s="1"/>
    </row>
    <row r="137" spans="2:10" x14ac:dyDescent="0.25">
      <c r="B137" s="19"/>
      <c r="C137" s="19"/>
      <c r="D137" s="17"/>
      <c r="E137" s="19"/>
      <c r="I137" s="1"/>
      <c r="J137" s="1"/>
    </row>
    <row r="138" spans="2:10" x14ac:dyDescent="0.25">
      <c r="B138" s="19"/>
      <c r="C138" s="19"/>
      <c r="D138" s="17"/>
      <c r="E138" s="19"/>
      <c r="I138" s="1"/>
      <c r="J138" s="1"/>
    </row>
    <row r="139" spans="2:10" x14ac:dyDescent="0.25">
      <c r="B139" s="19"/>
      <c r="C139" s="19"/>
      <c r="D139" s="17"/>
      <c r="E139" s="19"/>
      <c r="I139" s="1"/>
      <c r="J139" s="1"/>
    </row>
    <row r="140" spans="2:10" x14ac:dyDescent="0.25">
      <c r="B140" s="19"/>
      <c r="C140" s="19"/>
      <c r="D140" s="17"/>
      <c r="E140" s="19"/>
      <c r="I140" s="1"/>
      <c r="J140" s="1"/>
    </row>
    <row r="141" spans="2:10" x14ac:dyDescent="0.25">
      <c r="B141" s="19"/>
      <c r="C141" s="19"/>
      <c r="D141" s="17"/>
      <c r="E141" s="19"/>
      <c r="I141" s="1"/>
      <c r="J141" s="1"/>
    </row>
    <row r="142" spans="2:10" x14ac:dyDescent="0.25">
      <c r="B142" s="19"/>
      <c r="C142" s="19"/>
      <c r="D142" s="17"/>
      <c r="E142" s="19"/>
      <c r="I142" s="1"/>
      <c r="J142" s="1"/>
    </row>
    <row r="143" spans="2:10" x14ac:dyDescent="0.25">
      <c r="B143" s="19"/>
      <c r="C143" s="19"/>
      <c r="D143" s="17"/>
      <c r="E143" s="19"/>
      <c r="I143" s="1"/>
      <c r="J143" s="1"/>
    </row>
    <row r="144" spans="2:10" x14ac:dyDescent="0.25">
      <c r="B144" s="19"/>
      <c r="C144" s="19"/>
      <c r="D144" s="17"/>
      <c r="E144" s="19"/>
      <c r="I144" s="1"/>
      <c r="J144" s="1"/>
    </row>
    <row r="145" spans="2:10" x14ac:dyDescent="0.25">
      <c r="B145" s="19"/>
      <c r="C145" s="19"/>
      <c r="D145" s="17"/>
      <c r="E145" s="19"/>
      <c r="I145" s="1"/>
      <c r="J145" s="1"/>
    </row>
    <row r="146" spans="2:10" x14ac:dyDescent="0.25">
      <c r="B146" s="19"/>
      <c r="C146" s="19"/>
      <c r="D146" s="17"/>
      <c r="E146" s="19"/>
      <c r="I146" s="1"/>
      <c r="J146" s="1"/>
    </row>
    <row r="147" spans="2:10" x14ac:dyDescent="0.25">
      <c r="B147" s="19"/>
      <c r="C147" s="19"/>
      <c r="D147" s="17"/>
      <c r="E147" s="19"/>
      <c r="I147" s="1"/>
      <c r="J147" s="1"/>
    </row>
    <row r="148" spans="2:10" x14ac:dyDescent="0.25">
      <c r="B148" s="19"/>
      <c r="C148" s="19"/>
      <c r="D148" s="17"/>
      <c r="E148" s="19"/>
      <c r="I148" s="1"/>
      <c r="J148" s="1"/>
    </row>
    <row r="149" spans="2:10" x14ac:dyDescent="0.25">
      <c r="B149" s="19"/>
      <c r="C149" s="19"/>
      <c r="D149" s="17"/>
      <c r="E149" s="19"/>
      <c r="I149" s="1"/>
      <c r="J149" s="1"/>
    </row>
    <row r="150" spans="2:10" x14ac:dyDescent="0.25">
      <c r="B150" s="19"/>
      <c r="C150" s="19"/>
      <c r="D150" s="17"/>
      <c r="E150" s="19"/>
      <c r="I150" s="1"/>
      <c r="J150" s="1"/>
    </row>
    <row r="151" spans="2:10" x14ac:dyDescent="0.25">
      <c r="B151" s="19"/>
      <c r="C151" s="19"/>
      <c r="D151" s="17"/>
      <c r="E151" s="19"/>
      <c r="I151" s="1"/>
      <c r="J151" s="1"/>
    </row>
    <row r="152" spans="2:10" x14ac:dyDescent="0.25">
      <c r="B152" s="19"/>
      <c r="C152" s="19"/>
      <c r="D152" s="17"/>
      <c r="E152" s="19"/>
      <c r="I152" s="1"/>
      <c r="J152" s="1"/>
    </row>
    <row r="153" spans="2:10" x14ac:dyDescent="0.25">
      <c r="B153" s="19"/>
      <c r="C153" s="19"/>
      <c r="D153" s="17"/>
      <c r="E153" s="19"/>
      <c r="I153" s="1"/>
      <c r="J153" s="1"/>
    </row>
    <row r="154" spans="2:10" x14ac:dyDescent="0.25">
      <c r="B154" s="19"/>
      <c r="C154" s="19"/>
      <c r="D154" s="17"/>
      <c r="E154" s="19"/>
      <c r="I154" s="1"/>
      <c r="J154" s="1"/>
    </row>
    <row r="155" spans="2:10" x14ac:dyDescent="0.25">
      <c r="B155" s="19"/>
      <c r="C155" s="19"/>
      <c r="D155" s="17"/>
      <c r="E155" s="19"/>
      <c r="I155" s="1"/>
      <c r="J155" s="1"/>
    </row>
    <row r="156" spans="2:10" x14ac:dyDescent="0.25">
      <c r="B156" s="19"/>
      <c r="C156" s="19"/>
      <c r="D156" s="17"/>
      <c r="E156" s="19"/>
      <c r="I156" s="1"/>
      <c r="J156" s="1"/>
    </row>
    <row r="157" spans="2:10" x14ac:dyDescent="0.25">
      <c r="B157" s="19"/>
      <c r="C157" s="19"/>
      <c r="D157" s="17"/>
      <c r="E157" s="19"/>
      <c r="I157" s="1"/>
      <c r="J157" s="1"/>
    </row>
    <row r="158" spans="2:10" x14ac:dyDescent="0.25">
      <c r="B158" s="19"/>
      <c r="C158" s="19"/>
      <c r="D158" s="17"/>
      <c r="E158" s="19"/>
      <c r="I158" s="1"/>
      <c r="J158" s="1"/>
    </row>
    <row r="159" spans="2:10" x14ac:dyDescent="0.25">
      <c r="B159" s="19"/>
      <c r="C159" s="19"/>
      <c r="D159" s="17"/>
      <c r="E159" s="19"/>
      <c r="I159" s="1"/>
      <c r="J159" s="1"/>
    </row>
    <row r="160" spans="2:10" x14ac:dyDescent="0.25">
      <c r="B160" s="19"/>
      <c r="C160" s="19"/>
      <c r="D160" s="17"/>
      <c r="E160" s="19"/>
    </row>
    <row r="161" spans="2:5" x14ac:dyDescent="0.25">
      <c r="B161" s="19"/>
      <c r="C161" s="19"/>
      <c r="D161" s="17"/>
      <c r="E161" s="19"/>
    </row>
    <row r="162" spans="2:5" x14ac:dyDescent="0.25">
      <c r="B162" s="19"/>
      <c r="C162" s="19"/>
      <c r="D162" s="17"/>
      <c r="E162" s="19"/>
    </row>
    <row r="163" spans="2:5" x14ac:dyDescent="0.25">
      <c r="B163" s="19"/>
      <c r="C163" s="19"/>
      <c r="D163" s="17"/>
      <c r="E163" s="19"/>
    </row>
    <row r="164" spans="2:5" x14ac:dyDescent="0.25">
      <c r="B164" s="19"/>
      <c r="C164" s="19"/>
      <c r="D164" s="17"/>
      <c r="E164" s="19"/>
    </row>
    <row r="165" spans="2:5" x14ac:dyDescent="0.25">
      <c r="B165" s="19"/>
      <c r="C165" s="19"/>
      <c r="D165" s="17"/>
      <c r="E165" s="19"/>
    </row>
    <row r="166" spans="2:5" x14ac:dyDescent="0.25">
      <c r="B166" s="19"/>
      <c r="C166" s="19"/>
      <c r="D166" s="17"/>
      <c r="E166" s="19"/>
    </row>
    <row r="167" spans="2:5" x14ac:dyDescent="0.25">
      <c r="B167" s="19"/>
      <c r="C167" s="19"/>
      <c r="D167" s="17"/>
      <c r="E167" s="19"/>
    </row>
    <row r="168" spans="2:5" x14ac:dyDescent="0.25">
      <c r="B168" s="19"/>
      <c r="C168" s="19"/>
      <c r="D168" s="17"/>
      <c r="E168" s="19"/>
    </row>
    <row r="169" spans="2:5" x14ac:dyDescent="0.25">
      <c r="B169" s="19"/>
      <c r="C169" s="19"/>
      <c r="D169" s="17"/>
      <c r="E169" s="19"/>
    </row>
    <row r="170" spans="2:5" x14ac:dyDescent="0.25">
      <c r="B170" s="19"/>
      <c r="C170" s="19"/>
      <c r="D170" s="17"/>
      <c r="E170" s="19"/>
    </row>
    <row r="171" spans="2:5" x14ac:dyDescent="0.25">
      <c r="B171" s="19"/>
      <c r="C171" s="19"/>
      <c r="D171" s="17"/>
      <c r="E171" s="19"/>
    </row>
    <row r="172" spans="2:5" x14ac:dyDescent="0.25">
      <c r="B172" s="19"/>
      <c r="C172" s="19"/>
      <c r="D172" s="17"/>
      <c r="E172" s="19"/>
    </row>
    <row r="173" spans="2:5" x14ac:dyDescent="0.25">
      <c r="B173" s="19"/>
      <c r="C173" s="19"/>
      <c r="D173" s="17"/>
      <c r="E173" s="19"/>
    </row>
    <row r="174" spans="2:5" x14ac:dyDescent="0.25">
      <c r="B174" s="19"/>
      <c r="C174" s="19"/>
      <c r="D174" s="17"/>
      <c r="E174" s="19"/>
    </row>
    <row r="175" spans="2:5" x14ac:dyDescent="0.25">
      <c r="B175" s="19"/>
      <c r="C175" s="19"/>
      <c r="D175" s="17"/>
      <c r="E175" s="19"/>
    </row>
    <row r="176" spans="2:5" x14ac:dyDescent="0.25">
      <c r="B176" s="19"/>
      <c r="C176" s="19"/>
      <c r="D176" s="17"/>
      <c r="E176" s="19"/>
    </row>
    <row r="177" spans="2:5" x14ac:dyDescent="0.25">
      <c r="B177" s="19"/>
      <c r="C177" s="19"/>
      <c r="D177" s="17"/>
      <c r="E177" s="19"/>
    </row>
    <row r="178" spans="2:5" x14ac:dyDescent="0.25">
      <c r="B178" s="19"/>
      <c r="C178" s="19"/>
      <c r="D178" s="17"/>
      <c r="E178" s="19"/>
    </row>
    <row r="179" spans="2:5" x14ac:dyDescent="0.25">
      <c r="B179" s="19"/>
      <c r="C179" s="19"/>
      <c r="D179" s="17"/>
      <c r="E179" s="19"/>
    </row>
    <row r="180" spans="2:5" x14ac:dyDescent="0.25">
      <c r="B180" s="19"/>
      <c r="C180" s="19"/>
      <c r="D180" s="17"/>
      <c r="E180" s="19"/>
    </row>
    <row r="181" spans="2:5" x14ac:dyDescent="0.25">
      <c r="B181" s="19"/>
      <c r="C181" s="19"/>
      <c r="D181" s="17"/>
      <c r="E181" s="19"/>
    </row>
    <row r="182" spans="2:5" x14ac:dyDescent="0.25">
      <c r="B182" s="19"/>
      <c r="C182" s="19"/>
      <c r="D182" s="17"/>
      <c r="E182" s="19"/>
    </row>
    <row r="183" spans="2:5" x14ac:dyDescent="0.25">
      <c r="B183" s="19"/>
      <c r="C183" s="19"/>
      <c r="D183" s="17"/>
      <c r="E183" s="19"/>
    </row>
    <row r="184" spans="2:5" x14ac:dyDescent="0.25">
      <c r="B184" s="19"/>
      <c r="C184" s="19"/>
      <c r="D184" s="17"/>
      <c r="E184" s="19"/>
    </row>
    <row r="185" spans="2:5" x14ac:dyDescent="0.25">
      <c r="B185" s="19"/>
      <c r="C185" s="19"/>
      <c r="D185" s="17"/>
      <c r="E185" s="19"/>
    </row>
    <row r="186" spans="2:5" x14ac:dyDescent="0.25">
      <c r="B186" s="19"/>
      <c r="C186" s="19"/>
      <c r="D186" s="17"/>
      <c r="E186" s="19"/>
    </row>
    <row r="187" spans="2:5" x14ac:dyDescent="0.25">
      <c r="B187" s="19"/>
      <c r="C187" s="19"/>
      <c r="D187" s="17"/>
      <c r="E187" s="19"/>
    </row>
    <row r="188" spans="2:5" x14ac:dyDescent="0.25">
      <c r="B188" s="19"/>
      <c r="C188" s="19"/>
      <c r="D188" s="17"/>
      <c r="E188" s="19"/>
    </row>
    <row r="189" spans="2:5" x14ac:dyDescent="0.25">
      <c r="B189" s="19"/>
      <c r="C189" s="19"/>
      <c r="D189" s="17"/>
      <c r="E189" s="19"/>
    </row>
    <row r="190" spans="2:5" x14ac:dyDescent="0.25">
      <c r="B190" s="19"/>
      <c r="C190" s="19"/>
      <c r="D190" s="17"/>
      <c r="E190" s="19"/>
    </row>
    <row r="191" spans="2:5" x14ac:dyDescent="0.25">
      <c r="B191" s="19"/>
      <c r="C191" s="19"/>
      <c r="D191" s="17"/>
      <c r="E191" s="19"/>
    </row>
    <row r="192" spans="2:5" x14ac:dyDescent="0.25">
      <c r="B192" s="19"/>
      <c r="C192" s="19"/>
      <c r="D192" s="17"/>
      <c r="E192" s="19"/>
    </row>
    <row r="193" spans="2:5" x14ac:dyDescent="0.25">
      <c r="B193" s="19"/>
      <c r="C193" s="19"/>
      <c r="D193" s="17"/>
      <c r="E193" s="19"/>
    </row>
    <row r="194" spans="2:5" x14ac:dyDescent="0.25">
      <c r="B194" s="19"/>
      <c r="C194" s="19"/>
      <c r="D194" s="17"/>
      <c r="E194" s="19"/>
    </row>
    <row r="195" spans="2:5" x14ac:dyDescent="0.25">
      <c r="B195" s="19"/>
      <c r="C195" s="19"/>
      <c r="D195" s="17"/>
      <c r="E195" s="19"/>
    </row>
    <row r="196" spans="2:5" x14ac:dyDescent="0.25">
      <c r="B196" s="19"/>
      <c r="C196" s="19"/>
      <c r="D196" s="17"/>
      <c r="E196" s="19"/>
    </row>
    <row r="197" spans="2:5" x14ac:dyDescent="0.25">
      <c r="B197" s="19"/>
      <c r="C197" s="19"/>
      <c r="D197" s="17"/>
      <c r="E197" s="19"/>
    </row>
    <row r="198" spans="2:5" x14ac:dyDescent="0.25">
      <c r="B198" s="19"/>
      <c r="C198" s="19"/>
      <c r="D198" s="17"/>
      <c r="E198" s="19"/>
    </row>
    <row r="199" spans="2:5" x14ac:dyDescent="0.25">
      <c r="B199" s="19"/>
      <c r="C199" s="19"/>
      <c r="D199" s="17"/>
      <c r="E199" s="19"/>
    </row>
    <row r="200" spans="2:5" x14ac:dyDescent="0.25">
      <c r="B200" s="19"/>
      <c r="C200" s="19"/>
      <c r="D200" s="17"/>
      <c r="E200" s="19"/>
    </row>
    <row r="201" spans="2:5" x14ac:dyDescent="0.25">
      <c r="B201" s="19"/>
      <c r="C201" s="19"/>
      <c r="D201" s="17"/>
      <c r="E201" s="19"/>
    </row>
    <row r="202" spans="2:5" x14ac:dyDescent="0.25">
      <c r="B202" s="19"/>
      <c r="C202" s="19"/>
      <c r="D202" s="17"/>
      <c r="E202" s="19"/>
    </row>
    <row r="203" spans="2:5" x14ac:dyDescent="0.25">
      <c r="B203" s="19"/>
      <c r="C203" s="19"/>
      <c r="D203" s="17"/>
      <c r="E203" s="19"/>
    </row>
    <row r="204" spans="2:5" x14ac:dyDescent="0.25">
      <c r="B204" s="19"/>
      <c r="C204" s="19"/>
      <c r="D204" s="17"/>
      <c r="E204" s="19"/>
    </row>
    <row r="205" spans="2:5" x14ac:dyDescent="0.25">
      <c r="B205" s="19"/>
      <c r="C205" s="19"/>
      <c r="D205" s="17"/>
      <c r="E205" s="19"/>
    </row>
    <row r="206" spans="2:5" x14ac:dyDescent="0.25">
      <c r="B206" s="19"/>
      <c r="C206" s="19"/>
      <c r="D206" s="17"/>
      <c r="E206" s="19"/>
    </row>
    <row r="207" spans="2:5" x14ac:dyDescent="0.25">
      <c r="B207" s="19"/>
      <c r="C207" s="19"/>
      <c r="D207" s="17"/>
      <c r="E207" s="19"/>
    </row>
    <row r="208" spans="2:5" x14ac:dyDescent="0.25">
      <c r="B208" s="19"/>
      <c r="C208" s="19"/>
      <c r="D208" s="17"/>
      <c r="E208" s="19"/>
    </row>
    <row r="209" spans="2:5" x14ac:dyDescent="0.25">
      <c r="B209" s="19"/>
      <c r="C209" s="19"/>
      <c r="D209" s="17"/>
      <c r="E209" s="19"/>
    </row>
    <row r="210" spans="2:5" x14ac:dyDescent="0.25">
      <c r="B210" s="19"/>
      <c r="C210" s="19"/>
      <c r="D210" s="17"/>
      <c r="E210" s="19"/>
    </row>
    <row r="211" spans="2:5" x14ac:dyDescent="0.25">
      <c r="B211" s="19"/>
      <c r="C211" s="19"/>
      <c r="D211" s="17"/>
      <c r="E211" s="19"/>
    </row>
    <row r="212" spans="2:5" x14ac:dyDescent="0.25">
      <c r="B212" s="19"/>
      <c r="C212" s="19"/>
      <c r="D212" s="17"/>
      <c r="E212" s="19"/>
    </row>
    <row r="213" spans="2:5" x14ac:dyDescent="0.25">
      <c r="B213" s="19"/>
      <c r="C213" s="19"/>
      <c r="D213" s="17"/>
      <c r="E213" s="19"/>
    </row>
    <row r="214" spans="2:5" x14ac:dyDescent="0.25">
      <c r="B214" s="19"/>
      <c r="C214" s="19"/>
      <c r="D214" s="17"/>
      <c r="E214" s="19"/>
    </row>
    <row r="215" spans="2:5" x14ac:dyDescent="0.25">
      <c r="B215" s="19"/>
      <c r="C215" s="19"/>
      <c r="D215" s="17"/>
      <c r="E215" s="19"/>
    </row>
    <row r="216" spans="2:5" x14ac:dyDescent="0.25">
      <c r="B216" s="19"/>
      <c r="C216" s="19"/>
      <c r="D216" s="17"/>
      <c r="E216" s="19"/>
    </row>
    <row r="217" spans="2:5" x14ac:dyDescent="0.25">
      <c r="B217" s="19"/>
      <c r="C217" s="19"/>
      <c r="D217" s="17"/>
      <c r="E217" s="19"/>
    </row>
    <row r="218" spans="2:5" x14ac:dyDescent="0.25">
      <c r="B218" s="19"/>
      <c r="C218" s="19"/>
      <c r="D218" s="17"/>
      <c r="E218" s="19"/>
    </row>
    <row r="219" spans="2:5" x14ac:dyDescent="0.25">
      <c r="B219" s="19"/>
      <c r="C219" s="19"/>
      <c r="D219" s="17"/>
      <c r="E219" s="19"/>
    </row>
    <row r="220" spans="2:5" x14ac:dyDescent="0.25">
      <c r="B220" s="19"/>
      <c r="C220" s="19"/>
      <c r="D220" s="17"/>
      <c r="E220" s="19"/>
    </row>
    <row r="221" spans="2:5" x14ac:dyDescent="0.25">
      <c r="B221" s="19"/>
      <c r="C221" s="19"/>
      <c r="D221" s="17"/>
      <c r="E221" s="19"/>
    </row>
    <row r="222" spans="2:5" x14ac:dyDescent="0.25">
      <c r="B222" s="19"/>
      <c r="C222" s="19"/>
      <c r="D222" s="17"/>
      <c r="E222" s="19"/>
    </row>
    <row r="223" spans="2:5" x14ac:dyDescent="0.25">
      <c r="B223" s="19"/>
      <c r="C223" s="19"/>
      <c r="D223" s="17"/>
      <c r="E223" s="19"/>
    </row>
    <row r="224" spans="2:5" x14ac:dyDescent="0.25">
      <c r="B224" s="19"/>
      <c r="C224" s="19"/>
      <c r="D224" s="17"/>
      <c r="E224" s="19"/>
    </row>
    <row r="225" spans="2:5" x14ac:dyDescent="0.25">
      <c r="B225" s="19"/>
      <c r="C225" s="19"/>
      <c r="D225" s="17"/>
      <c r="E225" s="19"/>
    </row>
    <row r="226" spans="2:5" x14ac:dyDescent="0.25">
      <c r="B226" s="19"/>
      <c r="C226" s="19"/>
      <c r="D226" s="17"/>
      <c r="E226" s="19"/>
    </row>
    <row r="227" spans="2:5" x14ac:dyDescent="0.25">
      <c r="B227" s="19"/>
      <c r="C227" s="19"/>
      <c r="D227" s="17"/>
      <c r="E227" s="19"/>
    </row>
    <row r="228" spans="2:5" x14ac:dyDescent="0.25">
      <c r="B228" s="19"/>
      <c r="C228" s="19"/>
      <c r="D228" s="17"/>
      <c r="E228" s="19"/>
    </row>
    <row r="229" spans="2:5" x14ac:dyDescent="0.25">
      <c r="B229" s="19"/>
      <c r="C229" s="19"/>
      <c r="D229" s="17"/>
      <c r="E229" s="19"/>
    </row>
    <row r="230" spans="2:5" x14ac:dyDescent="0.25">
      <c r="B230" s="19"/>
      <c r="C230" s="19"/>
      <c r="D230" s="17"/>
      <c r="E230" s="19"/>
    </row>
    <row r="231" spans="2:5" x14ac:dyDescent="0.25">
      <c r="B231" s="19"/>
      <c r="C231" s="19"/>
      <c r="D231" s="17"/>
      <c r="E231" s="19"/>
    </row>
    <row r="232" spans="2:5" x14ac:dyDescent="0.25">
      <c r="B232" s="19"/>
      <c r="C232" s="19"/>
      <c r="D232" s="17"/>
      <c r="E232" s="19"/>
    </row>
    <row r="233" spans="2:5" x14ac:dyDescent="0.25">
      <c r="B233" s="19"/>
      <c r="C233" s="19"/>
      <c r="D233" s="17"/>
      <c r="E233" s="19"/>
    </row>
    <row r="234" spans="2:5" x14ac:dyDescent="0.25">
      <c r="B234" s="19"/>
      <c r="C234" s="19"/>
      <c r="D234" s="17"/>
      <c r="E234" s="19"/>
    </row>
    <row r="235" spans="2:5" x14ac:dyDescent="0.25">
      <c r="B235" s="19"/>
      <c r="C235" s="19"/>
      <c r="D235" s="17"/>
      <c r="E235" s="19"/>
    </row>
    <row r="236" spans="2:5" x14ac:dyDescent="0.25">
      <c r="B236" s="19"/>
      <c r="C236" s="19"/>
      <c r="D236" s="17"/>
      <c r="E236" s="19"/>
    </row>
    <row r="237" spans="2:5" x14ac:dyDescent="0.25">
      <c r="B237" s="19"/>
      <c r="C237" s="19"/>
      <c r="D237" s="17"/>
      <c r="E237" s="19"/>
    </row>
    <row r="238" spans="2:5" x14ac:dyDescent="0.25">
      <c r="B238" s="19"/>
      <c r="C238" s="19"/>
      <c r="D238" s="17"/>
      <c r="E238" s="19"/>
    </row>
    <row r="239" spans="2:5" x14ac:dyDescent="0.25">
      <c r="B239" s="19"/>
      <c r="C239" s="19"/>
      <c r="D239" s="17"/>
      <c r="E239" s="19"/>
    </row>
    <row r="240" spans="2:5" x14ac:dyDescent="0.25">
      <c r="B240" s="19"/>
      <c r="C240" s="19"/>
      <c r="D240" s="17"/>
      <c r="E240" s="19"/>
    </row>
    <row r="241" spans="2:5" x14ac:dyDescent="0.25">
      <c r="B241" s="19"/>
      <c r="C241" s="19"/>
      <c r="D241" s="17"/>
      <c r="E241" s="19"/>
    </row>
    <row r="242" spans="2:5" x14ac:dyDescent="0.25">
      <c r="B242" s="19"/>
      <c r="C242" s="19"/>
      <c r="D242" s="17"/>
      <c r="E242" s="19"/>
    </row>
    <row r="243" spans="2:5" x14ac:dyDescent="0.25">
      <c r="B243" s="19"/>
      <c r="C243" s="19"/>
      <c r="D243" s="17"/>
      <c r="E243" s="19"/>
    </row>
    <row r="244" spans="2:5" x14ac:dyDescent="0.25">
      <c r="B244" s="19"/>
      <c r="C244" s="19"/>
      <c r="D244" s="17"/>
      <c r="E244" s="19"/>
    </row>
    <row r="245" spans="2:5" x14ac:dyDescent="0.25">
      <c r="B245" s="19"/>
      <c r="C245" s="19"/>
      <c r="D245" s="17"/>
      <c r="E245" s="19"/>
    </row>
    <row r="246" spans="2:5" x14ac:dyDescent="0.25">
      <c r="B246" s="19"/>
      <c r="C246" s="19"/>
      <c r="D246" s="17"/>
      <c r="E246" s="19"/>
    </row>
    <row r="247" spans="2:5" x14ac:dyDescent="0.25">
      <c r="B247" s="19"/>
      <c r="C247" s="19"/>
      <c r="D247" s="17"/>
      <c r="E247" s="19"/>
    </row>
    <row r="248" spans="2:5" x14ac:dyDescent="0.25">
      <c r="B248" s="19"/>
      <c r="C248" s="19"/>
      <c r="D248" s="17"/>
      <c r="E248" s="19"/>
    </row>
    <row r="249" spans="2:5" x14ac:dyDescent="0.25">
      <c r="B249" s="19"/>
      <c r="C249" s="19"/>
      <c r="D249" s="17"/>
      <c r="E249" s="19"/>
    </row>
    <row r="250" spans="2:5" x14ac:dyDescent="0.25">
      <c r="B250" s="19"/>
      <c r="C250" s="19"/>
      <c r="D250" s="17"/>
      <c r="E250" s="19"/>
    </row>
    <row r="251" spans="2:5" x14ac:dyDescent="0.25">
      <c r="B251" s="19"/>
      <c r="C251" s="19"/>
      <c r="D251" s="17"/>
      <c r="E251" s="19"/>
    </row>
    <row r="252" spans="2:5" x14ac:dyDescent="0.25">
      <c r="B252" s="19"/>
      <c r="C252" s="19"/>
      <c r="D252" s="17"/>
      <c r="E252" s="19"/>
    </row>
    <row r="253" spans="2:5" x14ac:dyDescent="0.25">
      <c r="B253" s="19"/>
      <c r="C253" s="19"/>
      <c r="D253" s="17"/>
      <c r="E253" s="19"/>
    </row>
    <row r="254" spans="2:5" x14ac:dyDescent="0.25">
      <c r="B254" s="19"/>
      <c r="C254" s="19"/>
      <c r="D254" s="17"/>
      <c r="E254" s="19"/>
    </row>
    <row r="255" spans="2:5" x14ac:dyDescent="0.25">
      <c r="B255" s="19"/>
      <c r="C255" s="19"/>
      <c r="D255" s="17"/>
      <c r="E255" s="19"/>
    </row>
    <row r="256" spans="2:5" x14ac:dyDescent="0.25">
      <c r="B256" s="19"/>
      <c r="C256" s="19"/>
      <c r="D256" s="17"/>
      <c r="E256" s="19"/>
    </row>
    <row r="257" spans="2:5" x14ac:dyDescent="0.25">
      <c r="B257" s="19"/>
      <c r="C257" s="19"/>
      <c r="D257" s="17"/>
      <c r="E257" s="19"/>
    </row>
    <row r="258" spans="2:5" x14ac:dyDescent="0.25">
      <c r="B258" s="19"/>
      <c r="C258" s="19"/>
      <c r="D258" s="17"/>
      <c r="E258" s="19"/>
    </row>
    <row r="259" spans="2:5" x14ac:dyDescent="0.25">
      <c r="B259" s="19"/>
      <c r="C259" s="19"/>
      <c r="D259" s="17"/>
      <c r="E259" s="19"/>
    </row>
    <row r="260" spans="2:5" x14ac:dyDescent="0.25">
      <c r="B260" s="19"/>
      <c r="C260" s="19"/>
      <c r="D260" s="17"/>
      <c r="E260" s="19"/>
    </row>
    <row r="261" spans="2:5" x14ac:dyDescent="0.25">
      <c r="B261" s="19"/>
      <c r="C261" s="19"/>
      <c r="D261" s="17"/>
      <c r="E261" s="19"/>
    </row>
    <row r="262" spans="2:5" x14ac:dyDescent="0.25">
      <c r="B262" s="19"/>
      <c r="C262" s="19"/>
      <c r="D262" s="17"/>
      <c r="E262" s="19"/>
    </row>
    <row r="263" spans="2:5" x14ac:dyDescent="0.25">
      <c r="B263" s="19"/>
      <c r="C263" s="19"/>
      <c r="D263" s="17"/>
      <c r="E263" s="19"/>
    </row>
    <row r="264" spans="2:5" x14ac:dyDescent="0.25">
      <c r="B264" s="19"/>
      <c r="C264" s="19"/>
      <c r="D264" s="17"/>
      <c r="E264" s="19"/>
    </row>
    <row r="265" spans="2:5" x14ac:dyDescent="0.25">
      <c r="B265" s="19"/>
      <c r="C265" s="19"/>
      <c r="D265" s="17"/>
      <c r="E265" s="19"/>
    </row>
    <row r="266" spans="2:5" x14ac:dyDescent="0.25">
      <c r="B266" s="19"/>
      <c r="C266" s="19"/>
      <c r="D266" s="17"/>
      <c r="E266" s="19"/>
    </row>
    <row r="267" spans="2:5" x14ac:dyDescent="0.25">
      <c r="B267" s="19"/>
      <c r="C267" s="19"/>
      <c r="D267" s="17"/>
      <c r="E267" s="19"/>
    </row>
    <row r="268" spans="2:5" x14ac:dyDescent="0.25">
      <c r="B268" s="19"/>
      <c r="C268" s="19"/>
      <c r="D268" s="17"/>
      <c r="E268" s="19"/>
    </row>
    <row r="269" spans="2:5" x14ac:dyDescent="0.25">
      <c r="B269" s="19"/>
      <c r="C269" s="19"/>
      <c r="D269" s="17"/>
      <c r="E269" s="19"/>
    </row>
    <row r="270" spans="2:5" x14ac:dyDescent="0.25">
      <c r="B270" s="19"/>
      <c r="C270" s="19"/>
      <c r="D270" s="17"/>
      <c r="E270" s="19"/>
    </row>
    <row r="271" spans="2:5" x14ac:dyDescent="0.25">
      <c r="B271" s="19"/>
      <c r="C271" s="19"/>
      <c r="D271" s="17"/>
      <c r="E271" s="19"/>
    </row>
    <row r="272" spans="2:5" x14ac:dyDescent="0.25">
      <c r="B272" s="19"/>
      <c r="C272" s="19"/>
      <c r="D272" s="17"/>
      <c r="E272" s="19"/>
    </row>
    <row r="273" spans="2:5" x14ac:dyDescent="0.25">
      <c r="B273" s="19"/>
      <c r="C273" s="19"/>
      <c r="D273" s="17"/>
      <c r="E273" s="19"/>
    </row>
    <row r="274" spans="2:5" x14ac:dyDescent="0.25">
      <c r="B274" s="19"/>
      <c r="C274" s="19"/>
      <c r="D274" s="17"/>
      <c r="E274" s="19"/>
    </row>
    <row r="275" spans="2:5" x14ac:dyDescent="0.25">
      <c r="B275" s="19"/>
      <c r="C275" s="19"/>
      <c r="D275" s="17"/>
      <c r="E275" s="19"/>
    </row>
    <row r="276" spans="2:5" x14ac:dyDescent="0.25">
      <c r="B276" s="19"/>
      <c r="C276" s="19"/>
      <c r="D276" s="17"/>
      <c r="E276" s="19"/>
    </row>
    <row r="277" spans="2:5" x14ac:dyDescent="0.25">
      <c r="B277" s="19"/>
      <c r="C277" s="19"/>
      <c r="D277" s="17"/>
      <c r="E277" s="19"/>
    </row>
    <row r="278" spans="2:5" x14ac:dyDescent="0.25">
      <c r="B278" s="19"/>
      <c r="C278" s="19"/>
      <c r="D278" s="17"/>
      <c r="E278" s="19"/>
    </row>
    <row r="279" spans="2:5" x14ac:dyDescent="0.25">
      <c r="B279" s="19"/>
      <c r="C279" s="19"/>
      <c r="D279" s="17"/>
      <c r="E279" s="19"/>
    </row>
    <row r="280" spans="2:5" x14ac:dyDescent="0.25">
      <c r="B280" s="19"/>
      <c r="C280" s="19"/>
      <c r="D280" s="17"/>
      <c r="E280" s="19"/>
    </row>
    <row r="281" spans="2:5" x14ac:dyDescent="0.25">
      <c r="B281" s="19"/>
      <c r="C281" s="19"/>
      <c r="D281" s="17"/>
      <c r="E281" s="19"/>
    </row>
    <row r="282" spans="2:5" x14ac:dyDescent="0.25">
      <c r="B282" s="19"/>
      <c r="C282" s="19"/>
      <c r="D282" s="17"/>
      <c r="E282" s="19"/>
    </row>
    <row r="283" spans="2:5" x14ac:dyDescent="0.25">
      <c r="B283" s="19"/>
      <c r="C283" s="19"/>
      <c r="D283" s="17"/>
      <c r="E283" s="19"/>
    </row>
    <row r="284" spans="2:5" x14ac:dyDescent="0.25">
      <c r="B284" s="19"/>
      <c r="C284" s="19"/>
      <c r="D284" s="17"/>
      <c r="E284" s="19"/>
    </row>
    <row r="285" spans="2:5" x14ac:dyDescent="0.25">
      <c r="B285" s="19"/>
      <c r="C285" s="19"/>
      <c r="D285" s="17"/>
      <c r="E285" s="19"/>
    </row>
    <row r="286" spans="2:5" x14ac:dyDescent="0.25">
      <c r="B286" s="19"/>
      <c r="C286" s="19"/>
      <c r="D286" s="17"/>
      <c r="E286" s="19"/>
    </row>
    <row r="287" spans="2:5" x14ac:dyDescent="0.25">
      <c r="B287" s="19"/>
      <c r="C287" s="19"/>
      <c r="D287" s="17"/>
      <c r="E287" s="19"/>
    </row>
    <row r="288" spans="2:5" x14ac:dyDescent="0.25">
      <c r="B288" s="19"/>
      <c r="C288" s="19"/>
      <c r="D288" s="17"/>
      <c r="E288" s="19"/>
    </row>
    <row r="289" spans="2:5" x14ac:dyDescent="0.25">
      <c r="B289" s="19"/>
      <c r="C289" s="19"/>
      <c r="D289" s="17"/>
      <c r="E289" s="19"/>
    </row>
    <row r="290" spans="2:5" x14ac:dyDescent="0.25">
      <c r="B290" s="19"/>
      <c r="C290" s="19"/>
      <c r="D290" s="17"/>
      <c r="E290" s="19"/>
    </row>
    <row r="291" spans="2:5" x14ac:dyDescent="0.25">
      <c r="B291" s="19"/>
      <c r="C291" s="19"/>
      <c r="D291" s="17"/>
      <c r="E291" s="19"/>
    </row>
    <row r="292" spans="2:5" x14ac:dyDescent="0.25">
      <c r="B292" s="19"/>
      <c r="C292" s="19"/>
      <c r="D292" s="17"/>
      <c r="E292" s="19"/>
    </row>
    <row r="293" spans="2:5" x14ac:dyDescent="0.25">
      <c r="B293" s="19"/>
      <c r="C293" s="19"/>
      <c r="D293" s="17"/>
      <c r="E293" s="19"/>
    </row>
    <row r="294" spans="2:5" x14ac:dyDescent="0.25">
      <c r="B294" s="19"/>
      <c r="C294" s="19"/>
      <c r="D294" s="17"/>
      <c r="E294" s="19"/>
    </row>
    <row r="295" spans="2:5" x14ac:dyDescent="0.25">
      <c r="B295" s="19"/>
      <c r="C295" s="19"/>
      <c r="D295" s="17"/>
      <c r="E295" s="19"/>
    </row>
    <row r="296" spans="2:5" x14ac:dyDescent="0.25">
      <c r="B296" s="19"/>
      <c r="C296" s="19"/>
      <c r="D296" s="17"/>
      <c r="E296" s="19"/>
    </row>
    <row r="297" spans="2:5" x14ac:dyDescent="0.25">
      <c r="B297" s="19"/>
      <c r="C297" s="19"/>
      <c r="D297" s="17"/>
      <c r="E297" s="19"/>
    </row>
    <row r="298" spans="2:5" x14ac:dyDescent="0.25">
      <c r="B298" s="19"/>
      <c r="C298" s="19"/>
      <c r="D298" s="17"/>
      <c r="E298" s="19"/>
    </row>
    <row r="299" spans="2:5" x14ac:dyDescent="0.25">
      <c r="B299" s="19"/>
      <c r="C299" s="19"/>
      <c r="D299" s="17"/>
      <c r="E299" s="19"/>
    </row>
    <row r="300" spans="2:5" x14ac:dyDescent="0.25">
      <c r="B300" s="19"/>
      <c r="C300" s="19"/>
      <c r="D300" s="17"/>
      <c r="E300" s="19"/>
    </row>
    <row r="301" spans="2:5" x14ac:dyDescent="0.25">
      <c r="B301" s="19"/>
      <c r="C301" s="19"/>
      <c r="D301" s="17"/>
      <c r="E301" s="19"/>
    </row>
    <row r="302" spans="2:5" x14ac:dyDescent="0.25">
      <c r="B302" s="19"/>
      <c r="C302" s="19"/>
      <c r="D302" s="17"/>
      <c r="E302" s="19"/>
    </row>
    <row r="303" spans="2:5" x14ac:dyDescent="0.25">
      <c r="B303" s="19"/>
      <c r="C303" s="19"/>
      <c r="D303" s="17"/>
      <c r="E303" s="19"/>
    </row>
    <row r="304" spans="2:5" x14ac:dyDescent="0.25">
      <c r="B304" s="19"/>
      <c r="C304" s="19"/>
      <c r="D304" s="17"/>
      <c r="E304" s="19"/>
    </row>
    <row r="305" spans="2:5" x14ac:dyDescent="0.25">
      <c r="B305" s="19"/>
      <c r="C305" s="19"/>
      <c r="D305" s="17"/>
      <c r="E305" s="19"/>
    </row>
    <row r="306" spans="2:5" x14ac:dyDescent="0.25">
      <c r="B306" s="19"/>
      <c r="C306" s="19"/>
      <c r="D306" s="17"/>
      <c r="E306" s="19"/>
    </row>
    <row r="307" spans="2:5" x14ac:dyDescent="0.25">
      <c r="B307" s="19"/>
      <c r="C307" s="19"/>
      <c r="D307" s="17"/>
      <c r="E307" s="19"/>
    </row>
    <row r="308" spans="2:5" x14ac:dyDescent="0.25">
      <c r="B308" s="19"/>
      <c r="C308" s="19"/>
      <c r="D308" s="17"/>
      <c r="E308" s="19"/>
    </row>
    <row r="309" spans="2:5" x14ac:dyDescent="0.25">
      <c r="B309" s="19"/>
      <c r="C309" s="19"/>
      <c r="D309" s="17"/>
      <c r="E309" s="19"/>
    </row>
    <row r="310" spans="2:5" x14ac:dyDescent="0.25">
      <c r="B310" s="19"/>
      <c r="C310" s="19"/>
      <c r="D310" s="17"/>
      <c r="E310" s="19"/>
    </row>
    <row r="311" spans="2:5" x14ac:dyDescent="0.25">
      <c r="B311" s="19"/>
      <c r="C311" s="19"/>
      <c r="D311" s="17"/>
      <c r="E311" s="19"/>
    </row>
    <row r="312" spans="2:5" x14ac:dyDescent="0.25">
      <c r="B312" s="19"/>
      <c r="C312" s="19"/>
      <c r="D312" s="17"/>
      <c r="E312" s="19"/>
    </row>
    <row r="313" spans="2:5" x14ac:dyDescent="0.25">
      <c r="B313" s="19"/>
      <c r="C313" s="19"/>
      <c r="D313" s="17"/>
      <c r="E313" s="19"/>
    </row>
    <row r="314" spans="2:5" x14ac:dyDescent="0.25">
      <c r="B314" s="19"/>
      <c r="C314" s="19"/>
      <c r="D314" s="17"/>
      <c r="E314" s="19"/>
    </row>
    <row r="315" spans="2:5" x14ac:dyDescent="0.25">
      <c r="B315" s="19"/>
      <c r="C315" s="19"/>
      <c r="D315" s="17"/>
      <c r="E315" s="19"/>
    </row>
    <row r="316" spans="2:5" x14ac:dyDescent="0.25">
      <c r="B316" s="19"/>
      <c r="C316" s="19"/>
      <c r="D316" s="17"/>
      <c r="E316" s="19"/>
    </row>
    <row r="317" spans="2:5" x14ac:dyDescent="0.25">
      <c r="B317" s="19"/>
      <c r="C317" s="19"/>
      <c r="D317" s="17"/>
      <c r="E317" s="19"/>
    </row>
    <row r="318" spans="2:5" x14ac:dyDescent="0.25">
      <c r="B318" s="19"/>
      <c r="C318" s="19"/>
      <c r="D318" s="17"/>
      <c r="E318" s="19"/>
    </row>
    <row r="319" spans="2:5" x14ac:dyDescent="0.25">
      <c r="B319" s="19"/>
      <c r="C319" s="19"/>
      <c r="D319" s="17"/>
      <c r="E319" s="19"/>
    </row>
    <row r="320" spans="2:5" x14ac:dyDescent="0.25">
      <c r="B320" s="19"/>
      <c r="C320" s="19"/>
      <c r="D320" s="17"/>
      <c r="E320" s="19"/>
    </row>
    <row r="321" spans="2:5" x14ac:dyDescent="0.25">
      <c r="B321" s="19"/>
      <c r="C321" s="19"/>
      <c r="D321" s="17"/>
      <c r="E321" s="19"/>
    </row>
    <row r="322" spans="2:5" x14ac:dyDescent="0.25">
      <c r="B322" s="19"/>
      <c r="C322" s="19"/>
      <c r="D322" s="17"/>
      <c r="E322" s="19"/>
    </row>
    <row r="323" spans="2:5" x14ac:dyDescent="0.25">
      <c r="B323" s="19"/>
      <c r="C323" s="19"/>
      <c r="D323" s="17"/>
      <c r="E323" s="19"/>
    </row>
    <row r="324" spans="2:5" x14ac:dyDescent="0.25">
      <c r="B324" s="19"/>
      <c r="C324" s="19"/>
      <c r="D324" s="17"/>
      <c r="E324" s="19"/>
    </row>
    <row r="325" spans="2:5" x14ac:dyDescent="0.25">
      <c r="B325" s="19"/>
      <c r="C325" s="19"/>
      <c r="D325" s="17"/>
      <c r="E325" s="19"/>
    </row>
    <row r="326" spans="2:5" x14ac:dyDescent="0.25">
      <c r="B326" s="19"/>
      <c r="C326" s="19"/>
      <c r="D326" s="17"/>
      <c r="E326" s="19"/>
    </row>
    <row r="327" spans="2:5" x14ac:dyDescent="0.25">
      <c r="B327" s="19"/>
      <c r="C327" s="19"/>
      <c r="D327" s="17"/>
      <c r="E327" s="19"/>
    </row>
    <row r="328" spans="2:5" x14ac:dyDescent="0.25">
      <c r="B328" s="19"/>
      <c r="C328" s="19"/>
      <c r="D328" s="17"/>
      <c r="E328" s="19"/>
    </row>
    <row r="329" spans="2:5" x14ac:dyDescent="0.25">
      <c r="B329" s="19"/>
      <c r="C329" s="19"/>
      <c r="D329" s="17"/>
      <c r="E329" s="19"/>
    </row>
    <row r="330" spans="2:5" x14ac:dyDescent="0.25">
      <c r="B330" s="19"/>
      <c r="C330" s="19"/>
      <c r="D330" s="17"/>
      <c r="E330" s="19"/>
    </row>
    <row r="331" spans="2:5" x14ac:dyDescent="0.25">
      <c r="B331" s="19"/>
      <c r="C331" s="19"/>
      <c r="D331" s="17"/>
      <c r="E331" s="19"/>
    </row>
    <row r="332" spans="2:5" x14ac:dyDescent="0.25">
      <c r="B332" s="19"/>
      <c r="C332" s="19"/>
      <c r="D332" s="17"/>
      <c r="E332" s="19"/>
    </row>
    <row r="333" spans="2:5" x14ac:dyDescent="0.25">
      <c r="B333" s="19"/>
      <c r="C333" s="19"/>
      <c r="D333" s="17"/>
      <c r="E333" s="19"/>
    </row>
    <row r="334" spans="2:5" x14ac:dyDescent="0.25">
      <c r="B334" s="19"/>
      <c r="C334" s="19"/>
      <c r="D334" s="17"/>
      <c r="E334" s="19"/>
    </row>
    <row r="335" spans="2:5" x14ac:dyDescent="0.25">
      <c r="B335" s="19"/>
      <c r="C335" s="19"/>
      <c r="D335" s="17"/>
      <c r="E335" s="19"/>
    </row>
    <row r="336" spans="2:5" x14ac:dyDescent="0.25">
      <c r="B336" s="19"/>
      <c r="C336" s="19"/>
      <c r="D336" s="17"/>
      <c r="E336" s="19"/>
    </row>
    <row r="337" spans="2:5" x14ac:dyDescent="0.25">
      <c r="B337" s="19"/>
      <c r="C337" s="19"/>
      <c r="D337" s="17"/>
      <c r="E337" s="19"/>
    </row>
    <row r="338" spans="2:5" x14ac:dyDescent="0.25">
      <c r="B338" s="19"/>
      <c r="C338" s="19"/>
      <c r="D338" s="17"/>
      <c r="E338" s="19"/>
    </row>
    <row r="339" spans="2:5" x14ac:dyDescent="0.25">
      <c r="B339" s="19"/>
      <c r="C339" s="19"/>
      <c r="D339" s="17"/>
      <c r="E339" s="19"/>
    </row>
    <row r="340" spans="2:5" x14ac:dyDescent="0.25">
      <c r="B340" s="19"/>
      <c r="C340" s="19"/>
      <c r="D340" s="17"/>
      <c r="E340" s="19"/>
    </row>
    <row r="341" spans="2:5" x14ac:dyDescent="0.25">
      <c r="B341" s="19"/>
      <c r="C341" s="19"/>
      <c r="D341" s="17"/>
      <c r="E341" s="19"/>
    </row>
    <row r="342" spans="2:5" x14ac:dyDescent="0.25">
      <c r="B342" s="19"/>
      <c r="C342" s="19"/>
      <c r="D342" s="17"/>
      <c r="E342" s="19"/>
    </row>
    <row r="343" spans="2:5" x14ac:dyDescent="0.25">
      <c r="B343" s="19"/>
      <c r="C343" s="19"/>
      <c r="D343" s="17"/>
      <c r="E343" s="19"/>
    </row>
    <row r="344" spans="2:5" x14ac:dyDescent="0.25">
      <c r="B344" s="19"/>
      <c r="C344" s="19"/>
      <c r="D344" s="17"/>
      <c r="E344" s="19"/>
    </row>
    <row r="345" spans="2:5" x14ac:dyDescent="0.25">
      <c r="B345" s="19"/>
      <c r="C345" s="19"/>
      <c r="D345" s="17"/>
      <c r="E345" s="19"/>
    </row>
    <row r="346" spans="2:5" x14ac:dyDescent="0.25">
      <c r="B346" s="19"/>
      <c r="C346" s="19"/>
      <c r="D346" s="17"/>
      <c r="E346" s="19"/>
    </row>
    <row r="347" spans="2:5" x14ac:dyDescent="0.25">
      <c r="B347" s="19"/>
      <c r="C347" s="19"/>
      <c r="D347" s="17"/>
      <c r="E347" s="19"/>
    </row>
    <row r="348" spans="2:5" x14ac:dyDescent="0.25">
      <c r="B348" s="19"/>
      <c r="C348" s="19"/>
      <c r="D348" s="17"/>
      <c r="E348" s="19"/>
    </row>
    <row r="349" spans="2:5" x14ac:dyDescent="0.25">
      <c r="B349" s="19"/>
      <c r="C349" s="19"/>
      <c r="D349" s="17"/>
      <c r="E349" s="19"/>
    </row>
    <row r="350" spans="2:5" x14ac:dyDescent="0.25">
      <c r="B350" s="19"/>
      <c r="C350" s="19"/>
      <c r="D350" s="17"/>
      <c r="E350" s="19"/>
    </row>
    <row r="351" spans="2:5" x14ac:dyDescent="0.25">
      <c r="B351" s="19"/>
      <c r="C351" s="19"/>
      <c r="D351" s="17"/>
      <c r="E351" s="19"/>
    </row>
    <row r="352" spans="2:5" x14ac:dyDescent="0.25">
      <c r="B352" s="19"/>
      <c r="C352" s="19"/>
      <c r="D352" s="17"/>
      <c r="E352" s="19"/>
    </row>
    <row r="353" spans="2:5" x14ac:dyDescent="0.25">
      <c r="B353" s="19"/>
      <c r="C353" s="19"/>
      <c r="D353" s="17"/>
      <c r="E353" s="19"/>
    </row>
    <row r="354" spans="2:5" x14ac:dyDescent="0.25">
      <c r="B354" s="19"/>
      <c r="C354" s="19"/>
      <c r="D354" s="17"/>
      <c r="E354" s="19"/>
    </row>
    <row r="355" spans="2:5" x14ac:dyDescent="0.25">
      <c r="B355" s="19"/>
      <c r="C355" s="19"/>
      <c r="D355" s="17"/>
      <c r="E355" s="19"/>
    </row>
    <row r="356" spans="2:5" x14ac:dyDescent="0.25">
      <c r="B356" s="19"/>
      <c r="C356" s="19"/>
      <c r="D356" s="17"/>
      <c r="E356" s="19"/>
    </row>
    <row r="357" spans="2:5" x14ac:dyDescent="0.25">
      <c r="B357" s="19"/>
      <c r="C357" s="19"/>
      <c r="D357" s="17"/>
      <c r="E357" s="19"/>
    </row>
    <row r="358" spans="2:5" x14ac:dyDescent="0.25">
      <c r="B358" s="19"/>
      <c r="C358" s="19"/>
      <c r="D358" s="17"/>
      <c r="E358" s="19"/>
    </row>
    <row r="359" spans="2:5" x14ac:dyDescent="0.25">
      <c r="B359" s="19"/>
      <c r="C359" s="19"/>
      <c r="D359" s="17"/>
      <c r="E359" s="19"/>
    </row>
    <row r="360" spans="2:5" x14ac:dyDescent="0.25">
      <c r="B360" s="19"/>
      <c r="C360" s="19"/>
      <c r="D360" s="17"/>
      <c r="E360" s="19"/>
    </row>
    <row r="361" spans="2:5" x14ac:dyDescent="0.25">
      <c r="B361" s="19"/>
      <c r="C361" s="19"/>
      <c r="D361" s="17"/>
      <c r="E361" s="19"/>
    </row>
    <row r="362" spans="2:5" x14ac:dyDescent="0.25">
      <c r="B362" s="19"/>
      <c r="C362" s="19"/>
      <c r="D362" s="17"/>
      <c r="E362" s="19"/>
    </row>
    <row r="363" spans="2:5" x14ac:dyDescent="0.25">
      <c r="B363" s="19"/>
      <c r="C363" s="19"/>
      <c r="D363" s="17"/>
      <c r="E363" s="19"/>
    </row>
    <row r="364" spans="2:5" x14ac:dyDescent="0.25">
      <c r="B364" s="19"/>
      <c r="C364" s="19"/>
      <c r="D364" s="17"/>
      <c r="E364" s="19"/>
    </row>
    <row r="365" spans="2:5" x14ac:dyDescent="0.25">
      <c r="B365" s="19"/>
      <c r="C365" s="19"/>
      <c r="D365" s="17"/>
      <c r="E365" s="19"/>
    </row>
    <row r="366" spans="2:5" x14ac:dyDescent="0.25">
      <c r="B366" s="19"/>
      <c r="C366" s="19"/>
      <c r="D366" s="17"/>
      <c r="E366" s="19"/>
    </row>
    <row r="367" spans="2:5" x14ac:dyDescent="0.25">
      <c r="B367" s="19"/>
      <c r="C367" s="19"/>
      <c r="D367" s="17"/>
      <c r="E367" s="19"/>
    </row>
    <row r="368" spans="2:5" x14ac:dyDescent="0.25">
      <c r="B368" s="19"/>
      <c r="C368" s="19"/>
      <c r="D368" s="17"/>
      <c r="E368" s="19"/>
    </row>
    <row r="369" spans="2:5" x14ac:dyDescent="0.25">
      <c r="B369" s="19"/>
      <c r="C369" s="19"/>
      <c r="D369" s="17"/>
      <c r="E369" s="19"/>
    </row>
    <row r="370" spans="2:5" x14ac:dyDescent="0.25">
      <c r="B370" s="19"/>
      <c r="C370" s="19"/>
      <c r="D370" s="17"/>
      <c r="E370" s="19"/>
    </row>
    <row r="371" spans="2:5" x14ac:dyDescent="0.25">
      <c r="B371" s="19"/>
      <c r="C371" s="19"/>
      <c r="D371" s="17"/>
      <c r="E371" s="19"/>
    </row>
    <row r="372" spans="2:5" x14ac:dyDescent="0.25">
      <c r="B372" s="19"/>
      <c r="C372" s="19"/>
      <c r="D372" s="17"/>
      <c r="E372" s="19"/>
    </row>
    <row r="373" spans="2:5" x14ac:dyDescent="0.25">
      <c r="B373" s="19"/>
      <c r="C373" s="19"/>
      <c r="D373" s="17"/>
      <c r="E373" s="19"/>
    </row>
    <row r="374" spans="2:5" x14ac:dyDescent="0.25">
      <c r="B374" s="19"/>
      <c r="C374" s="19"/>
      <c r="D374" s="17"/>
      <c r="E374" s="19"/>
    </row>
    <row r="375" spans="2:5" x14ac:dyDescent="0.25">
      <c r="B375" s="19"/>
      <c r="C375" s="19"/>
      <c r="D375" s="17"/>
      <c r="E375" s="19"/>
    </row>
    <row r="376" spans="2:5" x14ac:dyDescent="0.25">
      <c r="B376" s="19"/>
      <c r="C376" s="19"/>
      <c r="D376" s="17"/>
      <c r="E376" s="19"/>
    </row>
    <row r="377" spans="2:5" x14ac:dyDescent="0.25">
      <c r="B377" s="19"/>
      <c r="C377" s="19"/>
      <c r="D377" s="17"/>
      <c r="E377" s="19"/>
    </row>
    <row r="378" spans="2:5" x14ac:dyDescent="0.25">
      <c r="B378" s="19"/>
      <c r="C378" s="19"/>
      <c r="D378" s="17"/>
      <c r="E378" s="19"/>
    </row>
    <row r="379" spans="2:5" x14ac:dyDescent="0.25">
      <c r="B379" s="19"/>
      <c r="C379" s="19"/>
      <c r="D379" s="17"/>
      <c r="E379" s="19"/>
    </row>
    <row r="380" spans="2:5" x14ac:dyDescent="0.25">
      <c r="B380" s="19"/>
      <c r="C380" s="19"/>
      <c r="D380" s="17"/>
      <c r="E380" s="19"/>
    </row>
    <row r="381" spans="2:5" x14ac:dyDescent="0.25">
      <c r="B381" s="19"/>
      <c r="C381" s="19"/>
      <c r="D381" s="17"/>
      <c r="E381" s="19"/>
    </row>
    <row r="382" spans="2:5" x14ac:dyDescent="0.25">
      <c r="B382" s="19"/>
      <c r="C382" s="19"/>
      <c r="D382" s="17"/>
      <c r="E382" s="19"/>
    </row>
    <row r="383" spans="2:5" x14ac:dyDescent="0.25">
      <c r="B383" s="19"/>
      <c r="C383" s="19"/>
      <c r="D383" s="17"/>
      <c r="E383" s="19"/>
    </row>
    <row r="384" spans="2:5" x14ac:dyDescent="0.25">
      <c r="B384" s="19"/>
      <c r="C384" s="19"/>
      <c r="D384" s="17"/>
      <c r="E384" s="19"/>
    </row>
    <row r="385" spans="2:5" x14ac:dyDescent="0.25">
      <c r="B385" s="19"/>
      <c r="C385" s="19"/>
      <c r="D385" s="17"/>
      <c r="E385" s="19"/>
    </row>
    <row r="386" spans="2:5" x14ac:dyDescent="0.25">
      <c r="B386" s="19"/>
      <c r="C386" s="19"/>
      <c r="D386" s="17"/>
      <c r="E386" s="19"/>
    </row>
    <row r="387" spans="2:5" x14ac:dyDescent="0.25">
      <c r="B387" s="19"/>
      <c r="C387" s="19"/>
      <c r="D387" s="17"/>
      <c r="E387" s="19"/>
    </row>
    <row r="388" spans="2:5" x14ac:dyDescent="0.25">
      <c r="B388" s="19"/>
      <c r="C388" s="19"/>
      <c r="D388" s="17"/>
      <c r="E388" s="19"/>
    </row>
    <row r="389" spans="2:5" x14ac:dyDescent="0.25">
      <c r="B389" s="19"/>
      <c r="C389" s="19"/>
      <c r="D389" s="17"/>
      <c r="E389" s="19"/>
    </row>
    <row r="390" spans="2:5" x14ac:dyDescent="0.25">
      <c r="B390" s="19"/>
      <c r="C390" s="19"/>
      <c r="D390" s="17"/>
      <c r="E390" s="19"/>
    </row>
    <row r="391" spans="2:5" x14ac:dyDescent="0.25">
      <c r="B391" s="19"/>
      <c r="C391" s="19"/>
      <c r="D391" s="17"/>
      <c r="E391" s="19"/>
    </row>
    <row r="392" spans="2:5" x14ac:dyDescent="0.25">
      <c r="B392" s="19"/>
      <c r="C392" s="19"/>
      <c r="D392" s="17"/>
      <c r="E392" s="19"/>
    </row>
    <row r="393" spans="2:5" x14ac:dyDescent="0.25">
      <c r="B393" s="19"/>
      <c r="C393" s="19"/>
      <c r="D393" s="17"/>
      <c r="E393" s="19"/>
    </row>
    <row r="394" spans="2:5" x14ac:dyDescent="0.25">
      <c r="B394" s="19"/>
      <c r="C394" s="19"/>
      <c r="D394" s="17"/>
      <c r="E394" s="19"/>
    </row>
    <row r="395" spans="2:5" x14ac:dyDescent="0.25">
      <c r="B395" s="19"/>
      <c r="C395" s="19"/>
      <c r="D395" s="17"/>
      <c r="E395" s="19"/>
    </row>
    <row r="396" spans="2:5" x14ac:dyDescent="0.25">
      <c r="B396" s="19"/>
      <c r="C396" s="19"/>
      <c r="D396" s="17"/>
      <c r="E396" s="19"/>
    </row>
    <row r="397" spans="2:5" x14ac:dyDescent="0.25">
      <c r="B397" s="19"/>
      <c r="C397" s="19"/>
      <c r="D397" s="17"/>
      <c r="E397" s="19"/>
    </row>
    <row r="398" spans="2:5" x14ac:dyDescent="0.25">
      <c r="B398" s="19"/>
      <c r="C398" s="19"/>
      <c r="D398" s="17"/>
      <c r="E398" s="19"/>
    </row>
    <row r="399" spans="2:5" x14ac:dyDescent="0.25">
      <c r="B399" s="19"/>
      <c r="C399" s="19"/>
      <c r="D399" s="17"/>
      <c r="E399" s="19"/>
    </row>
    <row r="400" spans="2:5" x14ac:dyDescent="0.25">
      <c r="B400" s="19"/>
      <c r="C400" s="19"/>
      <c r="D400" s="17"/>
      <c r="E400" s="19"/>
    </row>
    <row r="401" spans="2:5" x14ac:dyDescent="0.25">
      <c r="B401" s="19"/>
      <c r="C401" s="19"/>
      <c r="D401" s="17"/>
      <c r="E401" s="19"/>
    </row>
    <row r="402" spans="2:5" x14ac:dyDescent="0.25">
      <c r="B402" s="19"/>
      <c r="C402" s="19"/>
      <c r="D402" s="17"/>
      <c r="E402" s="19"/>
    </row>
    <row r="403" spans="2:5" x14ac:dyDescent="0.25">
      <c r="B403" s="19"/>
      <c r="C403" s="19"/>
      <c r="D403" s="17"/>
      <c r="E403" s="19"/>
    </row>
    <row r="404" spans="2:5" x14ac:dyDescent="0.25">
      <c r="B404" s="19"/>
      <c r="C404" s="19"/>
      <c r="D404" s="17"/>
      <c r="E404" s="19"/>
    </row>
    <row r="405" spans="2:5" x14ac:dyDescent="0.25">
      <c r="B405" s="19"/>
      <c r="C405" s="19"/>
      <c r="D405" s="17"/>
      <c r="E405" s="19"/>
    </row>
    <row r="406" spans="2:5" x14ac:dyDescent="0.25">
      <c r="B406" s="19"/>
      <c r="C406" s="19"/>
      <c r="D406" s="17"/>
      <c r="E406" s="19"/>
    </row>
    <row r="407" spans="2:5" x14ac:dyDescent="0.25">
      <c r="B407" s="19"/>
      <c r="C407" s="19"/>
      <c r="D407" s="17"/>
      <c r="E407" s="19"/>
    </row>
    <row r="408" spans="2:5" x14ac:dyDescent="0.25">
      <c r="B408" s="19"/>
      <c r="C408" s="19"/>
      <c r="D408" s="17"/>
      <c r="E408" s="19"/>
    </row>
    <row r="409" spans="2:5" x14ac:dyDescent="0.25">
      <c r="B409" s="19"/>
      <c r="C409" s="19"/>
      <c r="D409" s="17"/>
      <c r="E409" s="19"/>
    </row>
    <row r="410" spans="2:5" x14ac:dyDescent="0.25">
      <c r="B410" s="19"/>
      <c r="C410" s="19"/>
      <c r="D410" s="17"/>
      <c r="E410" s="19"/>
    </row>
    <row r="411" spans="2:5" x14ac:dyDescent="0.25">
      <c r="B411" s="19"/>
      <c r="C411" s="19"/>
      <c r="D411" s="17"/>
      <c r="E411" s="19"/>
    </row>
    <row r="412" spans="2:5" x14ac:dyDescent="0.25">
      <c r="B412" s="19"/>
      <c r="C412" s="19"/>
      <c r="D412" s="17"/>
      <c r="E412" s="19"/>
    </row>
    <row r="413" spans="2:5" x14ac:dyDescent="0.25">
      <c r="B413" s="19"/>
      <c r="C413" s="19"/>
      <c r="D413" s="17"/>
      <c r="E413" s="19"/>
    </row>
    <row r="414" spans="2:5" x14ac:dyDescent="0.25">
      <c r="B414" s="19"/>
      <c r="C414" s="19"/>
      <c r="D414" s="17"/>
      <c r="E414" s="19"/>
    </row>
    <row r="415" spans="2:5" x14ac:dyDescent="0.25">
      <c r="B415" s="19"/>
      <c r="C415" s="19"/>
      <c r="D415" s="17"/>
      <c r="E415" s="19"/>
    </row>
    <row r="416" spans="2:5" x14ac:dyDescent="0.25">
      <c r="B416" s="19"/>
      <c r="C416" s="19"/>
      <c r="D416" s="17"/>
      <c r="E416" s="19"/>
    </row>
    <row r="417" spans="2:5" x14ac:dyDescent="0.25">
      <c r="B417" s="19"/>
      <c r="C417" s="19"/>
      <c r="D417" s="17"/>
      <c r="E417" s="19"/>
    </row>
    <row r="418" spans="2:5" x14ac:dyDescent="0.25">
      <c r="B418" s="19"/>
      <c r="C418" s="19"/>
      <c r="D418" s="17"/>
      <c r="E418" s="19"/>
    </row>
    <row r="419" spans="2:5" x14ac:dyDescent="0.25">
      <c r="B419" s="19"/>
      <c r="C419" s="19"/>
      <c r="D419" s="17"/>
      <c r="E419" s="19"/>
    </row>
    <row r="420" spans="2:5" x14ac:dyDescent="0.25">
      <c r="B420" s="19"/>
      <c r="C420" s="19"/>
      <c r="D420" s="17"/>
      <c r="E420" s="19"/>
    </row>
    <row r="421" spans="2:5" x14ac:dyDescent="0.25">
      <c r="B421" s="19"/>
      <c r="C421" s="19"/>
      <c r="D421" s="17"/>
      <c r="E421" s="19"/>
    </row>
    <row r="422" spans="2:5" x14ac:dyDescent="0.25">
      <c r="B422" s="19"/>
      <c r="C422" s="19"/>
      <c r="D422" s="17"/>
      <c r="E422" s="19"/>
    </row>
    <row r="423" spans="2:5" x14ac:dyDescent="0.25">
      <c r="B423" s="19"/>
      <c r="C423" s="19"/>
      <c r="D423" s="17"/>
      <c r="E423" s="19"/>
    </row>
    <row r="424" spans="2:5" x14ac:dyDescent="0.25">
      <c r="B424" s="19"/>
      <c r="C424" s="19"/>
      <c r="D424" s="17"/>
      <c r="E424" s="19"/>
    </row>
    <row r="425" spans="2:5" x14ac:dyDescent="0.25">
      <c r="B425" s="19"/>
      <c r="C425" s="19"/>
      <c r="D425" s="17"/>
      <c r="E425" s="19"/>
    </row>
    <row r="426" spans="2:5" x14ac:dyDescent="0.25">
      <c r="B426" s="19"/>
      <c r="C426" s="19"/>
      <c r="D426" s="17"/>
      <c r="E426" s="19"/>
    </row>
    <row r="427" spans="2:5" x14ac:dyDescent="0.25">
      <c r="B427" s="19"/>
      <c r="C427" s="19"/>
      <c r="D427" s="17"/>
      <c r="E427" s="19"/>
    </row>
    <row r="428" spans="2:5" x14ac:dyDescent="0.25">
      <c r="B428" s="19"/>
      <c r="C428" s="19"/>
      <c r="D428" s="17"/>
      <c r="E428" s="19"/>
    </row>
    <row r="429" spans="2:5" x14ac:dyDescent="0.25">
      <c r="B429" s="19"/>
      <c r="C429" s="19"/>
      <c r="D429" s="17"/>
      <c r="E429" s="19"/>
    </row>
    <row r="430" spans="2:5" x14ac:dyDescent="0.25">
      <c r="B430" s="19"/>
      <c r="C430" s="19"/>
      <c r="D430" s="17"/>
      <c r="E430" s="19"/>
    </row>
    <row r="431" spans="2:5" x14ac:dyDescent="0.25">
      <c r="B431" s="19"/>
      <c r="C431" s="19"/>
      <c r="D431" s="17"/>
      <c r="E431" s="19"/>
    </row>
    <row r="432" spans="2:5" x14ac:dyDescent="0.25">
      <c r="B432" s="19"/>
      <c r="C432" s="19"/>
      <c r="D432" s="17"/>
      <c r="E432" s="19"/>
    </row>
    <row r="433" spans="2:5" x14ac:dyDescent="0.25">
      <c r="B433" s="19"/>
      <c r="C433" s="19"/>
      <c r="D433" s="17"/>
      <c r="E433" s="19"/>
    </row>
    <row r="434" spans="2:5" x14ac:dyDescent="0.25">
      <c r="B434" s="19"/>
      <c r="C434" s="19"/>
      <c r="D434" s="17"/>
      <c r="E434" s="19"/>
    </row>
    <row r="435" spans="2:5" x14ac:dyDescent="0.25">
      <c r="B435" s="19"/>
      <c r="C435" s="19"/>
      <c r="D435" s="17"/>
      <c r="E435" s="19"/>
    </row>
    <row r="436" spans="2:5" x14ac:dyDescent="0.25">
      <c r="B436" s="19"/>
      <c r="C436" s="19"/>
      <c r="D436" s="17"/>
      <c r="E436" s="19"/>
    </row>
    <row r="437" spans="2:5" x14ac:dyDescent="0.25">
      <c r="B437" s="19"/>
      <c r="C437" s="19"/>
      <c r="D437" s="17"/>
      <c r="E437" s="19"/>
    </row>
    <row r="438" spans="2:5" x14ac:dyDescent="0.25">
      <c r="B438" s="19"/>
      <c r="C438" s="19"/>
      <c r="D438" s="17"/>
      <c r="E438" s="19"/>
    </row>
    <row r="439" spans="2:5" x14ac:dyDescent="0.25">
      <c r="B439" s="19"/>
      <c r="C439" s="19"/>
      <c r="D439" s="17"/>
      <c r="E439" s="19"/>
    </row>
    <row r="440" spans="2:5" x14ac:dyDescent="0.25">
      <c r="B440" s="19"/>
      <c r="C440" s="19"/>
      <c r="D440" s="17"/>
      <c r="E440" s="19"/>
    </row>
    <row r="441" spans="2:5" x14ac:dyDescent="0.25">
      <c r="B441" s="19"/>
      <c r="C441" s="19"/>
      <c r="D441" s="17"/>
      <c r="E441" s="19"/>
    </row>
    <row r="442" spans="2:5" x14ac:dyDescent="0.25">
      <c r="B442" s="19"/>
      <c r="C442" s="19"/>
      <c r="D442" s="17"/>
      <c r="E442" s="19"/>
    </row>
    <row r="443" spans="2:5" x14ac:dyDescent="0.25">
      <c r="B443" s="19"/>
      <c r="C443" s="19"/>
      <c r="D443" s="17"/>
      <c r="E443" s="19"/>
    </row>
    <row r="444" spans="2:5" x14ac:dyDescent="0.25">
      <c r="B444" s="19"/>
      <c r="C444" s="19"/>
      <c r="D444" s="17"/>
      <c r="E444" s="19"/>
    </row>
    <row r="445" spans="2:5" x14ac:dyDescent="0.25">
      <c r="B445" s="19"/>
      <c r="C445" s="19"/>
      <c r="D445" s="17"/>
      <c r="E445" s="19"/>
    </row>
    <row r="446" spans="2:5" x14ac:dyDescent="0.25">
      <c r="B446" s="19"/>
      <c r="C446" s="19"/>
      <c r="D446" s="17"/>
      <c r="E446" s="19"/>
    </row>
    <row r="447" spans="2:5" x14ac:dyDescent="0.25">
      <c r="B447" s="19"/>
      <c r="C447" s="19"/>
      <c r="D447" s="17"/>
      <c r="E447" s="19"/>
    </row>
    <row r="448" spans="2:5" x14ac:dyDescent="0.25">
      <c r="B448" s="19"/>
      <c r="C448" s="19"/>
      <c r="D448" s="17"/>
      <c r="E448" s="19"/>
    </row>
    <row r="449" spans="2:5" x14ac:dyDescent="0.25">
      <c r="B449" s="19"/>
      <c r="C449" s="19"/>
      <c r="D449" s="17"/>
      <c r="E449" s="19"/>
    </row>
    <row r="450" spans="2:5" x14ac:dyDescent="0.25">
      <c r="B450" s="19"/>
      <c r="C450" s="19"/>
      <c r="D450" s="17"/>
      <c r="E450" s="19"/>
    </row>
    <row r="451" spans="2:5" x14ac:dyDescent="0.25">
      <c r="B451" s="19"/>
      <c r="C451" s="19"/>
      <c r="D451" s="17"/>
      <c r="E451" s="19"/>
    </row>
    <row r="452" spans="2:5" x14ac:dyDescent="0.25">
      <c r="B452" s="19"/>
      <c r="C452" s="19"/>
      <c r="D452" s="17"/>
      <c r="E452" s="19"/>
    </row>
    <row r="453" spans="2:5" x14ac:dyDescent="0.25">
      <c r="B453" s="19"/>
      <c r="C453" s="19"/>
      <c r="D453" s="17"/>
      <c r="E453" s="19"/>
    </row>
    <row r="454" spans="2:5" x14ac:dyDescent="0.25">
      <c r="B454" s="19"/>
      <c r="C454" s="19"/>
      <c r="D454" s="17"/>
      <c r="E454" s="19"/>
    </row>
    <row r="455" spans="2:5" x14ac:dyDescent="0.25">
      <c r="B455" s="19"/>
      <c r="C455" s="19"/>
      <c r="D455" s="17"/>
      <c r="E455" s="19"/>
    </row>
    <row r="456" spans="2:5" x14ac:dyDescent="0.25">
      <c r="B456" s="19"/>
      <c r="C456" s="19"/>
      <c r="D456" s="17"/>
      <c r="E456" s="19"/>
    </row>
    <row r="457" spans="2:5" x14ac:dyDescent="0.25">
      <c r="B457" s="19"/>
      <c r="C457" s="19"/>
      <c r="D457" s="17"/>
      <c r="E457" s="19"/>
    </row>
    <row r="458" spans="2:5" x14ac:dyDescent="0.25">
      <c r="B458" s="19"/>
      <c r="C458" s="19"/>
      <c r="D458" s="17"/>
      <c r="E458" s="19"/>
    </row>
    <row r="459" spans="2:5" x14ac:dyDescent="0.25">
      <c r="B459" s="19"/>
      <c r="C459" s="19"/>
      <c r="D459" s="17"/>
      <c r="E459" s="19"/>
    </row>
    <row r="460" spans="2:5" x14ac:dyDescent="0.25">
      <c r="B460" s="19"/>
      <c r="C460" s="19"/>
      <c r="D460" s="17"/>
      <c r="E460" s="19"/>
    </row>
    <row r="461" spans="2:5" x14ac:dyDescent="0.25">
      <c r="B461" s="19"/>
      <c r="C461" s="19"/>
      <c r="D461" s="17"/>
      <c r="E461" s="19"/>
    </row>
    <row r="462" spans="2:5" x14ac:dyDescent="0.25">
      <c r="B462" s="19"/>
      <c r="C462" s="19"/>
      <c r="D462" s="17"/>
      <c r="E462" s="19"/>
    </row>
    <row r="463" spans="2:5" x14ac:dyDescent="0.25">
      <c r="B463" s="19"/>
      <c r="C463" s="19"/>
      <c r="D463" s="17"/>
      <c r="E463" s="19"/>
    </row>
    <row r="464" spans="2:5" x14ac:dyDescent="0.25">
      <c r="B464" s="19"/>
      <c r="C464" s="19"/>
      <c r="D464" s="17"/>
      <c r="E464" s="19"/>
    </row>
    <row r="465" spans="2:5" x14ac:dyDescent="0.25">
      <c r="B465" s="19"/>
      <c r="C465" s="19"/>
      <c r="D465" s="17"/>
      <c r="E465" s="19"/>
    </row>
    <row r="466" spans="2:5" x14ac:dyDescent="0.25">
      <c r="B466" s="19"/>
      <c r="C466" s="19"/>
      <c r="D466" s="17"/>
      <c r="E466" s="19"/>
    </row>
    <row r="467" spans="2:5" x14ac:dyDescent="0.25">
      <c r="B467" s="19"/>
      <c r="C467" s="19"/>
      <c r="D467" s="17"/>
      <c r="E467" s="19"/>
    </row>
    <row r="468" spans="2:5" x14ac:dyDescent="0.25">
      <c r="B468" s="19"/>
      <c r="C468" s="19"/>
      <c r="D468" s="17"/>
      <c r="E468" s="19"/>
    </row>
    <row r="469" spans="2:5" x14ac:dyDescent="0.25">
      <c r="B469" s="19"/>
      <c r="C469" s="19"/>
      <c r="D469" s="17"/>
      <c r="E469" s="19"/>
    </row>
    <row r="470" spans="2:5" x14ac:dyDescent="0.25">
      <c r="B470" s="19"/>
      <c r="C470" s="19"/>
      <c r="D470" s="17"/>
      <c r="E470" s="19"/>
    </row>
    <row r="471" spans="2:5" x14ac:dyDescent="0.25">
      <c r="B471" s="19"/>
      <c r="C471" s="19"/>
      <c r="D471" s="17"/>
      <c r="E471" s="19"/>
    </row>
    <row r="472" spans="2:5" x14ac:dyDescent="0.25">
      <c r="B472" s="19"/>
      <c r="C472" s="19"/>
      <c r="D472" s="17"/>
      <c r="E472" s="19"/>
    </row>
    <row r="473" spans="2:5" x14ac:dyDescent="0.25">
      <c r="B473" s="19"/>
      <c r="C473" s="19"/>
      <c r="D473" s="17"/>
      <c r="E473" s="19"/>
    </row>
    <row r="474" spans="2:5" x14ac:dyDescent="0.25">
      <c r="B474" s="19"/>
      <c r="C474" s="19"/>
      <c r="D474" s="17"/>
      <c r="E474" s="19"/>
    </row>
    <row r="475" spans="2:5" x14ac:dyDescent="0.25">
      <c r="B475" s="19"/>
      <c r="C475" s="19"/>
      <c r="D475" s="17"/>
      <c r="E475" s="19"/>
    </row>
    <row r="476" spans="2:5" x14ac:dyDescent="0.25">
      <c r="B476" s="19"/>
      <c r="C476" s="19"/>
      <c r="D476" s="17"/>
      <c r="E476" s="19"/>
    </row>
    <row r="477" spans="2:5" x14ac:dyDescent="0.25">
      <c r="B477" s="19"/>
      <c r="C477" s="19"/>
      <c r="D477" s="17"/>
      <c r="E477" s="19"/>
    </row>
    <row r="478" spans="2:5" x14ac:dyDescent="0.25">
      <c r="B478" s="19"/>
      <c r="C478" s="19"/>
      <c r="D478" s="17"/>
      <c r="E478" s="19"/>
    </row>
    <row r="479" spans="2:5" x14ac:dyDescent="0.25">
      <c r="B479" s="19"/>
      <c r="C479" s="19"/>
      <c r="D479" s="17"/>
      <c r="E479" s="19"/>
    </row>
    <row r="480" spans="2:5" x14ac:dyDescent="0.25">
      <c r="B480" s="19"/>
      <c r="C480" s="19"/>
      <c r="D480" s="17"/>
      <c r="E480" s="19"/>
    </row>
    <row r="481" spans="2:5" x14ac:dyDescent="0.25">
      <c r="B481" s="19"/>
      <c r="C481" s="19"/>
      <c r="D481" s="17"/>
      <c r="E481" s="19"/>
    </row>
    <row r="482" spans="2:5" x14ac:dyDescent="0.25">
      <c r="B482" s="19"/>
      <c r="C482" s="19"/>
      <c r="D482" s="17"/>
      <c r="E482" s="19"/>
    </row>
    <row r="483" spans="2:5" x14ac:dyDescent="0.25">
      <c r="B483" s="19"/>
      <c r="C483" s="19"/>
      <c r="D483" s="17"/>
      <c r="E483" s="19"/>
    </row>
    <row r="484" spans="2:5" x14ac:dyDescent="0.25">
      <c r="B484" s="19"/>
      <c r="C484" s="19"/>
      <c r="D484" s="17"/>
      <c r="E484" s="19"/>
    </row>
    <row r="485" spans="2:5" x14ac:dyDescent="0.25">
      <c r="B485" s="19"/>
      <c r="C485" s="19"/>
      <c r="D485" s="17"/>
      <c r="E485" s="19"/>
    </row>
    <row r="486" spans="2:5" x14ac:dyDescent="0.25">
      <c r="B486" s="19"/>
      <c r="C486" s="19"/>
      <c r="D486" s="17"/>
      <c r="E486" s="19"/>
    </row>
    <row r="487" spans="2:5" x14ac:dyDescent="0.25">
      <c r="B487" s="19"/>
      <c r="C487" s="19"/>
      <c r="D487" s="17"/>
      <c r="E487" s="19"/>
    </row>
    <row r="488" spans="2:5" x14ac:dyDescent="0.25">
      <c r="B488" s="19"/>
      <c r="C488" s="19"/>
      <c r="D488" s="17"/>
      <c r="E488" s="19"/>
    </row>
    <row r="489" spans="2:5" x14ac:dyDescent="0.25">
      <c r="B489" s="19"/>
      <c r="C489" s="19"/>
      <c r="D489" s="17"/>
      <c r="E489" s="19"/>
    </row>
    <row r="490" spans="2:5" x14ac:dyDescent="0.25">
      <c r="B490" s="19"/>
      <c r="C490" s="19"/>
      <c r="D490" s="17"/>
      <c r="E490" s="19"/>
    </row>
    <row r="491" spans="2:5" x14ac:dyDescent="0.25">
      <c r="B491" s="19"/>
      <c r="C491" s="19"/>
      <c r="D491" s="17"/>
      <c r="E491" s="19"/>
    </row>
    <row r="492" spans="2:5" x14ac:dyDescent="0.25">
      <c r="B492" s="19"/>
      <c r="C492" s="19"/>
      <c r="D492" s="17"/>
      <c r="E492" s="19"/>
    </row>
    <row r="493" spans="2:5" x14ac:dyDescent="0.25">
      <c r="B493" s="19"/>
      <c r="C493" s="19"/>
      <c r="D493" s="17"/>
      <c r="E493" s="19"/>
    </row>
    <row r="494" spans="2:5" x14ac:dyDescent="0.25">
      <c r="B494" s="19"/>
      <c r="C494" s="19"/>
      <c r="D494" s="17"/>
      <c r="E494" s="19"/>
    </row>
    <row r="495" spans="2:5" x14ac:dyDescent="0.25">
      <c r="B495" s="19"/>
      <c r="C495" s="19"/>
      <c r="D495" s="17"/>
      <c r="E495" s="19"/>
    </row>
    <row r="496" spans="2:5" x14ac:dyDescent="0.25">
      <c r="B496" s="19"/>
      <c r="C496" s="19"/>
      <c r="D496" s="17"/>
      <c r="E496" s="19"/>
    </row>
    <row r="497" spans="2:5" x14ac:dyDescent="0.25">
      <c r="B497" s="19"/>
      <c r="C497" s="19"/>
      <c r="D497" s="17"/>
      <c r="E497" s="19"/>
    </row>
    <row r="498" spans="2:5" x14ac:dyDescent="0.25">
      <c r="B498" s="19"/>
      <c r="C498" s="19"/>
      <c r="D498" s="17"/>
      <c r="E498" s="19"/>
    </row>
    <row r="499" spans="2:5" x14ac:dyDescent="0.25">
      <c r="B499" s="19"/>
      <c r="C499" s="19"/>
      <c r="D499" s="17"/>
      <c r="E499" s="19"/>
    </row>
    <row r="500" spans="2:5" x14ac:dyDescent="0.25">
      <c r="B500" s="19"/>
      <c r="C500" s="19"/>
      <c r="D500" s="17"/>
      <c r="E500" s="19"/>
    </row>
    <row r="501" spans="2:5" x14ac:dyDescent="0.25">
      <c r="B501" s="19"/>
      <c r="C501" s="19"/>
      <c r="D501" s="17"/>
      <c r="E501" s="19"/>
    </row>
    <row r="502" spans="2:5" x14ac:dyDescent="0.25">
      <c r="B502" s="19"/>
      <c r="C502" s="19"/>
      <c r="D502" s="17"/>
      <c r="E502" s="19"/>
    </row>
    <row r="503" spans="2:5" x14ac:dyDescent="0.25">
      <c r="B503" s="19"/>
      <c r="C503" s="19"/>
      <c r="D503" s="17"/>
      <c r="E503" s="19"/>
    </row>
    <row r="504" spans="2:5" x14ac:dyDescent="0.25">
      <c r="B504" s="19"/>
      <c r="C504" s="19"/>
      <c r="D504" s="17"/>
      <c r="E504" s="19"/>
    </row>
    <row r="505" spans="2:5" x14ac:dyDescent="0.25">
      <c r="B505" s="19"/>
      <c r="C505" s="19"/>
      <c r="D505" s="17"/>
      <c r="E505" s="19"/>
    </row>
    <row r="506" spans="2:5" x14ac:dyDescent="0.25">
      <c r="B506" s="19"/>
      <c r="C506" s="19"/>
      <c r="D506" s="17"/>
      <c r="E506" s="19"/>
    </row>
    <row r="507" spans="2:5" x14ac:dyDescent="0.25">
      <c r="B507" s="19"/>
      <c r="C507" s="19"/>
      <c r="D507" s="17"/>
      <c r="E507" s="19"/>
    </row>
    <row r="508" spans="2:5" x14ac:dyDescent="0.25">
      <c r="B508" s="19"/>
      <c r="C508" s="19"/>
      <c r="D508" s="17"/>
      <c r="E508" s="19"/>
    </row>
    <row r="509" spans="2:5" x14ac:dyDescent="0.25">
      <c r="B509" s="19"/>
      <c r="C509" s="19"/>
      <c r="D509" s="17"/>
      <c r="E509" s="19"/>
    </row>
    <row r="510" spans="2:5" x14ac:dyDescent="0.25">
      <c r="B510" s="19"/>
      <c r="C510" s="19"/>
      <c r="D510" s="17"/>
      <c r="E510" s="19"/>
    </row>
    <row r="511" spans="2:5" x14ac:dyDescent="0.25">
      <c r="B511" s="19"/>
      <c r="C511" s="19"/>
      <c r="D511" s="17"/>
      <c r="E511" s="19"/>
    </row>
    <row r="512" spans="2:5" x14ac:dyDescent="0.25">
      <c r="B512" s="19"/>
      <c r="C512" s="19"/>
      <c r="D512" s="17"/>
      <c r="E512" s="19"/>
    </row>
    <row r="513" spans="2:5" x14ac:dyDescent="0.25">
      <c r="B513" s="19"/>
      <c r="C513" s="19"/>
      <c r="D513" s="17"/>
      <c r="E513" s="19"/>
    </row>
    <row r="514" spans="2:5" x14ac:dyDescent="0.25">
      <c r="B514" s="19"/>
      <c r="C514" s="19"/>
      <c r="D514" s="17"/>
      <c r="E514" s="19"/>
    </row>
    <row r="515" spans="2:5" x14ac:dyDescent="0.25">
      <c r="B515" s="19"/>
      <c r="C515" s="19"/>
      <c r="D515" s="17"/>
      <c r="E515" s="19"/>
    </row>
    <row r="516" spans="2:5" x14ac:dyDescent="0.25">
      <c r="B516" s="19"/>
      <c r="C516" s="19"/>
      <c r="D516" s="17"/>
      <c r="E516" s="19"/>
    </row>
    <row r="517" spans="2:5" x14ac:dyDescent="0.25">
      <c r="B517" s="19"/>
      <c r="C517" s="19"/>
      <c r="D517" s="17"/>
      <c r="E517" s="19"/>
    </row>
    <row r="518" spans="2:5" x14ac:dyDescent="0.25">
      <c r="B518" s="19"/>
      <c r="C518" s="19"/>
      <c r="D518" s="17"/>
      <c r="E518" s="19"/>
    </row>
    <row r="519" spans="2:5" x14ac:dyDescent="0.25">
      <c r="B519" s="19"/>
      <c r="C519" s="19"/>
      <c r="D519" s="17"/>
      <c r="E519" s="19"/>
    </row>
    <row r="520" spans="2:5" x14ac:dyDescent="0.25">
      <c r="B520" s="19"/>
      <c r="C520" s="19"/>
      <c r="D520" s="17"/>
      <c r="E520" s="19"/>
    </row>
    <row r="521" spans="2:5" x14ac:dyDescent="0.25">
      <c r="B521" s="19"/>
      <c r="C521" s="19"/>
      <c r="D521" s="17"/>
      <c r="E521" s="19"/>
    </row>
    <row r="522" spans="2:5" x14ac:dyDescent="0.25">
      <c r="B522" s="19"/>
      <c r="C522" s="19"/>
      <c r="D522" s="17"/>
      <c r="E522" s="19"/>
    </row>
    <row r="523" spans="2:5" x14ac:dyDescent="0.25">
      <c r="B523" s="19"/>
      <c r="C523" s="19"/>
      <c r="D523" s="17"/>
      <c r="E523" s="19"/>
    </row>
    <row r="524" spans="2:5" x14ac:dyDescent="0.25">
      <c r="B524" s="19"/>
      <c r="C524" s="19"/>
      <c r="D524" s="17"/>
      <c r="E524" s="19"/>
    </row>
    <row r="525" spans="2:5" x14ac:dyDescent="0.25">
      <c r="B525" s="19"/>
      <c r="C525" s="19"/>
      <c r="D525" s="17"/>
      <c r="E525" s="19"/>
    </row>
    <row r="526" spans="2:5" x14ac:dyDescent="0.25">
      <c r="B526" s="19"/>
      <c r="C526" s="19"/>
      <c r="D526" s="17"/>
      <c r="E526" s="19"/>
    </row>
    <row r="527" spans="2:5" x14ac:dyDescent="0.25">
      <c r="B527" s="19"/>
      <c r="C527" s="19"/>
      <c r="D527" s="17"/>
      <c r="E527" s="19"/>
    </row>
    <row r="528" spans="2:5" x14ac:dyDescent="0.25">
      <c r="B528" s="19"/>
      <c r="C528" s="19"/>
      <c r="D528" s="17"/>
      <c r="E528" s="19"/>
    </row>
    <row r="529" spans="2:5" x14ac:dyDescent="0.25">
      <c r="B529" s="19"/>
      <c r="C529" s="19"/>
      <c r="D529" s="17"/>
      <c r="E529" s="19"/>
    </row>
    <row r="530" spans="2:5" x14ac:dyDescent="0.25">
      <c r="B530" s="19"/>
      <c r="C530" s="19"/>
      <c r="D530" s="17"/>
      <c r="E530" s="19"/>
    </row>
    <row r="531" spans="2:5" x14ac:dyDescent="0.25">
      <c r="B531" s="19"/>
      <c r="C531" s="19"/>
      <c r="D531" s="17"/>
      <c r="E531" s="19"/>
    </row>
    <row r="532" spans="2:5" x14ac:dyDescent="0.25">
      <c r="B532" s="19"/>
      <c r="C532" s="19"/>
      <c r="D532" s="17"/>
      <c r="E532" s="19"/>
    </row>
    <row r="533" spans="2:5" x14ac:dyDescent="0.25">
      <c r="B533" s="19"/>
      <c r="C533" s="19"/>
      <c r="D533" s="17"/>
      <c r="E533" s="19"/>
    </row>
    <row r="534" spans="2:5" x14ac:dyDescent="0.25">
      <c r="B534" s="19"/>
      <c r="C534" s="19"/>
      <c r="D534" s="17"/>
      <c r="E534" s="19"/>
    </row>
    <row r="535" spans="2:5" x14ac:dyDescent="0.25">
      <c r="B535" s="19"/>
      <c r="C535" s="19"/>
      <c r="D535" s="17"/>
      <c r="E535" s="19"/>
    </row>
    <row r="536" spans="2:5" x14ac:dyDescent="0.25">
      <c r="B536" s="19"/>
      <c r="C536" s="19"/>
      <c r="D536" s="17"/>
      <c r="E536" s="19"/>
    </row>
    <row r="537" spans="2:5" x14ac:dyDescent="0.25">
      <c r="B537" s="19"/>
      <c r="C537" s="19"/>
      <c r="D537" s="17"/>
      <c r="E537" s="19"/>
    </row>
    <row r="538" spans="2:5" x14ac:dyDescent="0.25">
      <c r="B538" s="19"/>
      <c r="C538" s="19"/>
      <c r="D538" s="17"/>
      <c r="E538" s="19"/>
    </row>
    <row r="539" spans="2:5" x14ac:dyDescent="0.25">
      <c r="B539" s="19"/>
      <c r="C539" s="19"/>
      <c r="D539" s="17"/>
      <c r="E539" s="19"/>
    </row>
    <row r="540" spans="2:5" x14ac:dyDescent="0.25">
      <c r="B540" s="19"/>
      <c r="C540" s="19"/>
      <c r="D540" s="17"/>
      <c r="E540" s="19"/>
    </row>
    <row r="541" spans="2:5" x14ac:dyDescent="0.25">
      <c r="B541" s="19"/>
      <c r="C541" s="19"/>
      <c r="D541" s="17"/>
      <c r="E541" s="19"/>
    </row>
    <row r="542" spans="2:5" x14ac:dyDescent="0.25">
      <c r="B542" s="19"/>
      <c r="C542" s="19"/>
      <c r="D542" s="17"/>
      <c r="E542" s="19"/>
    </row>
    <row r="543" spans="2:5" x14ac:dyDescent="0.25">
      <c r="B543" s="19"/>
      <c r="C543" s="19"/>
      <c r="D543" s="17"/>
      <c r="E543" s="19"/>
    </row>
    <row r="544" spans="2:5" x14ac:dyDescent="0.25">
      <c r="B544" s="19"/>
      <c r="C544" s="19"/>
      <c r="D544" s="17"/>
      <c r="E544" s="19"/>
    </row>
    <row r="545" spans="2:5" x14ac:dyDescent="0.25">
      <c r="B545" s="19"/>
      <c r="C545" s="19"/>
      <c r="D545" s="17"/>
      <c r="E545" s="19"/>
    </row>
    <row r="546" spans="2:5" x14ac:dyDescent="0.25">
      <c r="B546" s="19"/>
      <c r="C546" s="19"/>
      <c r="D546" s="17"/>
      <c r="E546" s="19"/>
    </row>
    <row r="547" spans="2:5" x14ac:dyDescent="0.25">
      <c r="B547" s="19"/>
      <c r="C547" s="19"/>
      <c r="D547" s="17"/>
      <c r="E547" s="19"/>
    </row>
    <row r="548" spans="2:5" x14ac:dyDescent="0.25">
      <c r="B548" s="19"/>
      <c r="C548" s="19"/>
      <c r="D548" s="17"/>
      <c r="E548" s="19"/>
    </row>
    <row r="549" spans="2:5" x14ac:dyDescent="0.25">
      <c r="B549" s="19"/>
      <c r="C549" s="19"/>
      <c r="D549" s="17"/>
      <c r="E549" s="19"/>
    </row>
    <row r="550" spans="2:5" x14ac:dyDescent="0.25">
      <c r="B550" s="19"/>
      <c r="C550" s="19"/>
      <c r="D550" s="17"/>
      <c r="E550" s="19"/>
    </row>
    <row r="551" spans="2:5" x14ac:dyDescent="0.25">
      <c r="B551" s="19"/>
      <c r="C551" s="19"/>
      <c r="D551" s="17"/>
      <c r="E551" s="19"/>
    </row>
    <row r="552" spans="2:5" x14ac:dyDescent="0.25">
      <c r="B552" s="19"/>
      <c r="C552" s="19"/>
      <c r="D552" s="17"/>
      <c r="E552" s="19"/>
    </row>
    <row r="553" spans="2:5" x14ac:dyDescent="0.25">
      <c r="B553" s="19"/>
      <c r="C553" s="19"/>
      <c r="D553" s="17"/>
      <c r="E553" s="19"/>
    </row>
    <row r="554" spans="2:5" x14ac:dyDescent="0.25">
      <c r="B554" s="19"/>
      <c r="C554" s="19"/>
      <c r="D554" s="17"/>
      <c r="E554" s="19"/>
    </row>
    <row r="555" spans="2:5" x14ac:dyDescent="0.25">
      <c r="B555" s="19"/>
      <c r="C555" s="19"/>
      <c r="D555" s="17"/>
      <c r="E555" s="19"/>
    </row>
    <row r="556" spans="2:5" x14ac:dyDescent="0.25">
      <c r="B556" s="19"/>
      <c r="C556" s="19"/>
      <c r="D556" s="17"/>
      <c r="E556" s="19"/>
    </row>
    <row r="557" spans="2:5" x14ac:dyDescent="0.25">
      <c r="B557" s="19"/>
      <c r="C557" s="19"/>
      <c r="D557" s="17"/>
      <c r="E557" s="19"/>
    </row>
    <row r="558" spans="2:5" x14ac:dyDescent="0.25">
      <c r="B558" s="19"/>
      <c r="C558" s="19"/>
      <c r="D558" s="17"/>
      <c r="E558" s="19"/>
    </row>
    <row r="559" spans="2:5" x14ac:dyDescent="0.25">
      <c r="B559" s="19"/>
      <c r="C559" s="19"/>
      <c r="D559" s="17"/>
      <c r="E559" s="19"/>
    </row>
    <row r="560" spans="2:5" x14ac:dyDescent="0.25">
      <c r="B560" s="19"/>
      <c r="C560" s="19"/>
      <c r="D560" s="17"/>
      <c r="E560" s="19"/>
    </row>
    <row r="561" spans="2:5" x14ac:dyDescent="0.25">
      <c r="B561" s="19"/>
      <c r="C561" s="19"/>
      <c r="D561" s="17"/>
      <c r="E561" s="19"/>
    </row>
    <row r="562" spans="2:5" x14ac:dyDescent="0.25">
      <c r="B562" s="19"/>
      <c r="C562" s="19"/>
      <c r="D562" s="17"/>
      <c r="E562" s="19"/>
    </row>
    <row r="563" spans="2:5" x14ac:dyDescent="0.25">
      <c r="B563" s="19"/>
      <c r="C563" s="19"/>
      <c r="D563" s="17"/>
      <c r="E563" s="19"/>
    </row>
    <row r="564" spans="2:5" x14ac:dyDescent="0.25">
      <c r="B564" s="19"/>
      <c r="C564" s="19"/>
      <c r="D564" s="17"/>
      <c r="E564" s="19"/>
    </row>
    <row r="565" spans="2:5" x14ac:dyDescent="0.25">
      <c r="B565" s="19"/>
      <c r="C565" s="19"/>
      <c r="D565" s="17"/>
      <c r="E565" s="19"/>
    </row>
    <row r="566" spans="2:5" x14ac:dyDescent="0.25">
      <c r="B566" s="19"/>
      <c r="C566" s="19"/>
      <c r="D566" s="17"/>
      <c r="E566" s="19"/>
    </row>
    <row r="567" spans="2:5" x14ac:dyDescent="0.25">
      <c r="B567" s="19"/>
      <c r="C567" s="19"/>
      <c r="D567" s="17"/>
      <c r="E567" s="19"/>
    </row>
    <row r="568" spans="2:5" x14ac:dyDescent="0.25">
      <c r="B568" s="19"/>
      <c r="C568" s="19"/>
      <c r="D568" s="17"/>
      <c r="E568" s="19"/>
    </row>
    <row r="569" spans="2:5" x14ac:dyDescent="0.25">
      <c r="B569" s="19"/>
      <c r="C569" s="19"/>
      <c r="D569" s="17"/>
      <c r="E569" s="19"/>
    </row>
    <row r="570" spans="2:5" x14ac:dyDescent="0.25">
      <c r="B570" s="19"/>
      <c r="C570" s="19"/>
      <c r="D570" s="17"/>
      <c r="E570" s="19"/>
    </row>
    <row r="571" spans="2:5" x14ac:dyDescent="0.25">
      <c r="B571" s="19"/>
      <c r="C571" s="19"/>
      <c r="D571" s="17"/>
      <c r="E571" s="19"/>
    </row>
    <row r="572" spans="2:5" x14ac:dyDescent="0.25">
      <c r="B572" s="19"/>
      <c r="C572" s="19"/>
      <c r="D572" s="17"/>
      <c r="E572" s="19"/>
    </row>
    <row r="573" spans="2:5" x14ac:dyDescent="0.25">
      <c r="B573" s="19"/>
      <c r="C573" s="19"/>
      <c r="D573" s="17"/>
      <c r="E573" s="19"/>
    </row>
    <row r="574" spans="2:5" x14ac:dyDescent="0.25">
      <c r="B574" s="19"/>
      <c r="C574" s="19"/>
      <c r="D574" s="17"/>
      <c r="E574" s="19"/>
    </row>
    <row r="575" spans="2:5" x14ac:dyDescent="0.25">
      <c r="B575" s="19"/>
      <c r="C575" s="19"/>
      <c r="D575" s="17"/>
      <c r="E575" s="19"/>
    </row>
    <row r="576" spans="2:5" x14ac:dyDescent="0.25">
      <c r="B576" s="19"/>
      <c r="C576" s="19"/>
      <c r="D576" s="17"/>
      <c r="E576" s="19"/>
    </row>
    <row r="577" spans="2:5" x14ac:dyDescent="0.25">
      <c r="B577" s="19"/>
      <c r="C577" s="19"/>
      <c r="D577" s="17"/>
      <c r="E577" s="19"/>
    </row>
    <row r="578" spans="2:5" x14ac:dyDescent="0.25">
      <c r="B578" s="19"/>
      <c r="C578" s="19"/>
      <c r="D578" s="17"/>
      <c r="E578" s="19"/>
    </row>
    <row r="579" spans="2:5" x14ac:dyDescent="0.25">
      <c r="B579" s="19"/>
      <c r="C579" s="19"/>
      <c r="D579" s="17"/>
      <c r="E579" s="19"/>
    </row>
    <row r="580" spans="2:5" x14ac:dyDescent="0.25">
      <c r="B580" s="19"/>
      <c r="C580" s="19"/>
      <c r="D580" s="17"/>
      <c r="E580" s="19"/>
    </row>
    <row r="581" spans="2:5" x14ac:dyDescent="0.25">
      <c r="B581" s="19"/>
      <c r="C581" s="19"/>
      <c r="D581" s="17"/>
      <c r="E581" s="19"/>
    </row>
    <row r="582" spans="2:5" x14ac:dyDescent="0.25">
      <c r="B582" s="19"/>
      <c r="C582" s="19"/>
      <c r="D582" s="17"/>
      <c r="E582" s="19"/>
    </row>
    <row r="583" spans="2:5" x14ac:dyDescent="0.25">
      <c r="B583" s="19"/>
      <c r="C583" s="19"/>
      <c r="D583" s="17"/>
      <c r="E583" s="19"/>
    </row>
    <row r="584" spans="2:5" x14ac:dyDescent="0.25">
      <c r="B584" s="19"/>
      <c r="C584" s="19"/>
      <c r="D584" s="17"/>
      <c r="E584" s="19"/>
    </row>
    <row r="585" spans="2:5" x14ac:dyDescent="0.25">
      <c r="B585" s="19"/>
      <c r="C585" s="19"/>
      <c r="D585" s="17"/>
      <c r="E585" s="19"/>
    </row>
    <row r="586" spans="2:5" x14ac:dyDescent="0.25">
      <c r="B586" s="19"/>
      <c r="C586" s="19"/>
      <c r="D586" s="17"/>
      <c r="E586" s="19"/>
    </row>
    <row r="587" spans="2:5" x14ac:dyDescent="0.25">
      <c r="B587" s="19"/>
      <c r="C587" s="19"/>
      <c r="D587" s="17"/>
      <c r="E587" s="19"/>
    </row>
    <row r="588" spans="2:5" x14ac:dyDescent="0.25">
      <c r="B588" s="19"/>
      <c r="C588" s="19"/>
      <c r="D588" s="17"/>
      <c r="E588" s="19"/>
    </row>
    <row r="589" spans="2:5" x14ac:dyDescent="0.25">
      <c r="B589" s="19"/>
      <c r="C589" s="19"/>
      <c r="D589" s="17"/>
      <c r="E589" s="19"/>
    </row>
    <row r="590" spans="2:5" x14ac:dyDescent="0.25">
      <c r="B590" s="19"/>
      <c r="C590" s="19"/>
      <c r="D590" s="17"/>
      <c r="E590" s="19"/>
    </row>
    <row r="591" spans="2:5" x14ac:dyDescent="0.25">
      <c r="B591" s="19"/>
      <c r="C591" s="19"/>
      <c r="D591" s="17"/>
      <c r="E591" s="19"/>
    </row>
    <row r="592" spans="2:5" x14ac:dyDescent="0.25">
      <c r="B592" s="19"/>
      <c r="C592" s="19"/>
      <c r="D592" s="17"/>
      <c r="E592" s="19"/>
    </row>
    <row r="593" spans="2:5" x14ac:dyDescent="0.25">
      <c r="B593" s="19"/>
      <c r="C593" s="19"/>
      <c r="D593" s="17"/>
      <c r="E593" s="19"/>
    </row>
    <row r="594" spans="2:5" x14ac:dyDescent="0.25">
      <c r="B594" s="19"/>
      <c r="C594" s="19"/>
      <c r="D594" s="17"/>
      <c r="E594" s="19"/>
    </row>
    <row r="595" spans="2:5" x14ac:dyDescent="0.25">
      <c r="B595" s="19"/>
      <c r="C595" s="19"/>
      <c r="D595" s="17"/>
      <c r="E595" s="19"/>
    </row>
    <row r="596" spans="2:5" x14ac:dyDescent="0.25">
      <c r="B596" s="19"/>
      <c r="C596" s="19"/>
      <c r="D596" s="17"/>
      <c r="E596" s="19"/>
    </row>
    <row r="597" spans="2:5" x14ac:dyDescent="0.25">
      <c r="B597" s="19"/>
      <c r="C597" s="19"/>
      <c r="D597" s="17"/>
      <c r="E597" s="19"/>
    </row>
    <row r="598" spans="2:5" x14ac:dyDescent="0.25">
      <c r="B598" s="19"/>
      <c r="C598" s="19"/>
      <c r="D598" s="17"/>
      <c r="E598" s="19"/>
    </row>
    <row r="599" spans="2:5" x14ac:dyDescent="0.25">
      <c r="B599" s="19"/>
      <c r="C599" s="19"/>
      <c r="D599" s="17"/>
      <c r="E599" s="19"/>
    </row>
    <row r="600" spans="2:5" x14ac:dyDescent="0.25">
      <c r="B600" s="19"/>
      <c r="C600" s="19"/>
      <c r="D600" s="17"/>
      <c r="E600" s="19"/>
    </row>
    <row r="601" spans="2:5" x14ac:dyDescent="0.25">
      <c r="B601" s="19"/>
      <c r="C601" s="19"/>
      <c r="D601" s="17"/>
      <c r="E601" s="19"/>
    </row>
    <row r="602" spans="2:5" x14ac:dyDescent="0.25">
      <c r="B602" s="19"/>
      <c r="C602" s="19"/>
      <c r="D602" s="17"/>
      <c r="E602" s="19"/>
    </row>
    <row r="603" spans="2:5" x14ac:dyDescent="0.25">
      <c r="B603" s="19"/>
      <c r="C603" s="19"/>
      <c r="D603" s="17"/>
      <c r="E603" s="19"/>
    </row>
    <row r="604" spans="2:5" x14ac:dyDescent="0.25">
      <c r="B604" s="19"/>
      <c r="C604" s="19"/>
      <c r="D604" s="17"/>
      <c r="E604" s="19"/>
    </row>
    <row r="605" spans="2:5" x14ac:dyDescent="0.25">
      <c r="B605" s="19"/>
      <c r="C605" s="19"/>
      <c r="D605" s="17"/>
      <c r="E605" s="19"/>
    </row>
    <row r="606" spans="2:5" x14ac:dyDescent="0.25">
      <c r="B606" s="19"/>
      <c r="C606" s="19"/>
      <c r="D606" s="17"/>
      <c r="E606" s="19"/>
    </row>
    <row r="607" spans="2:5" x14ac:dyDescent="0.25">
      <c r="B607" s="19"/>
      <c r="C607" s="19"/>
      <c r="D607" s="17"/>
      <c r="E607" s="19"/>
    </row>
    <row r="608" spans="2:5" x14ac:dyDescent="0.25">
      <c r="B608" s="19"/>
      <c r="C608" s="19"/>
      <c r="D608" s="17"/>
      <c r="E608" s="19"/>
    </row>
    <row r="609" spans="2:5" x14ac:dyDescent="0.25">
      <c r="B609" s="19"/>
      <c r="C609" s="19"/>
      <c r="D609" s="17"/>
      <c r="E609" s="19"/>
    </row>
    <row r="610" spans="2:5" x14ac:dyDescent="0.25">
      <c r="B610" s="19"/>
      <c r="C610" s="19"/>
      <c r="D610" s="17"/>
      <c r="E610" s="19"/>
    </row>
    <row r="611" spans="2:5" x14ac:dyDescent="0.25">
      <c r="B611" s="19"/>
      <c r="C611" s="19"/>
      <c r="D611" s="17"/>
      <c r="E611" s="19"/>
    </row>
    <row r="612" spans="2:5" x14ac:dyDescent="0.25">
      <c r="B612" s="19"/>
      <c r="C612" s="19"/>
      <c r="D612" s="17"/>
      <c r="E612" s="19"/>
    </row>
    <row r="613" spans="2:5" x14ac:dyDescent="0.25">
      <c r="B613" s="19"/>
      <c r="C613" s="19"/>
      <c r="D613" s="17"/>
      <c r="E613" s="19"/>
    </row>
    <row r="614" spans="2:5" x14ac:dyDescent="0.25">
      <c r="B614" s="19"/>
      <c r="C614" s="19"/>
      <c r="D614" s="17"/>
      <c r="E614" s="19"/>
    </row>
    <row r="615" spans="2:5" x14ac:dyDescent="0.25">
      <c r="B615" s="19"/>
      <c r="C615" s="19"/>
      <c r="D615" s="17"/>
      <c r="E615" s="19"/>
    </row>
    <row r="616" spans="2:5" x14ac:dyDescent="0.25">
      <c r="B616" s="19"/>
      <c r="C616" s="19"/>
      <c r="D616" s="17"/>
      <c r="E616" s="19"/>
    </row>
    <row r="617" spans="2:5" x14ac:dyDescent="0.25">
      <c r="B617" s="19"/>
      <c r="C617" s="19"/>
      <c r="D617" s="17"/>
      <c r="E617" s="19"/>
    </row>
    <row r="618" spans="2:5" x14ac:dyDescent="0.25">
      <c r="B618" s="19"/>
      <c r="C618" s="19"/>
      <c r="D618" s="17"/>
      <c r="E618" s="19"/>
    </row>
    <row r="619" spans="2:5" x14ac:dyDescent="0.25">
      <c r="B619" s="19"/>
      <c r="C619" s="19"/>
      <c r="D619" s="17"/>
      <c r="E619" s="19"/>
    </row>
    <row r="620" spans="2:5" x14ac:dyDescent="0.25">
      <c r="B620" s="19"/>
      <c r="C620" s="19"/>
      <c r="D620" s="17"/>
      <c r="E620" s="19"/>
    </row>
    <row r="621" spans="2:5" x14ac:dyDescent="0.25">
      <c r="B621" s="19"/>
      <c r="C621" s="19"/>
      <c r="D621" s="17"/>
      <c r="E621" s="19"/>
    </row>
    <row r="622" spans="2:5" x14ac:dyDescent="0.25">
      <c r="B622" s="19"/>
      <c r="C622" s="19"/>
      <c r="D622" s="17"/>
      <c r="E622" s="19"/>
    </row>
    <row r="623" spans="2:5" x14ac:dyDescent="0.25">
      <c r="B623" s="19"/>
      <c r="C623" s="19"/>
      <c r="D623" s="17"/>
      <c r="E623" s="19"/>
    </row>
    <row r="624" spans="2:5" x14ac:dyDescent="0.25">
      <c r="B624" s="19"/>
      <c r="C624" s="19"/>
      <c r="D624" s="17"/>
      <c r="E624" s="19"/>
    </row>
    <row r="625" spans="2:5" x14ac:dyDescent="0.25">
      <c r="B625" s="19"/>
      <c r="C625" s="19"/>
      <c r="D625" s="17"/>
      <c r="E625" s="19"/>
    </row>
    <row r="626" spans="2:5" x14ac:dyDescent="0.25">
      <c r="B626" s="19"/>
      <c r="C626" s="19"/>
      <c r="D626" s="17"/>
      <c r="E626" s="19"/>
    </row>
    <row r="627" spans="2:5" x14ac:dyDescent="0.25">
      <c r="B627" s="19"/>
      <c r="C627" s="19"/>
      <c r="D627" s="17"/>
      <c r="E627" s="19"/>
    </row>
    <row r="628" spans="2:5" x14ac:dyDescent="0.25">
      <c r="B628" s="19"/>
      <c r="C628" s="19"/>
      <c r="D628" s="17"/>
      <c r="E628" s="19"/>
    </row>
    <row r="629" spans="2:5" x14ac:dyDescent="0.25">
      <c r="B629" s="19"/>
      <c r="C629" s="19"/>
      <c r="D629" s="17"/>
      <c r="E629" s="19"/>
    </row>
    <row r="630" spans="2:5" x14ac:dyDescent="0.25">
      <c r="B630" s="19"/>
      <c r="C630" s="19"/>
      <c r="D630" s="17"/>
      <c r="E630" s="19"/>
    </row>
    <row r="631" spans="2:5" x14ac:dyDescent="0.25">
      <c r="B631" s="19"/>
      <c r="C631" s="19"/>
      <c r="D631" s="17"/>
      <c r="E631" s="19"/>
    </row>
    <row r="632" spans="2:5" x14ac:dyDescent="0.25">
      <c r="B632" s="19"/>
      <c r="C632" s="19"/>
      <c r="D632" s="17"/>
      <c r="E632" s="19"/>
    </row>
    <row r="633" spans="2:5" x14ac:dyDescent="0.25">
      <c r="B633" s="19"/>
      <c r="C633" s="19"/>
      <c r="D633" s="17"/>
      <c r="E633" s="19"/>
    </row>
    <row r="634" spans="2:5" x14ac:dyDescent="0.25">
      <c r="B634" s="19"/>
      <c r="C634" s="19"/>
      <c r="D634" s="17"/>
      <c r="E634" s="19"/>
    </row>
    <row r="635" spans="2:5" x14ac:dyDescent="0.25">
      <c r="B635" s="19"/>
      <c r="C635" s="19"/>
      <c r="D635" s="17"/>
      <c r="E635" s="19"/>
    </row>
    <row r="636" spans="2:5" x14ac:dyDescent="0.25">
      <c r="B636" s="19"/>
      <c r="C636" s="19"/>
      <c r="D636" s="17"/>
      <c r="E636" s="19"/>
    </row>
    <row r="637" spans="2:5" x14ac:dyDescent="0.25">
      <c r="B637" s="19"/>
      <c r="C637" s="19"/>
      <c r="D637" s="17"/>
      <c r="E637" s="19"/>
    </row>
    <row r="638" spans="2:5" x14ac:dyDescent="0.25">
      <c r="B638" s="19"/>
      <c r="C638" s="19"/>
      <c r="D638" s="17"/>
      <c r="E638" s="19"/>
    </row>
    <row r="639" spans="2:5" x14ac:dyDescent="0.25">
      <c r="B639" s="19"/>
      <c r="C639" s="19"/>
      <c r="D639" s="17"/>
      <c r="E639" s="19"/>
    </row>
    <row r="640" spans="2:5" x14ac:dyDescent="0.25">
      <c r="B640" s="19"/>
      <c r="C640" s="19"/>
      <c r="D640" s="17"/>
      <c r="E640" s="19"/>
    </row>
    <row r="641" spans="2:5" x14ac:dyDescent="0.25">
      <c r="B641" s="19"/>
      <c r="C641" s="19"/>
      <c r="D641" s="17"/>
      <c r="E641" s="19"/>
    </row>
    <row r="642" spans="2:5" x14ac:dyDescent="0.25">
      <c r="B642" s="19"/>
      <c r="C642" s="19"/>
      <c r="D642" s="17"/>
      <c r="E642" s="19"/>
    </row>
    <row r="643" spans="2:5" x14ac:dyDescent="0.25">
      <c r="B643" s="19"/>
      <c r="C643" s="19"/>
      <c r="D643" s="17"/>
      <c r="E643" s="19"/>
    </row>
    <row r="644" spans="2:5" x14ac:dyDescent="0.25">
      <c r="B644" s="19"/>
      <c r="C644" s="19"/>
      <c r="D644" s="17"/>
      <c r="E644" s="19"/>
    </row>
    <row r="645" spans="2:5" x14ac:dyDescent="0.25">
      <c r="B645" s="19"/>
      <c r="C645" s="19"/>
      <c r="D645" s="17"/>
      <c r="E645" s="19"/>
    </row>
    <row r="646" spans="2:5" x14ac:dyDescent="0.25">
      <c r="B646" s="19"/>
      <c r="C646" s="19"/>
      <c r="D646" s="17"/>
      <c r="E646" s="19"/>
    </row>
    <row r="647" spans="2:5" x14ac:dyDescent="0.25">
      <c r="B647" s="19"/>
      <c r="C647" s="19"/>
      <c r="D647" s="17"/>
      <c r="E647" s="19"/>
    </row>
    <row r="648" spans="2:5" x14ac:dyDescent="0.25">
      <c r="B648" s="19"/>
      <c r="C648" s="19"/>
      <c r="D648" s="17"/>
      <c r="E648" s="19"/>
    </row>
    <row r="649" spans="2:5" x14ac:dyDescent="0.25">
      <c r="B649" s="19"/>
      <c r="C649" s="19"/>
      <c r="D649" s="17"/>
      <c r="E649" s="19"/>
    </row>
    <row r="650" spans="2:5" x14ac:dyDescent="0.25">
      <c r="B650" s="19"/>
      <c r="C650" s="19"/>
      <c r="D650" s="17"/>
      <c r="E650" s="19"/>
    </row>
    <row r="651" spans="2:5" x14ac:dyDescent="0.25">
      <c r="B651" s="19"/>
      <c r="C651" s="19"/>
      <c r="D651" s="17"/>
      <c r="E651" s="19"/>
    </row>
    <row r="652" spans="2:5" x14ac:dyDescent="0.25">
      <c r="B652" s="19"/>
      <c r="C652" s="19"/>
      <c r="D652" s="17"/>
      <c r="E652" s="19"/>
    </row>
    <row r="653" spans="2:5" x14ac:dyDescent="0.25">
      <c r="B653" s="19"/>
      <c r="C653" s="19"/>
      <c r="D653" s="17"/>
      <c r="E653" s="19"/>
    </row>
    <row r="654" spans="2:5" x14ac:dyDescent="0.25">
      <c r="B654" s="19"/>
      <c r="C654" s="19"/>
      <c r="D654" s="17"/>
      <c r="E654" s="19"/>
    </row>
    <row r="655" spans="2:5" x14ac:dyDescent="0.25">
      <c r="B655" s="19"/>
      <c r="C655" s="19"/>
      <c r="D655" s="17"/>
      <c r="E655" s="19"/>
    </row>
    <row r="656" spans="2:5" x14ac:dyDescent="0.25">
      <c r="B656" s="19"/>
      <c r="C656" s="19"/>
      <c r="D656" s="17"/>
      <c r="E656" s="19"/>
    </row>
    <row r="657" spans="2:5" x14ac:dyDescent="0.25">
      <c r="B657" s="19"/>
      <c r="C657" s="19"/>
      <c r="D657" s="17"/>
      <c r="E657" s="19"/>
    </row>
    <row r="658" spans="2:5" x14ac:dyDescent="0.25">
      <c r="B658" s="19"/>
      <c r="C658" s="19"/>
      <c r="D658" s="17"/>
      <c r="E658" s="19"/>
    </row>
    <row r="659" spans="2:5" x14ac:dyDescent="0.25">
      <c r="B659" s="19"/>
      <c r="C659" s="19"/>
      <c r="D659" s="17"/>
      <c r="E659" s="19"/>
    </row>
    <row r="660" spans="2:5" x14ac:dyDescent="0.25">
      <c r="B660" s="19"/>
      <c r="C660" s="19"/>
      <c r="D660" s="17"/>
      <c r="E660" s="19"/>
    </row>
    <row r="661" spans="2:5" x14ac:dyDescent="0.25">
      <c r="B661" s="19"/>
      <c r="C661" s="19"/>
      <c r="D661" s="17"/>
      <c r="E661" s="19"/>
    </row>
    <row r="662" spans="2:5" x14ac:dyDescent="0.25">
      <c r="B662" s="19"/>
      <c r="C662" s="19"/>
      <c r="D662" s="17"/>
      <c r="E662" s="19"/>
    </row>
    <row r="663" spans="2:5" x14ac:dyDescent="0.25">
      <c r="B663" s="19"/>
      <c r="C663" s="19"/>
      <c r="D663" s="17"/>
      <c r="E663" s="19"/>
    </row>
    <row r="664" spans="2:5" x14ac:dyDescent="0.25">
      <c r="B664" s="19"/>
      <c r="C664" s="19"/>
      <c r="D664" s="17"/>
      <c r="E664" s="19"/>
    </row>
    <row r="665" spans="2:5" x14ac:dyDescent="0.25">
      <c r="B665" s="19"/>
      <c r="C665" s="19"/>
      <c r="D665" s="17"/>
      <c r="E665" s="19"/>
    </row>
    <row r="666" spans="2:5" x14ac:dyDescent="0.25">
      <c r="B666" s="19"/>
      <c r="C666" s="19"/>
      <c r="D666" s="17"/>
      <c r="E666" s="19"/>
    </row>
    <row r="667" spans="2:5" x14ac:dyDescent="0.25">
      <c r="B667" s="19"/>
      <c r="C667" s="19"/>
      <c r="D667" s="17"/>
      <c r="E667" s="19"/>
    </row>
    <row r="668" spans="2:5" x14ac:dyDescent="0.25">
      <c r="B668" s="19"/>
      <c r="C668" s="19"/>
      <c r="D668" s="17"/>
      <c r="E668" s="19"/>
    </row>
    <row r="669" spans="2:5" x14ac:dyDescent="0.25">
      <c r="B669" s="19"/>
      <c r="C669" s="19"/>
      <c r="D669" s="17"/>
      <c r="E669" s="19"/>
    </row>
    <row r="670" spans="2:5" x14ac:dyDescent="0.25">
      <c r="B670" s="19"/>
      <c r="C670" s="19"/>
      <c r="D670" s="17"/>
      <c r="E670" s="19"/>
    </row>
    <row r="671" spans="2:5" x14ac:dyDescent="0.25">
      <c r="B671" s="19"/>
      <c r="C671" s="19"/>
      <c r="D671" s="17"/>
      <c r="E671" s="19"/>
    </row>
    <row r="672" spans="2:5" x14ac:dyDescent="0.25">
      <c r="B672" s="19"/>
      <c r="C672" s="19"/>
      <c r="D672" s="17"/>
      <c r="E672" s="19"/>
    </row>
    <row r="673" spans="2:5" x14ac:dyDescent="0.25">
      <c r="B673" s="19"/>
      <c r="C673" s="19"/>
      <c r="D673" s="17"/>
      <c r="E673" s="19"/>
    </row>
    <row r="674" spans="2:5" x14ac:dyDescent="0.25">
      <c r="B674" s="19"/>
      <c r="C674" s="19"/>
      <c r="D674" s="17"/>
      <c r="E674" s="19"/>
    </row>
    <row r="675" spans="2:5" x14ac:dyDescent="0.25">
      <c r="B675" s="19"/>
      <c r="C675" s="19"/>
      <c r="D675" s="17"/>
      <c r="E675" s="19"/>
    </row>
    <row r="676" spans="2:5" x14ac:dyDescent="0.25">
      <c r="B676" s="19"/>
      <c r="C676" s="19"/>
      <c r="D676" s="17"/>
      <c r="E676" s="19"/>
    </row>
    <row r="677" spans="2:5" x14ac:dyDescent="0.25">
      <c r="B677" s="19"/>
      <c r="C677" s="19"/>
      <c r="D677" s="17"/>
      <c r="E677" s="19"/>
    </row>
    <row r="678" spans="2:5" x14ac:dyDescent="0.25">
      <c r="B678" s="19"/>
      <c r="C678" s="19"/>
      <c r="D678" s="17"/>
      <c r="E678" s="19"/>
    </row>
    <row r="679" spans="2:5" x14ac:dyDescent="0.25">
      <c r="B679" s="19"/>
      <c r="C679" s="19"/>
      <c r="D679" s="17"/>
      <c r="E679" s="19"/>
    </row>
    <row r="680" spans="2:5" x14ac:dyDescent="0.25">
      <c r="B680" s="19"/>
      <c r="C680" s="19"/>
      <c r="D680" s="17"/>
      <c r="E680" s="19"/>
    </row>
    <row r="681" spans="2:5" x14ac:dyDescent="0.25">
      <c r="B681" s="19"/>
      <c r="C681" s="19"/>
      <c r="D681" s="17"/>
      <c r="E681" s="19"/>
    </row>
    <row r="682" spans="2:5" x14ac:dyDescent="0.25">
      <c r="B682" s="19"/>
      <c r="C682" s="19"/>
      <c r="D682" s="17"/>
      <c r="E682" s="19"/>
    </row>
    <row r="683" spans="2:5" x14ac:dyDescent="0.25">
      <c r="B683" s="19"/>
      <c r="C683" s="19"/>
      <c r="D683" s="17"/>
      <c r="E683" s="19"/>
    </row>
    <row r="684" spans="2:5" x14ac:dyDescent="0.25">
      <c r="B684" s="19"/>
      <c r="C684" s="19"/>
      <c r="D684" s="17"/>
      <c r="E684" s="19"/>
    </row>
    <row r="685" spans="2:5" x14ac:dyDescent="0.25">
      <c r="B685" s="19"/>
      <c r="C685" s="19"/>
      <c r="D685" s="17"/>
      <c r="E685" s="19"/>
    </row>
    <row r="686" spans="2:5" x14ac:dyDescent="0.25">
      <c r="B686" s="19"/>
      <c r="C686" s="19"/>
      <c r="D686" s="17"/>
      <c r="E686" s="19"/>
    </row>
    <row r="687" spans="2:5" x14ac:dyDescent="0.25">
      <c r="B687" s="19"/>
      <c r="C687" s="19"/>
      <c r="D687" s="17"/>
      <c r="E687" s="19"/>
    </row>
    <row r="688" spans="2:5" x14ac:dyDescent="0.25">
      <c r="B688" s="19"/>
      <c r="C688" s="19"/>
      <c r="D688" s="17"/>
      <c r="E688" s="19"/>
    </row>
    <row r="689" spans="2:5" x14ac:dyDescent="0.25">
      <c r="B689" s="19"/>
      <c r="C689" s="19"/>
      <c r="D689" s="17"/>
      <c r="E689" s="19"/>
    </row>
    <row r="690" spans="2:5" x14ac:dyDescent="0.25">
      <c r="B690" s="19"/>
      <c r="C690" s="19"/>
      <c r="D690" s="17"/>
      <c r="E690" s="19"/>
    </row>
    <row r="691" spans="2:5" x14ac:dyDescent="0.25">
      <c r="B691" s="19"/>
      <c r="C691" s="19"/>
      <c r="D691" s="17"/>
      <c r="E691" s="19"/>
    </row>
    <row r="692" spans="2:5" x14ac:dyDescent="0.25">
      <c r="B692" s="19"/>
      <c r="C692" s="19"/>
      <c r="D692" s="17"/>
      <c r="E692" s="19"/>
    </row>
    <row r="693" spans="2:5" x14ac:dyDescent="0.25">
      <c r="B693" s="19"/>
      <c r="C693" s="19"/>
      <c r="D693" s="17"/>
      <c r="E693" s="19"/>
    </row>
    <row r="694" spans="2:5" x14ac:dyDescent="0.25">
      <c r="B694" s="19"/>
      <c r="C694" s="19"/>
      <c r="D694" s="17"/>
      <c r="E694" s="19"/>
    </row>
    <row r="695" spans="2:5" x14ac:dyDescent="0.25">
      <c r="B695" s="19"/>
      <c r="C695" s="19"/>
      <c r="D695" s="17"/>
      <c r="E695" s="19"/>
    </row>
    <row r="696" spans="2:5" x14ac:dyDescent="0.25">
      <c r="B696" s="19"/>
      <c r="C696" s="19"/>
      <c r="D696" s="17"/>
      <c r="E696" s="19"/>
    </row>
    <row r="697" spans="2:5" x14ac:dyDescent="0.25">
      <c r="B697" s="19"/>
      <c r="C697" s="19"/>
      <c r="D697" s="17"/>
      <c r="E697" s="19"/>
    </row>
    <row r="698" spans="2:5" x14ac:dyDescent="0.25">
      <c r="B698" s="19"/>
      <c r="C698" s="19"/>
      <c r="D698" s="17"/>
      <c r="E698" s="19"/>
    </row>
    <row r="699" spans="2:5" x14ac:dyDescent="0.25">
      <c r="B699" s="19"/>
      <c r="C699" s="19"/>
      <c r="D699" s="17"/>
      <c r="E699" s="19"/>
    </row>
    <row r="700" spans="2:5" x14ac:dyDescent="0.25">
      <c r="B700" s="19"/>
      <c r="C700" s="19"/>
      <c r="D700" s="17"/>
      <c r="E700" s="19"/>
    </row>
    <row r="701" spans="2:5" x14ac:dyDescent="0.25">
      <c r="B701" s="19"/>
      <c r="C701" s="19"/>
      <c r="D701" s="17"/>
      <c r="E701" s="19"/>
    </row>
    <row r="702" spans="2:5" x14ac:dyDescent="0.25">
      <c r="B702" s="19"/>
      <c r="C702" s="19"/>
      <c r="D702" s="17"/>
      <c r="E702" s="19"/>
    </row>
    <row r="703" spans="2:5" x14ac:dyDescent="0.25">
      <c r="B703" s="19"/>
      <c r="C703" s="19"/>
      <c r="D703" s="17"/>
      <c r="E703" s="19"/>
    </row>
    <row r="704" spans="2:5" x14ac:dyDescent="0.25">
      <c r="B704" s="19"/>
      <c r="C704" s="19"/>
      <c r="D704" s="17"/>
      <c r="E704" s="19"/>
    </row>
    <row r="705" spans="2:5" x14ac:dyDescent="0.25">
      <c r="B705" s="19"/>
      <c r="C705" s="19"/>
      <c r="D705" s="17"/>
      <c r="E705" s="19"/>
    </row>
    <row r="706" spans="2:5" x14ac:dyDescent="0.25">
      <c r="B706" s="19"/>
      <c r="C706" s="19"/>
      <c r="D706" s="17"/>
      <c r="E706" s="19"/>
    </row>
    <row r="707" spans="2:5" x14ac:dyDescent="0.25">
      <c r="B707" s="19"/>
      <c r="C707" s="19"/>
      <c r="D707" s="17"/>
      <c r="E707" s="19"/>
    </row>
    <row r="708" spans="2:5" x14ac:dyDescent="0.25">
      <c r="B708" s="19"/>
      <c r="C708" s="19"/>
      <c r="D708" s="17"/>
      <c r="E708" s="19"/>
    </row>
    <row r="709" spans="2:5" x14ac:dyDescent="0.25">
      <c r="B709" s="19"/>
      <c r="C709" s="19"/>
      <c r="D709" s="17"/>
      <c r="E709" s="19"/>
    </row>
    <row r="710" spans="2:5" x14ac:dyDescent="0.25">
      <c r="B710" s="19"/>
      <c r="C710" s="19"/>
      <c r="D710" s="17"/>
      <c r="E710" s="19"/>
    </row>
    <row r="711" spans="2:5" x14ac:dyDescent="0.25">
      <c r="B711" s="19"/>
      <c r="C711" s="19"/>
      <c r="D711" s="17"/>
      <c r="E711" s="19"/>
    </row>
    <row r="712" spans="2:5" x14ac:dyDescent="0.25">
      <c r="B712" s="19"/>
      <c r="C712" s="19"/>
      <c r="D712" s="17"/>
      <c r="E712" s="19"/>
    </row>
    <row r="713" spans="2:5" x14ac:dyDescent="0.25">
      <c r="B713" s="19"/>
      <c r="C713" s="19"/>
      <c r="D713" s="17"/>
      <c r="E713" s="19"/>
    </row>
    <row r="714" spans="2:5" x14ac:dyDescent="0.25">
      <c r="B714" s="19"/>
      <c r="C714" s="19"/>
      <c r="D714" s="17"/>
      <c r="E714" s="19"/>
    </row>
    <row r="715" spans="2:5" x14ac:dyDescent="0.25">
      <c r="B715" s="19"/>
      <c r="C715" s="19"/>
      <c r="D715" s="17"/>
      <c r="E715" s="19"/>
    </row>
    <row r="716" spans="2:5" x14ac:dyDescent="0.25">
      <c r="B716" s="19"/>
      <c r="C716" s="19"/>
      <c r="D716" s="17"/>
      <c r="E716" s="19"/>
    </row>
    <row r="717" spans="2:5" x14ac:dyDescent="0.25">
      <c r="B717" s="19"/>
      <c r="C717" s="19"/>
      <c r="D717" s="17"/>
      <c r="E717" s="19"/>
    </row>
    <row r="718" spans="2:5" x14ac:dyDescent="0.25">
      <c r="B718" s="19"/>
      <c r="C718" s="19"/>
      <c r="D718" s="17"/>
      <c r="E718" s="19"/>
    </row>
    <row r="719" spans="2:5" x14ac:dyDescent="0.25">
      <c r="B719" s="19"/>
      <c r="C719" s="19"/>
      <c r="D719" s="17"/>
      <c r="E719" s="19"/>
    </row>
    <row r="720" spans="2:5" x14ac:dyDescent="0.25">
      <c r="B720" s="19"/>
      <c r="C720" s="19"/>
      <c r="D720" s="17"/>
      <c r="E720" s="19"/>
    </row>
    <row r="721" spans="2:5" x14ac:dyDescent="0.25">
      <c r="B721" s="19"/>
      <c r="C721" s="19"/>
      <c r="D721" s="17"/>
      <c r="E721" s="19"/>
    </row>
    <row r="722" spans="2:5" x14ac:dyDescent="0.25">
      <c r="B722" s="19"/>
      <c r="C722" s="19"/>
      <c r="D722" s="17"/>
      <c r="E722" s="19"/>
    </row>
    <row r="723" spans="2:5" x14ac:dyDescent="0.25">
      <c r="B723" s="19"/>
      <c r="C723" s="19"/>
      <c r="D723" s="17"/>
      <c r="E723" s="19"/>
    </row>
    <row r="724" spans="2:5" x14ac:dyDescent="0.25">
      <c r="B724" s="19"/>
      <c r="C724" s="19"/>
      <c r="D724" s="17"/>
      <c r="E724" s="19"/>
    </row>
    <row r="725" spans="2:5" x14ac:dyDescent="0.25">
      <c r="B725" s="19"/>
      <c r="C725" s="19"/>
      <c r="D725" s="17"/>
      <c r="E725" s="19"/>
    </row>
    <row r="726" spans="2:5" x14ac:dyDescent="0.25">
      <c r="B726" s="19"/>
      <c r="C726" s="19"/>
      <c r="D726" s="17"/>
      <c r="E726" s="19"/>
    </row>
    <row r="727" spans="2:5" x14ac:dyDescent="0.25">
      <c r="B727" s="19"/>
      <c r="C727" s="19"/>
      <c r="D727" s="17"/>
      <c r="E727" s="19"/>
    </row>
    <row r="728" spans="2:5" x14ac:dyDescent="0.25">
      <c r="B728" s="19"/>
      <c r="C728" s="19"/>
      <c r="D728" s="17"/>
      <c r="E728" s="19"/>
    </row>
    <row r="729" spans="2:5" x14ac:dyDescent="0.25">
      <c r="B729" s="19"/>
      <c r="C729" s="19"/>
      <c r="D729" s="17"/>
      <c r="E729" s="19"/>
    </row>
    <row r="730" spans="2:5" x14ac:dyDescent="0.25">
      <c r="B730" s="19"/>
      <c r="C730" s="19"/>
      <c r="D730" s="17"/>
      <c r="E730" s="19"/>
    </row>
    <row r="731" spans="2:5" x14ac:dyDescent="0.25">
      <c r="B731" s="19"/>
      <c r="C731" s="19"/>
      <c r="D731" s="17"/>
      <c r="E731" s="19"/>
    </row>
    <row r="732" spans="2:5" x14ac:dyDescent="0.25">
      <c r="B732" s="19"/>
      <c r="C732" s="19"/>
      <c r="D732" s="17"/>
      <c r="E732" s="19"/>
    </row>
    <row r="733" spans="2:5" x14ac:dyDescent="0.25">
      <c r="B733" s="19"/>
      <c r="C733" s="19"/>
      <c r="D733" s="17"/>
      <c r="E733" s="19"/>
    </row>
    <row r="734" spans="2:5" x14ac:dyDescent="0.25">
      <c r="B734" s="19"/>
      <c r="C734" s="19"/>
      <c r="D734" s="17"/>
      <c r="E734" s="19"/>
    </row>
    <row r="735" spans="2:5" x14ac:dyDescent="0.25">
      <c r="B735" s="19"/>
      <c r="C735" s="19"/>
      <c r="D735" s="17"/>
      <c r="E735" s="19"/>
    </row>
    <row r="736" spans="2:5" x14ac:dyDescent="0.25">
      <c r="B736" s="19"/>
      <c r="C736" s="19"/>
      <c r="D736" s="17"/>
      <c r="E736" s="19"/>
    </row>
    <row r="737" spans="2:5" x14ac:dyDescent="0.25">
      <c r="B737" s="19"/>
      <c r="C737" s="19"/>
      <c r="D737" s="17"/>
      <c r="E737" s="19"/>
    </row>
    <row r="738" spans="2:5" x14ac:dyDescent="0.25">
      <c r="B738" s="19"/>
      <c r="C738" s="19"/>
      <c r="D738" s="17"/>
      <c r="E738" s="19"/>
    </row>
    <row r="739" spans="2:5" x14ac:dyDescent="0.25">
      <c r="B739" s="19"/>
      <c r="C739" s="19"/>
      <c r="D739" s="17"/>
      <c r="E739" s="19"/>
    </row>
    <row r="740" spans="2:5" x14ac:dyDescent="0.25">
      <c r="B740" s="19"/>
      <c r="C740" s="19"/>
      <c r="D740" s="17"/>
      <c r="E740" s="19"/>
    </row>
    <row r="741" spans="2:5" x14ac:dyDescent="0.25">
      <c r="B741" s="19"/>
      <c r="C741" s="19"/>
      <c r="D741" s="17"/>
      <c r="E741" s="19"/>
    </row>
    <row r="742" spans="2:5" x14ac:dyDescent="0.25">
      <c r="B742" s="19"/>
      <c r="C742" s="19"/>
      <c r="D742" s="17"/>
      <c r="E742" s="19"/>
    </row>
    <row r="743" spans="2:5" x14ac:dyDescent="0.25">
      <c r="B743" s="19"/>
      <c r="C743" s="19"/>
      <c r="D743" s="17"/>
      <c r="E743" s="19"/>
    </row>
    <row r="744" spans="2:5" x14ac:dyDescent="0.25">
      <c r="B744" s="19"/>
      <c r="C744" s="19"/>
      <c r="D744" s="17"/>
      <c r="E744" s="19"/>
    </row>
    <row r="745" spans="2:5" x14ac:dyDescent="0.25">
      <c r="B745" s="19"/>
      <c r="C745" s="19"/>
      <c r="D745" s="17"/>
      <c r="E745" s="19"/>
    </row>
    <row r="746" spans="2:5" x14ac:dyDescent="0.25">
      <c r="B746" s="19"/>
      <c r="C746" s="19"/>
      <c r="D746" s="17"/>
      <c r="E746" s="19"/>
    </row>
    <row r="747" spans="2:5" x14ac:dyDescent="0.25">
      <c r="B747" s="19"/>
      <c r="C747" s="19"/>
      <c r="D747" s="17"/>
      <c r="E747" s="19"/>
    </row>
    <row r="748" spans="2:5" x14ac:dyDescent="0.25">
      <c r="B748" s="19"/>
      <c r="C748" s="19"/>
      <c r="D748" s="17"/>
      <c r="E748" s="19"/>
    </row>
    <row r="749" spans="2:5" x14ac:dyDescent="0.25">
      <c r="B749" s="19"/>
      <c r="C749" s="19"/>
      <c r="D749" s="17"/>
      <c r="E749" s="19"/>
    </row>
    <row r="750" spans="2:5" x14ac:dyDescent="0.25">
      <c r="B750" s="19"/>
      <c r="C750" s="19"/>
      <c r="D750" s="17"/>
      <c r="E750" s="19"/>
    </row>
    <row r="751" spans="2:5" x14ac:dyDescent="0.25">
      <c r="B751" s="19"/>
      <c r="C751" s="19"/>
      <c r="D751" s="17"/>
      <c r="E751" s="19"/>
    </row>
    <row r="752" spans="2:5" x14ac:dyDescent="0.25">
      <c r="B752" s="19"/>
      <c r="C752" s="19"/>
      <c r="D752" s="17"/>
      <c r="E752" s="19"/>
    </row>
    <row r="753" spans="2:5" x14ac:dyDescent="0.25">
      <c r="B753" s="19"/>
      <c r="C753" s="19"/>
      <c r="D753" s="17"/>
      <c r="E753" s="19"/>
    </row>
    <row r="754" spans="2:5" x14ac:dyDescent="0.25">
      <c r="B754" s="19"/>
      <c r="C754" s="19"/>
      <c r="D754" s="17"/>
      <c r="E754" s="19"/>
    </row>
    <row r="755" spans="2:5" x14ac:dyDescent="0.25">
      <c r="B755" s="19"/>
      <c r="C755" s="19"/>
      <c r="D755" s="17"/>
      <c r="E755" s="19"/>
    </row>
    <row r="756" spans="2:5" x14ac:dyDescent="0.25">
      <c r="B756" s="19"/>
      <c r="C756" s="19"/>
      <c r="D756" s="17"/>
      <c r="E756" s="19"/>
    </row>
    <row r="757" spans="2:5" x14ac:dyDescent="0.25">
      <c r="B757" s="19"/>
      <c r="C757" s="19"/>
      <c r="D757" s="17"/>
      <c r="E757" s="19"/>
    </row>
    <row r="758" spans="2:5" x14ac:dyDescent="0.25">
      <c r="B758" s="19"/>
      <c r="C758" s="19"/>
      <c r="D758" s="17"/>
      <c r="E758" s="19"/>
    </row>
    <row r="759" spans="2:5" x14ac:dyDescent="0.25">
      <c r="B759" s="19"/>
      <c r="C759" s="19"/>
      <c r="D759" s="17"/>
      <c r="E759" s="19"/>
    </row>
    <row r="760" spans="2:5" x14ac:dyDescent="0.25">
      <c r="B760" s="19"/>
      <c r="C760" s="19"/>
      <c r="D760" s="17"/>
      <c r="E760" s="19"/>
    </row>
    <row r="761" spans="2:5" x14ac:dyDescent="0.25">
      <c r="B761" s="19"/>
      <c r="C761" s="19"/>
      <c r="D761" s="17"/>
      <c r="E761" s="19"/>
    </row>
    <row r="762" spans="2:5" x14ac:dyDescent="0.25">
      <c r="B762" s="19"/>
      <c r="C762" s="19"/>
      <c r="D762" s="17"/>
      <c r="E762" s="19"/>
    </row>
    <row r="763" spans="2:5" x14ac:dyDescent="0.25">
      <c r="B763" s="19"/>
      <c r="C763" s="19"/>
      <c r="D763" s="17"/>
      <c r="E763" s="19"/>
    </row>
    <row r="764" spans="2:5" x14ac:dyDescent="0.25">
      <c r="B764" s="19"/>
      <c r="C764" s="19"/>
      <c r="D764" s="17"/>
      <c r="E764" s="19"/>
    </row>
    <row r="765" spans="2:5" x14ac:dyDescent="0.25">
      <c r="B765" s="19"/>
      <c r="C765" s="19"/>
      <c r="D765" s="17"/>
      <c r="E765" s="19"/>
    </row>
    <row r="766" spans="2:5" x14ac:dyDescent="0.25">
      <c r="B766" s="19"/>
      <c r="C766" s="19"/>
      <c r="D766" s="17"/>
      <c r="E766" s="19"/>
    </row>
    <row r="767" spans="2:5" x14ac:dyDescent="0.25">
      <c r="B767" s="19"/>
      <c r="C767" s="19"/>
      <c r="D767" s="17"/>
      <c r="E767" s="19"/>
    </row>
    <row r="768" spans="2:5" x14ac:dyDescent="0.25">
      <c r="B768" s="19"/>
      <c r="C768" s="19"/>
      <c r="D768" s="17"/>
      <c r="E768" s="19"/>
    </row>
    <row r="769" spans="2:5" x14ac:dyDescent="0.25">
      <c r="B769" s="19"/>
      <c r="C769" s="19"/>
      <c r="D769" s="17"/>
      <c r="E769" s="19"/>
    </row>
    <row r="770" spans="2:5" x14ac:dyDescent="0.25">
      <c r="B770" s="19"/>
      <c r="C770" s="19"/>
      <c r="D770" s="17"/>
      <c r="E770" s="19"/>
    </row>
    <row r="771" spans="2:5" x14ac:dyDescent="0.25">
      <c r="B771" s="19"/>
      <c r="C771" s="19"/>
      <c r="D771" s="17"/>
      <c r="E771" s="19"/>
    </row>
    <row r="772" spans="2:5" x14ac:dyDescent="0.25">
      <c r="B772" s="19"/>
      <c r="C772" s="19"/>
      <c r="D772" s="17"/>
      <c r="E772" s="19"/>
    </row>
    <row r="773" spans="2:5" x14ac:dyDescent="0.25">
      <c r="B773" s="19"/>
      <c r="C773" s="19"/>
      <c r="D773" s="17"/>
      <c r="E773" s="19"/>
    </row>
    <row r="774" spans="2:5" x14ac:dyDescent="0.25">
      <c r="B774" s="19"/>
      <c r="C774" s="19"/>
      <c r="D774" s="17"/>
      <c r="E774" s="19"/>
    </row>
    <row r="775" spans="2:5" x14ac:dyDescent="0.25">
      <c r="B775" s="19"/>
      <c r="C775" s="19"/>
      <c r="D775" s="17"/>
      <c r="E775" s="19"/>
    </row>
    <row r="776" spans="2:5" x14ac:dyDescent="0.25">
      <c r="B776" s="19"/>
      <c r="C776" s="19"/>
      <c r="D776" s="17"/>
      <c r="E776" s="19"/>
    </row>
    <row r="777" spans="2:5" x14ac:dyDescent="0.25">
      <c r="B777" s="19"/>
      <c r="C777" s="19"/>
      <c r="D777" s="17"/>
      <c r="E777" s="19"/>
    </row>
    <row r="778" spans="2:5" x14ac:dyDescent="0.25">
      <c r="B778" s="19"/>
      <c r="C778" s="19"/>
      <c r="D778" s="17"/>
      <c r="E778" s="19"/>
    </row>
    <row r="779" spans="2:5" x14ac:dyDescent="0.25">
      <c r="B779" s="19"/>
      <c r="C779" s="19"/>
      <c r="D779" s="17"/>
      <c r="E779" s="19"/>
    </row>
    <row r="780" spans="2:5" x14ac:dyDescent="0.25">
      <c r="B780" s="19"/>
      <c r="C780" s="19"/>
      <c r="D780" s="17"/>
      <c r="E780" s="19"/>
    </row>
    <row r="781" spans="2:5" x14ac:dyDescent="0.25">
      <c r="B781" s="19"/>
      <c r="C781" s="19"/>
      <c r="D781" s="17"/>
      <c r="E781" s="19"/>
    </row>
    <row r="782" spans="2:5" x14ac:dyDescent="0.25">
      <c r="B782" s="19"/>
      <c r="C782" s="19"/>
      <c r="D782" s="17"/>
      <c r="E782" s="19"/>
    </row>
    <row r="783" spans="2:5" x14ac:dyDescent="0.25">
      <c r="B783" s="19"/>
      <c r="C783" s="19"/>
      <c r="D783" s="17"/>
      <c r="E783" s="19"/>
    </row>
    <row r="784" spans="2:5" x14ac:dyDescent="0.25">
      <c r="B784" s="19"/>
      <c r="C784" s="19"/>
      <c r="D784" s="17"/>
      <c r="E784" s="19"/>
    </row>
    <row r="785" spans="2:5" x14ac:dyDescent="0.25">
      <c r="B785" s="19"/>
      <c r="C785" s="19"/>
      <c r="D785" s="17"/>
      <c r="E785" s="19"/>
    </row>
    <row r="786" spans="2:5" x14ac:dyDescent="0.25">
      <c r="B786" s="19"/>
      <c r="C786" s="19"/>
      <c r="D786" s="17"/>
      <c r="E786" s="19"/>
    </row>
    <row r="787" spans="2:5" x14ac:dyDescent="0.25">
      <c r="B787" s="19"/>
      <c r="C787" s="19"/>
      <c r="D787" s="17"/>
      <c r="E787" s="19"/>
    </row>
    <row r="788" spans="2:5" x14ac:dyDescent="0.25">
      <c r="B788" s="19"/>
      <c r="C788" s="19"/>
      <c r="D788" s="17"/>
      <c r="E788" s="19"/>
    </row>
    <row r="789" spans="2:5" x14ac:dyDescent="0.25">
      <c r="B789" s="19"/>
      <c r="C789" s="19"/>
      <c r="D789" s="17"/>
      <c r="E789" s="19"/>
    </row>
    <row r="790" spans="2:5" x14ac:dyDescent="0.25">
      <c r="B790" s="19"/>
      <c r="C790" s="19"/>
      <c r="D790" s="17"/>
      <c r="E790" s="19"/>
    </row>
    <row r="791" spans="2:5" x14ac:dyDescent="0.25">
      <c r="B791" s="19"/>
      <c r="C791" s="19"/>
      <c r="D791" s="17"/>
      <c r="E791" s="19"/>
    </row>
    <row r="792" spans="2:5" x14ac:dyDescent="0.25">
      <c r="B792" s="19"/>
      <c r="C792" s="19"/>
      <c r="D792" s="17"/>
      <c r="E792" s="19"/>
    </row>
    <row r="793" spans="2:5" x14ac:dyDescent="0.25">
      <c r="B793" s="19"/>
      <c r="C793" s="19"/>
      <c r="D793" s="17"/>
      <c r="E793" s="19"/>
    </row>
    <row r="794" spans="2:5" x14ac:dyDescent="0.25">
      <c r="B794" s="19"/>
      <c r="C794" s="19"/>
      <c r="D794" s="17"/>
      <c r="E794" s="19"/>
    </row>
    <row r="795" spans="2:5" x14ac:dyDescent="0.25">
      <c r="B795" s="19"/>
      <c r="C795" s="19"/>
      <c r="D795" s="17"/>
      <c r="E795" s="19"/>
    </row>
    <row r="796" spans="2:5" x14ac:dyDescent="0.25">
      <c r="B796" s="19"/>
      <c r="C796" s="19"/>
      <c r="D796" s="17"/>
      <c r="E796" s="19"/>
    </row>
    <row r="797" spans="2:5" x14ac:dyDescent="0.25">
      <c r="B797" s="19"/>
      <c r="C797" s="19"/>
      <c r="D797" s="17"/>
      <c r="E797" s="19"/>
    </row>
    <row r="798" spans="2:5" x14ac:dyDescent="0.25">
      <c r="B798" s="19"/>
      <c r="C798" s="19"/>
      <c r="D798" s="17"/>
      <c r="E798" s="19"/>
    </row>
    <row r="799" spans="2:5" x14ac:dyDescent="0.25">
      <c r="B799" s="19"/>
      <c r="C799" s="19"/>
      <c r="D799" s="17"/>
      <c r="E799" s="19"/>
    </row>
    <row r="800" spans="2:5" x14ac:dyDescent="0.25">
      <c r="B800" s="19"/>
      <c r="C800" s="19"/>
      <c r="D800" s="17"/>
      <c r="E800" s="19"/>
    </row>
    <row r="801" spans="2:5" x14ac:dyDescent="0.25">
      <c r="B801" s="19"/>
      <c r="C801" s="19"/>
      <c r="D801" s="17"/>
      <c r="E801" s="19"/>
    </row>
    <row r="802" spans="2:5" x14ac:dyDescent="0.25">
      <c r="B802" s="19"/>
      <c r="C802" s="19"/>
      <c r="D802" s="17"/>
      <c r="E802" s="19"/>
    </row>
    <row r="803" spans="2:5" x14ac:dyDescent="0.25">
      <c r="B803" s="19"/>
      <c r="C803" s="19"/>
      <c r="D803" s="17"/>
      <c r="E803" s="19"/>
    </row>
    <row r="804" spans="2:5" x14ac:dyDescent="0.25">
      <c r="B804" s="19"/>
      <c r="C804" s="19"/>
      <c r="D804" s="17"/>
      <c r="E804" s="19"/>
    </row>
    <row r="805" spans="2:5" x14ac:dyDescent="0.25">
      <c r="B805" s="19"/>
      <c r="C805" s="19"/>
      <c r="D805" s="17"/>
      <c r="E805" s="19"/>
    </row>
    <row r="806" spans="2:5" x14ac:dyDescent="0.25">
      <c r="B806" s="19"/>
      <c r="C806" s="19"/>
      <c r="D806" s="17"/>
      <c r="E806" s="19"/>
    </row>
    <row r="807" spans="2:5" x14ac:dyDescent="0.25">
      <c r="B807" s="19"/>
      <c r="C807" s="19"/>
      <c r="D807" s="17"/>
      <c r="E807" s="19"/>
    </row>
    <row r="808" spans="2:5" x14ac:dyDescent="0.25">
      <c r="B808" s="19"/>
      <c r="C808" s="19"/>
      <c r="D808" s="17"/>
      <c r="E808" s="19"/>
    </row>
    <row r="809" spans="2:5" x14ac:dyDescent="0.25">
      <c r="B809" s="19"/>
      <c r="C809" s="19"/>
      <c r="D809" s="17"/>
      <c r="E809" s="19"/>
    </row>
    <row r="810" spans="2:5" x14ac:dyDescent="0.25">
      <c r="B810" s="19"/>
      <c r="C810" s="19"/>
      <c r="D810" s="17"/>
      <c r="E810" s="19"/>
    </row>
    <row r="811" spans="2:5" x14ac:dyDescent="0.25">
      <c r="B811" s="19"/>
      <c r="C811" s="19"/>
      <c r="D811" s="17"/>
      <c r="E811" s="19"/>
    </row>
    <row r="812" spans="2:5" x14ac:dyDescent="0.25">
      <c r="B812" s="19"/>
      <c r="C812" s="19"/>
      <c r="D812" s="17"/>
      <c r="E812" s="19"/>
    </row>
    <row r="813" spans="2:5" x14ac:dyDescent="0.25">
      <c r="B813" s="19"/>
      <c r="C813" s="19"/>
      <c r="D813" s="17"/>
      <c r="E813" s="19"/>
    </row>
    <row r="814" spans="2:5" x14ac:dyDescent="0.25">
      <c r="B814" s="19"/>
      <c r="C814" s="19"/>
      <c r="D814" s="17"/>
      <c r="E814" s="19"/>
    </row>
    <row r="815" spans="2:5" x14ac:dyDescent="0.25">
      <c r="B815" s="19"/>
      <c r="C815" s="19"/>
      <c r="D815" s="17"/>
      <c r="E815" s="19"/>
    </row>
    <row r="816" spans="2:5" x14ac:dyDescent="0.25">
      <c r="B816" s="19"/>
      <c r="C816" s="19"/>
      <c r="D816" s="17"/>
      <c r="E816" s="19"/>
    </row>
    <row r="817" spans="2:5" x14ac:dyDescent="0.25">
      <c r="B817" s="19"/>
      <c r="C817" s="19"/>
      <c r="D817" s="17"/>
      <c r="E817" s="19"/>
    </row>
    <row r="818" spans="2:5" x14ac:dyDescent="0.25">
      <c r="B818" s="19"/>
      <c r="C818" s="19"/>
      <c r="D818" s="17"/>
      <c r="E818" s="19"/>
    </row>
    <row r="819" spans="2:5" x14ac:dyDescent="0.25">
      <c r="B819" s="19"/>
      <c r="C819" s="19"/>
      <c r="D819" s="17"/>
      <c r="E819" s="19"/>
    </row>
    <row r="820" spans="2:5" x14ac:dyDescent="0.25">
      <c r="B820" s="19"/>
      <c r="C820" s="19"/>
      <c r="D820" s="17"/>
      <c r="E820" s="19"/>
    </row>
    <row r="821" spans="2:5" x14ac:dyDescent="0.25">
      <c r="B821" s="19"/>
      <c r="C821" s="19"/>
      <c r="D821" s="17"/>
      <c r="E821" s="19"/>
    </row>
    <row r="822" spans="2:5" x14ac:dyDescent="0.25">
      <c r="B822" s="19"/>
      <c r="C822" s="19"/>
      <c r="D822" s="17"/>
      <c r="E822" s="19"/>
    </row>
    <row r="823" spans="2:5" x14ac:dyDescent="0.25">
      <c r="B823" s="19"/>
      <c r="C823" s="19"/>
      <c r="D823" s="17"/>
      <c r="E823" s="19"/>
    </row>
    <row r="824" spans="2:5" x14ac:dyDescent="0.25">
      <c r="B824" s="19"/>
      <c r="C824" s="19"/>
      <c r="D824" s="17"/>
      <c r="E824" s="19"/>
    </row>
    <row r="825" spans="2:5" x14ac:dyDescent="0.25">
      <c r="B825" s="19"/>
      <c r="C825" s="19"/>
      <c r="D825" s="17"/>
      <c r="E825" s="19"/>
    </row>
    <row r="826" spans="2:5" x14ac:dyDescent="0.25">
      <c r="B826" s="19"/>
      <c r="C826" s="19"/>
      <c r="D826" s="17"/>
      <c r="E826" s="19"/>
    </row>
    <row r="827" spans="2:5" x14ac:dyDescent="0.25">
      <c r="B827" s="19"/>
      <c r="C827" s="19"/>
      <c r="D827" s="17"/>
      <c r="E827" s="19"/>
    </row>
    <row r="828" spans="2:5" x14ac:dyDescent="0.25">
      <c r="B828" s="19"/>
      <c r="C828" s="19"/>
      <c r="D828" s="17"/>
      <c r="E828" s="19"/>
    </row>
    <row r="829" spans="2:5" x14ac:dyDescent="0.25">
      <c r="B829" s="19"/>
      <c r="C829" s="19"/>
      <c r="D829" s="17"/>
      <c r="E829" s="19"/>
    </row>
    <row r="830" spans="2:5" x14ac:dyDescent="0.25">
      <c r="B830" s="19"/>
      <c r="C830" s="19"/>
      <c r="D830" s="17"/>
      <c r="E830" s="19"/>
    </row>
    <row r="831" spans="2:5" x14ac:dyDescent="0.25">
      <c r="B831" s="19"/>
      <c r="C831" s="19"/>
      <c r="D831" s="17"/>
      <c r="E831" s="19"/>
    </row>
    <row r="832" spans="2:5" x14ac:dyDescent="0.25">
      <c r="B832" s="19"/>
      <c r="C832" s="19"/>
      <c r="D832" s="17"/>
      <c r="E832" s="19"/>
    </row>
    <row r="833" spans="2:5" x14ac:dyDescent="0.25">
      <c r="B833" s="19"/>
      <c r="C833" s="19"/>
      <c r="D833" s="17"/>
      <c r="E833" s="19"/>
    </row>
    <row r="834" spans="2:5" x14ac:dyDescent="0.25">
      <c r="B834" s="19"/>
      <c r="C834" s="19"/>
      <c r="D834" s="17"/>
      <c r="E834" s="19"/>
    </row>
    <row r="835" spans="2:5" x14ac:dyDescent="0.25">
      <c r="B835" s="19"/>
      <c r="C835" s="19"/>
      <c r="D835" s="17"/>
      <c r="E835" s="19"/>
    </row>
    <row r="836" spans="2:5" x14ac:dyDescent="0.25">
      <c r="B836" s="19"/>
      <c r="C836" s="19"/>
      <c r="D836" s="17"/>
      <c r="E836" s="19"/>
    </row>
    <row r="837" spans="2:5" x14ac:dyDescent="0.25">
      <c r="B837" s="19"/>
      <c r="C837" s="19"/>
      <c r="D837" s="17"/>
      <c r="E837" s="19"/>
    </row>
    <row r="838" spans="2:5" x14ac:dyDescent="0.25">
      <c r="B838" s="19"/>
      <c r="C838" s="19"/>
      <c r="D838" s="17"/>
      <c r="E838" s="19"/>
    </row>
    <row r="839" spans="2:5" x14ac:dyDescent="0.25">
      <c r="B839" s="19"/>
      <c r="C839" s="19"/>
      <c r="D839" s="17"/>
      <c r="E839" s="19"/>
    </row>
    <row r="840" spans="2:5" x14ac:dyDescent="0.25">
      <c r="B840" s="19"/>
      <c r="C840" s="19"/>
      <c r="D840" s="17"/>
      <c r="E840" s="19"/>
    </row>
    <row r="841" spans="2:5" x14ac:dyDescent="0.25">
      <c r="B841" s="19"/>
      <c r="C841" s="19"/>
      <c r="D841" s="17"/>
      <c r="E841" s="19"/>
    </row>
    <row r="842" spans="2:5" x14ac:dyDescent="0.25">
      <c r="B842" s="19"/>
      <c r="C842" s="19"/>
      <c r="D842" s="17"/>
      <c r="E842" s="19"/>
    </row>
    <row r="843" spans="2:5" x14ac:dyDescent="0.25">
      <c r="B843" s="19"/>
      <c r="C843" s="19"/>
      <c r="D843" s="17"/>
      <c r="E843" s="19"/>
    </row>
    <row r="844" spans="2:5" x14ac:dyDescent="0.25">
      <c r="B844" s="19"/>
      <c r="C844" s="19"/>
      <c r="D844" s="17"/>
      <c r="E844" s="19"/>
    </row>
    <row r="845" spans="2:5" x14ac:dyDescent="0.25">
      <c r="B845" s="19"/>
      <c r="C845" s="19"/>
      <c r="D845" s="17"/>
      <c r="E845" s="19"/>
    </row>
    <row r="846" spans="2:5" x14ac:dyDescent="0.25">
      <c r="B846" s="19"/>
      <c r="C846" s="19"/>
      <c r="D846" s="17"/>
      <c r="E846" s="19"/>
    </row>
    <row r="847" spans="2:5" x14ac:dyDescent="0.25">
      <c r="B847" s="19"/>
      <c r="C847" s="19"/>
      <c r="D847" s="17"/>
      <c r="E847" s="19"/>
    </row>
    <row r="848" spans="2:5" x14ac:dyDescent="0.25">
      <c r="B848" s="19"/>
      <c r="C848" s="19"/>
      <c r="D848" s="17"/>
      <c r="E848" s="19"/>
    </row>
    <row r="849" spans="2:5" x14ac:dyDescent="0.25">
      <c r="B849" s="19"/>
      <c r="C849" s="19"/>
      <c r="D849" s="17"/>
      <c r="E849" s="19"/>
    </row>
    <row r="850" spans="2:5" x14ac:dyDescent="0.25">
      <c r="B850" s="19"/>
      <c r="C850" s="19"/>
      <c r="D850" s="17"/>
      <c r="E850" s="19"/>
    </row>
    <row r="851" spans="2:5" x14ac:dyDescent="0.25">
      <c r="B851" s="19"/>
      <c r="C851" s="19"/>
      <c r="D851" s="17"/>
      <c r="E851" s="19"/>
    </row>
    <row r="852" spans="2:5" x14ac:dyDescent="0.25">
      <c r="B852" s="19"/>
      <c r="C852" s="19"/>
      <c r="D852" s="17"/>
      <c r="E852" s="19"/>
    </row>
    <row r="853" spans="2:5" x14ac:dyDescent="0.25">
      <c r="B853" s="19"/>
      <c r="C853" s="19"/>
      <c r="D853" s="17"/>
      <c r="E853" s="19"/>
    </row>
    <row r="854" spans="2:5" x14ac:dyDescent="0.25">
      <c r="B854" s="19"/>
      <c r="C854" s="19"/>
      <c r="D854" s="17"/>
      <c r="E854" s="19"/>
    </row>
    <row r="855" spans="2:5" x14ac:dyDescent="0.25">
      <c r="B855" s="19"/>
      <c r="C855" s="19"/>
      <c r="D855" s="17"/>
      <c r="E855" s="19"/>
    </row>
    <row r="856" spans="2:5" x14ac:dyDescent="0.25">
      <c r="B856" s="19"/>
      <c r="C856" s="19"/>
      <c r="D856" s="17"/>
      <c r="E856" s="19"/>
    </row>
    <row r="857" spans="2:5" x14ac:dyDescent="0.25">
      <c r="B857" s="19"/>
      <c r="C857" s="19"/>
      <c r="D857" s="17"/>
      <c r="E857" s="19"/>
    </row>
    <row r="858" spans="2:5" x14ac:dyDescent="0.25">
      <c r="B858" s="19"/>
      <c r="C858" s="19"/>
      <c r="D858" s="17"/>
      <c r="E858" s="19"/>
    </row>
    <row r="859" spans="2:5" x14ac:dyDescent="0.25">
      <c r="B859" s="19"/>
      <c r="C859" s="19"/>
      <c r="D859" s="17"/>
      <c r="E859" s="19"/>
    </row>
    <row r="860" spans="2:5" x14ac:dyDescent="0.25">
      <c r="B860" s="19"/>
      <c r="C860" s="19"/>
      <c r="D860" s="17"/>
      <c r="E860" s="19"/>
    </row>
    <row r="861" spans="2:5" x14ac:dyDescent="0.25">
      <c r="B861" s="19"/>
      <c r="C861" s="19"/>
      <c r="D861" s="17"/>
      <c r="E861" s="19"/>
    </row>
    <row r="862" spans="2:5" x14ac:dyDescent="0.25">
      <c r="B862" s="19"/>
      <c r="C862" s="19"/>
      <c r="D862" s="17"/>
      <c r="E862" s="19"/>
    </row>
    <row r="863" spans="2:5" x14ac:dyDescent="0.25">
      <c r="B863" s="19"/>
      <c r="C863" s="19"/>
      <c r="D863" s="17"/>
      <c r="E863" s="19"/>
    </row>
    <row r="864" spans="2:5" x14ac:dyDescent="0.25">
      <c r="B864" s="19"/>
      <c r="C864" s="19"/>
      <c r="D864" s="17"/>
      <c r="E864" s="19"/>
    </row>
    <row r="865" spans="2:5" x14ac:dyDescent="0.25">
      <c r="B865" s="19"/>
      <c r="C865" s="19"/>
      <c r="D865" s="17"/>
      <c r="E865" s="19"/>
    </row>
    <row r="866" spans="2:5" x14ac:dyDescent="0.25">
      <c r="B866" s="19"/>
      <c r="C866" s="19"/>
      <c r="D866" s="17"/>
      <c r="E866" s="19"/>
    </row>
    <row r="867" spans="2:5" x14ac:dyDescent="0.25">
      <c r="B867" s="19"/>
      <c r="C867" s="19"/>
      <c r="D867" s="17"/>
      <c r="E867" s="19"/>
    </row>
    <row r="868" spans="2:5" x14ac:dyDescent="0.25">
      <c r="B868" s="19"/>
      <c r="C868" s="19"/>
      <c r="D868" s="17"/>
      <c r="E868" s="19"/>
    </row>
    <row r="869" spans="2:5" x14ac:dyDescent="0.25">
      <c r="B869" s="19"/>
      <c r="C869" s="19"/>
      <c r="D869" s="17"/>
      <c r="E869" s="19"/>
    </row>
    <row r="870" spans="2:5" x14ac:dyDescent="0.25">
      <c r="B870" s="19"/>
      <c r="C870" s="19"/>
      <c r="D870" s="17"/>
      <c r="E870" s="19"/>
    </row>
    <row r="871" spans="2:5" x14ac:dyDescent="0.25">
      <c r="B871" s="19"/>
      <c r="C871" s="19"/>
      <c r="D871" s="17"/>
      <c r="E871" s="19"/>
    </row>
    <row r="872" spans="2:5" x14ac:dyDescent="0.25">
      <c r="B872" s="19"/>
      <c r="C872" s="19"/>
      <c r="D872" s="17"/>
      <c r="E872" s="19"/>
    </row>
    <row r="873" spans="2:5" x14ac:dyDescent="0.25">
      <c r="B873" s="19"/>
      <c r="C873" s="19"/>
      <c r="D873" s="17"/>
      <c r="E873" s="19"/>
    </row>
    <row r="874" spans="2:5" x14ac:dyDescent="0.25">
      <c r="B874" s="19"/>
      <c r="C874" s="19"/>
      <c r="D874" s="17"/>
      <c r="E874" s="19"/>
    </row>
    <row r="875" spans="2:5" x14ac:dyDescent="0.25">
      <c r="B875" s="19"/>
      <c r="C875" s="19"/>
      <c r="D875" s="17"/>
      <c r="E875" s="19"/>
    </row>
    <row r="876" spans="2:5" x14ac:dyDescent="0.25">
      <c r="B876" s="19"/>
      <c r="C876" s="19"/>
      <c r="D876" s="17"/>
      <c r="E876" s="19"/>
    </row>
    <row r="877" spans="2:5" x14ac:dyDescent="0.25">
      <c r="B877" s="19"/>
      <c r="C877" s="19"/>
      <c r="D877" s="17"/>
      <c r="E877" s="19"/>
    </row>
    <row r="878" spans="2:5" x14ac:dyDescent="0.25">
      <c r="B878" s="19"/>
      <c r="C878" s="19"/>
      <c r="D878" s="17"/>
      <c r="E878" s="19"/>
    </row>
    <row r="879" spans="2:5" x14ac:dyDescent="0.25">
      <c r="B879" s="19"/>
      <c r="C879" s="19"/>
      <c r="D879" s="17"/>
      <c r="E879" s="19"/>
    </row>
    <row r="880" spans="2:5" x14ac:dyDescent="0.25">
      <c r="B880" s="19"/>
      <c r="C880" s="19"/>
      <c r="D880" s="17"/>
      <c r="E880" s="19"/>
    </row>
    <row r="881" spans="2:5" x14ac:dyDescent="0.25">
      <c r="B881" s="19"/>
      <c r="C881" s="19"/>
      <c r="D881" s="17"/>
      <c r="E881" s="19"/>
    </row>
    <row r="882" spans="2:5" x14ac:dyDescent="0.25">
      <c r="B882" s="19"/>
      <c r="C882" s="19"/>
      <c r="D882" s="17"/>
      <c r="E882" s="19"/>
    </row>
    <row r="883" spans="2:5" x14ac:dyDescent="0.25">
      <c r="B883" s="19"/>
      <c r="C883" s="19"/>
      <c r="D883" s="17"/>
      <c r="E883" s="19"/>
    </row>
    <row r="884" spans="2:5" x14ac:dyDescent="0.25">
      <c r="B884" s="19"/>
      <c r="C884" s="19"/>
      <c r="D884" s="17"/>
      <c r="E884" s="19"/>
    </row>
    <row r="885" spans="2:5" x14ac:dyDescent="0.25">
      <c r="B885" s="19"/>
      <c r="C885" s="19"/>
      <c r="D885" s="17"/>
      <c r="E885" s="19"/>
    </row>
    <row r="886" spans="2:5" x14ac:dyDescent="0.25">
      <c r="B886" s="19"/>
      <c r="C886" s="19"/>
      <c r="D886" s="17"/>
      <c r="E886" s="19"/>
    </row>
    <row r="887" spans="2:5" x14ac:dyDescent="0.25">
      <c r="B887" s="19"/>
      <c r="C887" s="19"/>
      <c r="D887" s="17"/>
      <c r="E887" s="19"/>
    </row>
    <row r="888" spans="2:5" x14ac:dyDescent="0.25">
      <c r="B888" s="19"/>
      <c r="C888" s="19"/>
      <c r="D888" s="17"/>
      <c r="E888" s="19"/>
    </row>
    <row r="889" spans="2:5" x14ac:dyDescent="0.25">
      <c r="B889" s="19"/>
      <c r="C889" s="19"/>
      <c r="D889" s="17"/>
      <c r="E889" s="19"/>
    </row>
    <row r="890" spans="2:5" x14ac:dyDescent="0.25">
      <c r="B890" s="19"/>
      <c r="C890" s="19"/>
      <c r="D890" s="17"/>
      <c r="E890" s="19"/>
    </row>
    <row r="891" spans="2:5" x14ac:dyDescent="0.25">
      <c r="B891" s="19"/>
      <c r="C891" s="19"/>
      <c r="D891" s="17"/>
      <c r="E891" s="19"/>
    </row>
    <row r="892" spans="2:5" x14ac:dyDescent="0.25">
      <c r="B892" s="19"/>
      <c r="C892" s="19"/>
      <c r="D892" s="17"/>
      <c r="E892" s="19"/>
    </row>
    <row r="893" spans="2:5" x14ac:dyDescent="0.25">
      <c r="B893" s="19"/>
      <c r="C893" s="19"/>
      <c r="D893" s="17"/>
      <c r="E893" s="19"/>
    </row>
    <row r="894" spans="2:5" x14ac:dyDescent="0.25">
      <c r="B894" s="19"/>
      <c r="C894" s="19"/>
      <c r="D894" s="17"/>
      <c r="E894" s="19"/>
    </row>
    <row r="895" spans="2:5" x14ac:dyDescent="0.25">
      <c r="B895" s="19"/>
      <c r="C895" s="19"/>
      <c r="D895" s="17"/>
      <c r="E895" s="19"/>
    </row>
    <row r="896" spans="2:5" x14ac:dyDescent="0.25">
      <c r="B896" s="19"/>
      <c r="C896" s="19"/>
      <c r="D896" s="17"/>
      <c r="E896" s="19"/>
    </row>
    <row r="897" spans="2:5" x14ac:dyDescent="0.25">
      <c r="B897" s="19"/>
      <c r="C897" s="19"/>
      <c r="D897" s="17"/>
      <c r="E897" s="19"/>
    </row>
    <row r="898" spans="2:5" x14ac:dyDescent="0.25">
      <c r="B898" s="19"/>
      <c r="C898" s="19"/>
      <c r="D898" s="17"/>
      <c r="E898" s="19"/>
    </row>
    <row r="899" spans="2:5" x14ac:dyDescent="0.25">
      <c r="B899" s="19"/>
      <c r="C899" s="19"/>
      <c r="D899" s="17"/>
      <c r="E899" s="19"/>
    </row>
    <row r="900" spans="2:5" x14ac:dyDescent="0.25">
      <c r="B900" s="19"/>
      <c r="C900" s="19"/>
      <c r="D900" s="17"/>
      <c r="E900" s="19"/>
    </row>
    <row r="901" spans="2:5" x14ac:dyDescent="0.25">
      <c r="B901" s="19"/>
      <c r="C901" s="19"/>
      <c r="D901" s="17"/>
      <c r="E901" s="19"/>
    </row>
    <row r="902" spans="2:5" x14ac:dyDescent="0.25">
      <c r="B902" s="19"/>
      <c r="C902" s="19"/>
      <c r="D902" s="17"/>
      <c r="E902" s="19"/>
    </row>
    <row r="903" spans="2:5" x14ac:dyDescent="0.25">
      <c r="B903" s="19"/>
      <c r="C903" s="19"/>
      <c r="D903" s="17"/>
      <c r="E903" s="19"/>
    </row>
    <row r="904" spans="2:5" x14ac:dyDescent="0.25">
      <c r="B904" s="19"/>
      <c r="C904" s="19"/>
      <c r="D904" s="17"/>
      <c r="E904" s="19"/>
    </row>
    <row r="905" spans="2:5" x14ac:dyDescent="0.25">
      <c r="B905" s="19"/>
      <c r="C905" s="19"/>
      <c r="D905" s="17"/>
      <c r="E905" s="19"/>
    </row>
    <row r="906" spans="2:5" x14ac:dyDescent="0.25">
      <c r="B906" s="19"/>
      <c r="C906" s="19"/>
      <c r="D906" s="17"/>
      <c r="E906" s="19"/>
    </row>
    <row r="907" spans="2:5" x14ac:dyDescent="0.25">
      <c r="B907" s="19"/>
      <c r="C907" s="19"/>
      <c r="D907" s="17"/>
      <c r="E907" s="19"/>
    </row>
    <row r="908" spans="2:5" x14ac:dyDescent="0.25">
      <c r="B908" s="19"/>
      <c r="C908" s="19"/>
      <c r="D908" s="17"/>
      <c r="E908" s="19"/>
    </row>
    <row r="909" spans="2:5" x14ac:dyDescent="0.25">
      <c r="B909" s="19"/>
      <c r="C909" s="19"/>
      <c r="D909" s="17"/>
      <c r="E909" s="19"/>
    </row>
    <row r="910" spans="2:5" x14ac:dyDescent="0.25">
      <c r="B910" s="19"/>
      <c r="C910" s="19"/>
      <c r="D910" s="17"/>
      <c r="E910" s="19"/>
    </row>
    <row r="911" spans="2:5" x14ac:dyDescent="0.25">
      <c r="B911" s="19"/>
      <c r="C911" s="19"/>
      <c r="D911" s="17"/>
      <c r="E911" s="19"/>
    </row>
    <row r="912" spans="2:5" x14ac:dyDescent="0.25">
      <c r="B912" s="19"/>
      <c r="C912" s="19"/>
      <c r="D912" s="17"/>
      <c r="E912" s="19"/>
    </row>
    <row r="913" spans="2:5" x14ac:dyDescent="0.25">
      <c r="B913" s="19"/>
      <c r="C913" s="19"/>
      <c r="D913" s="17"/>
      <c r="E913" s="19"/>
    </row>
    <row r="914" spans="2:5" x14ac:dyDescent="0.25">
      <c r="B914" s="19"/>
      <c r="C914" s="19"/>
      <c r="D914" s="17"/>
      <c r="E914" s="19"/>
    </row>
    <row r="915" spans="2:5" x14ac:dyDescent="0.25">
      <c r="B915" s="19"/>
      <c r="C915" s="19"/>
      <c r="D915" s="17"/>
      <c r="E915" s="19"/>
    </row>
    <row r="916" spans="2:5" x14ac:dyDescent="0.25">
      <c r="B916" s="19"/>
      <c r="C916" s="19"/>
      <c r="D916" s="17"/>
      <c r="E916" s="19"/>
    </row>
    <row r="917" spans="2:5" x14ac:dyDescent="0.25">
      <c r="B917" s="19"/>
      <c r="C917" s="19"/>
      <c r="D917" s="17"/>
      <c r="E917" s="19"/>
    </row>
    <row r="918" spans="2:5" x14ac:dyDescent="0.25">
      <c r="B918" s="19"/>
      <c r="C918" s="19"/>
      <c r="D918" s="17"/>
      <c r="E918" s="19"/>
    </row>
    <row r="919" spans="2:5" x14ac:dyDescent="0.25">
      <c r="B919" s="19"/>
      <c r="C919" s="19"/>
      <c r="D919" s="17"/>
      <c r="E919" s="19"/>
    </row>
    <row r="920" spans="2:5" x14ac:dyDescent="0.25">
      <c r="B920" s="19"/>
      <c r="C920" s="19"/>
      <c r="D920" s="17"/>
      <c r="E920" s="19"/>
    </row>
    <row r="921" spans="2:5" x14ac:dyDescent="0.25">
      <c r="B921" s="19"/>
      <c r="C921" s="19"/>
      <c r="D921" s="17"/>
      <c r="E921" s="19"/>
    </row>
    <row r="922" spans="2:5" x14ac:dyDescent="0.25">
      <c r="B922" s="19"/>
      <c r="C922" s="19"/>
      <c r="D922" s="17"/>
      <c r="E922" s="19"/>
    </row>
    <row r="923" spans="2:5" x14ac:dyDescent="0.25">
      <c r="B923" s="19"/>
      <c r="C923" s="19"/>
      <c r="D923" s="17"/>
      <c r="E923" s="19"/>
    </row>
    <row r="924" spans="2:5" x14ac:dyDescent="0.25">
      <c r="B924" s="19"/>
      <c r="C924" s="19"/>
      <c r="D924" s="17"/>
      <c r="E924" s="19"/>
    </row>
    <row r="925" spans="2:5" x14ac:dyDescent="0.25">
      <c r="B925" s="19"/>
      <c r="C925" s="19"/>
      <c r="D925" s="17"/>
      <c r="E925" s="19"/>
    </row>
    <row r="926" spans="2:5" x14ac:dyDescent="0.25">
      <c r="B926" s="19"/>
      <c r="C926" s="19"/>
      <c r="D926" s="17"/>
      <c r="E926" s="19"/>
    </row>
    <row r="927" spans="2:5" x14ac:dyDescent="0.25">
      <c r="B927" s="19"/>
      <c r="C927" s="19"/>
      <c r="D927" s="17"/>
      <c r="E927" s="19"/>
    </row>
    <row r="928" spans="2:5" x14ac:dyDescent="0.25">
      <c r="B928" s="19"/>
      <c r="C928" s="19"/>
      <c r="D928" s="17"/>
      <c r="E928" s="19"/>
    </row>
    <row r="929" spans="2:5" x14ac:dyDescent="0.25">
      <c r="B929" s="19"/>
      <c r="C929" s="19"/>
      <c r="D929" s="17"/>
      <c r="E929" s="19"/>
    </row>
    <row r="930" spans="2:5" x14ac:dyDescent="0.25">
      <c r="B930" s="19"/>
      <c r="C930" s="19"/>
      <c r="D930" s="17"/>
      <c r="E930" s="19"/>
    </row>
    <row r="931" spans="2:5" x14ac:dyDescent="0.25">
      <c r="B931" s="19"/>
      <c r="C931" s="19"/>
      <c r="D931" s="17"/>
      <c r="E931" s="19"/>
    </row>
    <row r="932" spans="2:5" x14ac:dyDescent="0.25">
      <c r="B932" s="19"/>
      <c r="C932" s="19"/>
      <c r="D932" s="17"/>
      <c r="E932" s="19"/>
    </row>
    <row r="933" spans="2:5" x14ac:dyDescent="0.25">
      <c r="B933" s="19"/>
      <c r="C933" s="19"/>
      <c r="D933" s="17"/>
      <c r="E933" s="19"/>
    </row>
    <row r="934" spans="2:5" x14ac:dyDescent="0.25">
      <c r="B934" s="19"/>
      <c r="C934" s="19"/>
      <c r="D934" s="17"/>
      <c r="E934" s="19"/>
    </row>
    <row r="935" spans="2:5" x14ac:dyDescent="0.25">
      <c r="B935" s="19"/>
      <c r="C935" s="19"/>
      <c r="D935" s="17"/>
      <c r="E935" s="19"/>
    </row>
    <row r="936" spans="2:5" x14ac:dyDescent="0.25">
      <c r="B936" s="19"/>
      <c r="C936" s="19"/>
      <c r="D936" s="17"/>
      <c r="E936" s="19"/>
    </row>
    <row r="937" spans="2:5" x14ac:dyDescent="0.25">
      <c r="B937" s="19"/>
      <c r="C937" s="19"/>
      <c r="D937" s="17"/>
      <c r="E937" s="19"/>
    </row>
    <row r="938" spans="2:5" x14ac:dyDescent="0.25">
      <c r="B938" s="19"/>
      <c r="C938" s="19"/>
      <c r="D938" s="17"/>
      <c r="E938" s="19"/>
    </row>
    <row r="939" spans="2:5" x14ac:dyDescent="0.25">
      <c r="B939" s="19"/>
      <c r="C939" s="19"/>
      <c r="D939" s="17"/>
      <c r="E939" s="19"/>
    </row>
    <row r="940" spans="2:5" x14ac:dyDescent="0.25">
      <c r="B940" s="19"/>
      <c r="C940" s="19"/>
      <c r="D940" s="17"/>
      <c r="E940" s="19"/>
    </row>
    <row r="941" spans="2:5" x14ac:dyDescent="0.25">
      <c r="B941" s="19"/>
      <c r="C941" s="19"/>
      <c r="D941" s="17"/>
      <c r="E941" s="19"/>
    </row>
    <row r="942" spans="2:5" x14ac:dyDescent="0.25">
      <c r="B942" s="19"/>
      <c r="C942" s="19"/>
      <c r="D942" s="17"/>
      <c r="E942" s="19"/>
    </row>
    <row r="943" spans="2:5" x14ac:dyDescent="0.25">
      <c r="B943" s="19"/>
      <c r="C943" s="19"/>
      <c r="D943" s="17"/>
      <c r="E943" s="19"/>
    </row>
    <row r="944" spans="2:5" x14ac:dyDescent="0.25">
      <c r="B944" s="19"/>
      <c r="C944" s="19"/>
      <c r="D944" s="17"/>
      <c r="E944" s="19"/>
    </row>
    <row r="945" spans="2:5" x14ac:dyDescent="0.25">
      <c r="B945" s="19"/>
      <c r="C945" s="19"/>
      <c r="D945" s="17"/>
      <c r="E945" s="19"/>
    </row>
    <row r="946" spans="2:5" x14ac:dyDescent="0.25">
      <c r="B946" s="19"/>
      <c r="C946" s="19"/>
      <c r="D946" s="17"/>
      <c r="E946" s="19"/>
    </row>
    <row r="947" spans="2:5" x14ac:dyDescent="0.25">
      <c r="B947" s="19"/>
      <c r="C947" s="19"/>
      <c r="D947" s="17"/>
      <c r="E947" s="19"/>
    </row>
    <row r="948" spans="2:5" x14ac:dyDescent="0.25">
      <c r="B948" s="19"/>
      <c r="C948" s="19"/>
      <c r="D948" s="17"/>
      <c r="E948" s="19"/>
    </row>
    <row r="949" spans="2:5" x14ac:dyDescent="0.25">
      <c r="B949" s="19"/>
      <c r="C949" s="19"/>
      <c r="D949" s="17"/>
      <c r="E949" s="19"/>
    </row>
    <row r="950" spans="2:5" x14ac:dyDescent="0.25">
      <c r="B950" s="19"/>
      <c r="C950" s="19"/>
      <c r="D950" s="17"/>
      <c r="E950" s="19"/>
    </row>
    <row r="951" spans="2:5" x14ac:dyDescent="0.25">
      <c r="B951" s="19"/>
      <c r="C951" s="19"/>
      <c r="D951" s="17"/>
      <c r="E951" s="19"/>
    </row>
    <row r="952" spans="2:5" x14ac:dyDescent="0.25">
      <c r="B952" s="19"/>
      <c r="C952" s="19"/>
      <c r="D952" s="17"/>
      <c r="E952" s="19"/>
    </row>
    <row r="953" spans="2:5" x14ac:dyDescent="0.25">
      <c r="B953" s="19"/>
      <c r="C953" s="19"/>
      <c r="D953" s="17"/>
      <c r="E953" s="19"/>
    </row>
    <row r="954" spans="2:5" x14ac:dyDescent="0.25">
      <c r="B954" s="19"/>
      <c r="C954" s="19"/>
      <c r="D954" s="17"/>
      <c r="E954" s="19"/>
    </row>
    <row r="955" spans="2:5" x14ac:dyDescent="0.25">
      <c r="B955" s="19"/>
      <c r="C955" s="19"/>
      <c r="D955" s="17"/>
      <c r="E955" s="19"/>
    </row>
    <row r="956" spans="2:5" x14ac:dyDescent="0.25">
      <c r="B956" s="19"/>
      <c r="C956" s="19"/>
      <c r="D956" s="17"/>
      <c r="E956" s="19"/>
    </row>
    <row r="957" spans="2:5" x14ac:dyDescent="0.25">
      <c r="B957" s="19"/>
      <c r="C957" s="19"/>
      <c r="D957" s="17"/>
      <c r="E957" s="19"/>
    </row>
    <row r="958" spans="2:5" x14ac:dyDescent="0.25">
      <c r="B958" s="19"/>
      <c r="C958" s="19"/>
      <c r="D958" s="17"/>
      <c r="E958" s="19"/>
    </row>
    <row r="959" spans="2:5" x14ac:dyDescent="0.25">
      <c r="B959" s="19"/>
      <c r="C959" s="19"/>
      <c r="D959" s="17"/>
      <c r="E959" s="19"/>
    </row>
    <row r="960" spans="2:5" x14ac:dyDescent="0.25">
      <c r="B960" s="19"/>
      <c r="C960" s="19"/>
      <c r="D960" s="17"/>
      <c r="E960" s="19"/>
    </row>
    <row r="961" spans="2:5" x14ac:dyDescent="0.25">
      <c r="B961" s="19"/>
      <c r="C961" s="19"/>
      <c r="D961" s="17"/>
      <c r="E961" s="19"/>
    </row>
    <row r="962" spans="2:5" x14ac:dyDescent="0.25">
      <c r="B962" s="19"/>
      <c r="C962" s="19"/>
      <c r="D962" s="17"/>
      <c r="E962" s="19"/>
    </row>
    <row r="963" spans="2:5" x14ac:dyDescent="0.25">
      <c r="B963" s="19"/>
      <c r="C963" s="19"/>
      <c r="D963" s="17"/>
      <c r="E963" s="19"/>
    </row>
    <row r="964" spans="2:5" x14ac:dyDescent="0.25">
      <c r="B964" s="19"/>
      <c r="C964" s="19"/>
      <c r="D964" s="17"/>
      <c r="E964" s="19"/>
    </row>
    <row r="965" spans="2:5" x14ac:dyDescent="0.25">
      <c r="B965" s="19"/>
      <c r="C965" s="19"/>
      <c r="D965" s="17"/>
      <c r="E965" s="19"/>
    </row>
    <row r="966" spans="2:5" x14ac:dyDescent="0.25">
      <c r="B966" s="19"/>
      <c r="C966" s="19"/>
      <c r="D966" s="17"/>
      <c r="E966" s="19"/>
    </row>
    <row r="967" spans="2:5" x14ac:dyDescent="0.25">
      <c r="B967" s="19"/>
      <c r="C967" s="19"/>
      <c r="D967" s="17"/>
      <c r="E967" s="19"/>
    </row>
    <row r="968" spans="2:5" x14ac:dyDescent="0.25">
      <c r="B968" s="19"/>
      <c r="C968" s="19"/>
      <c r="D968" s="17"/>
      <c r="E968" s="19"/>
    </row>
    <row r="969" spans="2:5" x14ac:dyDescent="0.25">
      <c r="B969" s="19"/>
      <c r="C969" s="19"/>
      <c r="D969" s="17"/>
      <c r="E969" s="19"/>
    </row>
    <row r="970" spans="2:5" x14ac:dyDescent="0.25">
      <c r="B970" s="19"/>
      <c r="C970" s="19"/>
      <c r="D970" s="17"/>
      <c r="E970" s="19"/>
    </row>
    <row r="971" spans="2:5" x14ac:dyDescent="0.25">
      <c r="B971" s="19"/>
      <c r="C971" s="19"/>
      <c r="D971" s="17"/>
      <c r="E971" s="19"/>
    </row>
    <row r="972" spans="2:5" x14ac:dyDescent="0.25">
      <c r="B972" s="19"/>
      <c r="C972" s="19"/>
      <c r="D972" s="17"/>
      <c r="E972" s="19"/>
    </row>
    <row r="973" spans="2:5" x14ac:dyDescent="0.25">
      <c r="B973" s="19"/>
      <c r="C973" s="19"/>
      <c r="D973" s="17"/>
      <c r="E973" s="19"/>
    </row>
    <row r="974" spans="2:5" x14ac:dyDescent="0.25">
      <c r="B974" s="19"/>
      <c r="C974" s="19"/>
      <c r="D974" s="17"/>
      <c r="E974" s="19"/>
    </row>
    <row r="975" spans="2:5" x14ac:dyDescent="0.25">
      <c r="B975" s="19"/>
      <c r="C975" s="19"/>
      <c r="D975" s="17"/>
      <c r="E975" s="19"/>
    </row>
    <row r="976" spans="2:5" x14ac:dyDescent="0.25">
      <c r="B976" s="19"/>
      <c r="C976" s="19"/>
      <c r="D976" s="17"/>
      <c r="E976" s="19"/>
    </row>
    <row r="977" spans="2:5" x14ac:dyDescent="0.25">
      <c r="B977" s="19"/>
      <c r="C977" s="19"/>
      <c r="D977" s="17"/>
      <c r="E977" s="19"/>
    </row>
    <row r="978" spans="2:5" x14ac:dyDescent="0.25">
      <c r="B978" s="19"/>
      <c r="C978" s="19"/>
      <c r="D978" s="17"/>
      <c r="E978" s="19"/>
    </row>
    <row r="979" spans="2:5" x14ac:dyDescent="0.25">
      <c r="B979" s="19"/>
      <c r="C979" s="19"/>
      <c r="D979" s="17"/>
      <c r="E979" s="19"/>
    </row>
    <row r="980" spans="2:5" x14ac:dyDescent="0.25">
      <c r="B980" s="19"/>
      <c r="C980" s="19"/>
      <c r="D980" s="17"/>
      <c r="E980" s="19"/>
    </row>
    <row r="981" spans="2:5" x14ac:dyDescent="0.25">
      <c r="B981" s="19"/>
      <c r="C981" s="19"/>
      <c r="D981" s="17"/>
      <c r="E981" s="19"/>
    </row>
    <row r="982" spans="2:5" x14ac:dyDescent="0.25">
      <c r="B982" s="19"/>
      <c r="C982" s="19"/>
      <c r="D982" s="17"/>
      <c r="E982" s="19"/>
    </row>
    <row r="983" spans="2:5" x14ac:dyDescent="0.25">
      <c r="B983" s="19"/>
      <c r="C983" s="19"/>
      <c r="D983" s="17"/>
      <c r="E983" s="19"/>
    </row>
    <row r="984" spans="2:5" x14ac:dyDescent="0.25">
      <c r="B984" s="19"/>
      <c r="C984" s="19"/>
      <c r="D984" s="17"/>
      <c r="E984" s="19"/>
    </row>
    <row r="985" spans="2:5" x14ac:dyDescent="0.25">
      <c r="B985" s="19"/>
      <c r="C985" s="19"/>
      <c r="D985" s="17"/>
      <c r="E985" s="19"/>
    </row>
    <row r="986" spans="2:5" x14ac:dyDescent="0.25">
      <c r="B986" s="19"/>
      <c r="C986" s="19"/>
      <c r="D986" s="17"/>
      <c r="E986" s="19"/>
    </row>
    <row r="987" spans="2:5" x14ac:dyDescent="0.25">
      <c r="B987" s="19"/>
      <c r="C987" s="19"/>
      <c r="D987" s="17"/>
      <c r="E987" s="19"/>
    </row>
    <row r="988" spans="2:5" x14ac:dyDescent="0.25">
      <c r="B988" s="19"/>
      <c r="C988" s="19"/>
      <c r="D988" s="17"/>
      <c r="E988" s="19"/>
    </row>
    <row r="989" spans="2:5" x14ac:dyDescent="0.25">
      <c r="B989" s="19"/>
      <c r="C989" s="19"/>
      <c r="D989" s="17"/>
      <c r="E989" s="19"/>
    </row>
    <row r="990" spans="2:5" x14ac:dyDescent="0.25">
      <c r="B990" s="19"/>
      <c r="C990" s="19"/>
      <c r="D990" s="17"/>
      <c r="E990" s="19"/>
    </row>
    <row r="991" spans="2:5" x14ac:dyDescent="0.25">
      <c r="B991" s="19"/>
      <c r="C991" s="19"/>
      <c r="D991" s="17"/>
      <c r="E991" s="19"/>
    </row>
    <row r="992" spans="2:5" x14ac:dyDescent="0.25">
      <c r="B992" s="19"/>
      <c r="C992" s="19"/>
      <c r="D992" s="17"/>
      <c r="E992" s="19"/>
    </row>
    <row r="993" spans="2:5" x14ac:dyDescent="0.25">
      <c r="B993" s="19"/>
      <c r="C993" s="19"/>
      <c r="D993" s="17"/>
      <c r="E993" s="19"/>
    </row>
    <row r="994" spans="2:5" x14ac:dyDescent="0.25">
      <c r="B994" s="19"/>
      <c r="C994" s="19"/>
      <c r="D994" s="17"/>
      <c r="E994" s="19"/>
    </row>
    <row r="995" spans="2:5" x14ac:dyDescent="0.25">
      <c r="B995" s="19"/>
      <c r="C995" s="19"/>
      <c r="D995" s="17"/>
      <c r="E995" s="19"/>
    </row>
    <row r="996" spans="2:5" x14ac:dyDescent="0.25">
      <c r="B996" s="19"/>
      <c r="C996" s="19"/>
      <c r="D996" s="17"/>
      <c r="E996" s="19"/>
    </row>
    <row r="997" spans="2:5" x14ac:dyDescent="0.25">
      <c r="B997" s="19"/>
      <c r="C997" s="19"/>
      <c r="D997" s="17"/>
      <c r="E997" s="19"/>
    </row>
    <row r="998" spans="2:5" x14ac:dyDescent="0.25">
      <c r="B998" s="19"/>
      <c r="C998" s="19"/>
      <c r="D998" s="17"/>
      <c r="E998" s="19"/>
    </row>
    <row r="999" spans="2:5" x14ac:dyDescent="0.25">
      <c r="B999" s="19"/>
      <c r="C999" s="19"/>
      <c r="D999" s="17"/>
      <c r="E999" s="19"/>
    </row>
    <row r="1000" spans="2:5" x14ac:dyDescent="0.25">
      <c r="B1000" s="19"/>
      <c r="C1000" s="19"/>
      <c r="D1000" s="17"/>
      <c r="E1000" s="19"/>
    </row>
    <row r="1001" spans="2:5" x14ac:dyDescent="0.25">
      <c r="B1001" s="19"/>
      <c r="C1001" s="19"/>
      <c r="D1001" s="17"/>
      <c r="E1001" s="19"/>
    </row>
    <row r="1002" spans="2:5" x14ac:dyDescent="0.25">
      <c r="B1002" s="19"/>
      <c r="C1002" s="19"/>
      <c r="D1002" s="17"/>
      <c r="E1002" s="19"/>
    </row>
    <row r="1003" spans="2:5" x14ac:dyDescent="0.25">
      <c r="B1003" s="19"/>
      <c r="C1003" s="19"/>
      <c r="D1003" s="17"/>
      <c r="E1003" s="19"/>
    </row>
    <row r="1004" spans="2:5" x14ac:dyDescent="0.25">
      <c r="B1004" s="19"/>
      <c r="C1004" s="19"/>
      <c r="D1004" s="17"/>
      <c r="E1004" s="19"/>
    </row>
    <row r="1005" spans="2:5" x14ac:dyDescent="0.25">
      <c r="B1005" s="19"/>
      <c r="C1005" s="19"/>
      <c r="D1005" s="17"/>
      <c r="E1005" s="19"/>
    </row>
    <row r="1006" spans="2:5" x14ac:dyDescent="0.25">
      <c r="B1006" s="19"/>
      <c r="C1006" s="19"/>
      <c r="D1006" s="17"/>
      <c r="E1006" s="19"/>
    </row>
    <row r="1007" spans="2:5" x14ac:dyDescent="0.25">
      <c r="B1007" s="19"/>
      <c r="C1007" s="19"/>
      <c r="D1007" s="17"/>
      <c r="E1007" s="19"/>
    </row>
    <row r="1008" spans="2:5" x14ac:dyDescent="0.25">
      <c r="B1008" s="19"/>
      <c r="C1008" s="19"/>
      <c r="D1008" s="17"/>
      <c r="E1008" s="19"/>
    </row>
    <row r="1009" spans="2:5" x14ac:dyDescent="0.25">
      <c r="B1009" s="19"/>
      <c r="C1009" s="19"/>
      <c r="D1009" s="17"/>
      <c r="E1009" s="19"/>
    </row>
    <row r="1010" spans="2:5" x14ac:dyDescent="0.25">
      <c r="B1010" s="19"/>
      <c r="C1010" s="19"/>
      <c r="D1010" s="17"/>
      <c r="E1010" s="19"/>
    </row>
    <row r="1011" spans="2:5" x14ac:dyDescent="0.25">
      <c r="B1011" s="19"/>
      <c r="C1011" s="19"/>
      <c r="D1011" s="17"/>
      <c r="E1011" s="19"/>
    </row>
    <row r="1012" spans="2:5" x14ac:dyDescent="0.25">
      <c r="B1012" s="19"/>
      <c r="C1012" s="19"/>
      <c r="D1012" s="17"/>
      <c r="E1012" s="19"/>
    </row>
    <row r="1013" spans="2:5" x14ac:dyDescent="0.25">
      <c r="B1013" s="19"/>
      <c r="C1013" s="19"/>
      <c r="D1013" s="17"/>
      <c r="E1013" s="19"/>
    </row>
    <row r="1014" spans="2:5" x14ac:dyDescent="0.25">
      <c r="B1014" s="19"/>
      <c r="C1014" s="19"/>
      <c r="D1014" s="17"/>
      <c r="E1014" s="19"/>
    </row>
    <row r="1015" spans="2:5" x14ac:dyDescent="0.25">
      <c r="B1015" s="19"/>
      <c r="C1015" s="19"/>
      <c r="D1015" s="17"/>
      <c r="E1015" s="19"/>
    </row>
    <row r="1016" spans="2:5" x14ac:dyDescent="0.25">
      <c r="B1016" s="19"/>
      <c r="C1016" s="19"/>
      <c r="D1016" s="17"/>
      <c r="E1016" s="19"/>
    </row>
    <row r="1017" spans="2:5" x14ac:dyDescent="0.25">
      <c r="B1017" s="19"/>
      <c r="C1017" s="19"/>
      <c r="D1017" s="17"/>
      <c r="E1017" s="19"/>
    </row>
    <row r="1018" spans="2:5" x14ac:dyDescent="0.25">
      <c r="B1018" s="19"/>
      <c r="C1018" s="19"/>
      <c r="D1018" s="17"/>
      <c r="E1018" s="19"/>
    </row>
    <row r="1019" spans="2:5" x14ac:dyDescent="0.25">
      <c r="B1019" s="19"/>
      <c r="C1019" s="19"/>
      <c r="D1019" s="17"/>
      <c r="E1019" s="19"/>
    </row>
    <row r="1020" spans="2:5" x14ac:dyDescent="0.25">
      <c r="B1020" s="19"/>
      <c r="C1020" s="19"/>
      <c r="D1020" s="17"/>
      <c r="E1020" s="19"/>
    </row>
    <row r="1021" spans="2:5" x14ac:dyDescent="0.25">
      <c r="B1021" s="19"/>
      <c r="C1021" s="19"/>
      <c r="D1021" s="17"/>
      <c r="E1021" s="19"/>
    </row>
    <row r="1022" spans="2:5" x14ac:dyDescent="0.25">
      <c r="B1022" s="19"/>
      <c r="C1022" s="19"/>
      <c r="D1022" s="17"/>
      <c r="E1022" s="19"/>
    </row>
    <row r="1023" spans="2:5" x14ac:dyDescent="0.25">
      <c r="B1023" s="19"/>
      <c r="C1023" s="19"/>
      <c r="D1023" s="17"/>
      <c r="E1023" s="19"/>
    </row>
    <row r="1024" spans="2:5" x14ac:dyDescent="0.25">
      <c r="B1024" s="19"/>
      <c r="C1024" s="19"/>
      <c r="D1024" s="17"/>
      <c r="E1024" s="19"/>
    </row>
    <row r="1025" spans="2:5" x14ac:dyDescent="0.25">
      <c r="B1025" s="19"/>
      <c r="C1025" s="19"/>
      <c r="D1025" s="17"/>
      <c r="E1025" s="19"/>
    </row>
    <row r="1026" spans="2:5" x14ac:dyDescent="0.25">
      <c r="B1026" s="19"/>
      <c r="C1026" s="19"/>
      <c r="D1026" s="17"/>
      <c r="E1026" s="19"/>
    </row>
    <row r="1027" spans="2:5" x14ac:dyDescent="0.25">
      <c r="B1027" s="19"/>
      <c r="C1027" s="19"/>
      <c r="D1027" s="17"/>
      <c r="E1027" s="19"/>
    </row>
    <row r="1028" spans="2:5" x14ac:dyDescent="0.25">
      <c r="B1028" s="19"/>
      <c r="C1028" s="19"/>
      <c r="D1028" s="17"/>
      <c r="E1028" s="19"/>
    </row>
    <row r="1029" spans="2:5" x14ac:dyDescent="0.25">
      <c r="B1029" s="19"/>
      <c r="C1029" s="19"/>
      <c r="D1029" s="17"/>
      <c r="E1029" s="19"/>
    </row>
    <row r="1030" spans="2:5" x14ac:dyDescent="0.25">
      <c r="B1030" s="19"/>
      <c r="C1030" s="19"/>
      <c r="D1030" s="17"/>
      <c r="E1030" s="19"/>
    </row>
    <row r="1031" spans="2:5" x14ac:dyDescent="0.25">
      <c r="B1031" s="19"/>
      <c r="C1031" s="19"/>
      <c r="D1031" s="17"/>
      <c r="E1031" s="19"/>
    </row>
    <row r="1032" spans="2:5" x14ac:dyDescent="0.25">
      <c r="B1032" s="19"/>
      <c r="C1032" s="19"/>
      <c r="D1032" s="17"/>
      <c r="E1032" s="19"/>
    </row>
    <row r="1033" spans="2:5" x14ac:dyDescent="0.25">
      <c r="B1033" s="19"/>
      <c r="C1033" s="19"/>
      <c r="D1033" s="17"/>
      <c r="E1033" s="19"/>
    </row>
    <row r="1034" spans="2:5" x14ac:dyDescent="0.25">
      <c r="B1034" s="19"/>
      <c r="C1034" s="19"/>
      <c r="D1034" s="17"/>
      <c r="E1034" s="19"/>
    </row>
    <row r="1035" spans="2:5" x14ac:dyDescent="0.25">
      <c r="B1035" s="19"/>
      <c r="C1035" s="19"/>
      <c r="D1035" s="17"/>
      <c r="E1035" s="19"/>
    </row>
    <row r="1036" spans="2:5" x14ac:dyDescent="0.25">
      <c r="B1036" s="19"/>
      <c r="C1036" s="19"/>
      <c r="D1036" s="17"/>
      <c r="E1036" s="19"/>
    </row>
    <row r="1037" spans="2:5" x14ac:dyDescent="0.25">
      <c r="B1037" s="19"/>
      <c r="C1037" s="19"/>
      <c r="D1037" s="17"/>
      <c r="E1037" s="19"/>
    </row>
    <row r="1038" spans="2:5" x14ac:dyDescent="0.25">
      <c r="B1038" s="19"/>
      <c r="C1038" s="19"/>
      <c r="D1038" s="17"/>
      <c r="E1038" s="19"/>
    </row>
    <row r="1039" spans="2:5" x14ac:dyDescent="0.25">
      <c r="B1039" s="19"/>
      <c r="C1039" s="19"/>
      <c r="D1039" s="17"/>
      <c r="E1039" s="19"/>
    </row>
    <row r="1040" spans="2:5" x14ac:dyDescent="0.25">
      <c r="B1040" s="19"/>
      <c r="C1040" s="19"/>
      <c r="D1040" s="17"/>
      <c r="E1040" s="19"/>
    </row>
    <row r="1041" spans="2:5" x14ac:dyDescent="0.25">
      <c r="B1041" s="19"/>
      <c r="C1041" s="19"/>
      <c r="D1041" s="17"/>
      <c r="E1041" s="19"/>
    </row>
    <row r="1042" spans="2:5" x14ac:dyDescent="0.25">
      <c r="B1042" s="19"/>
      <c r="C1042" s="19"/>
      <c r="D1042" s="17"/>
      <c r="E1042" s="19"/>
    </row>
    <row r="1043" spans="2:5" x14ac:dyDescent="0.25">
      <c r="B1043" s="19"/>
      <c r="C1043" s="19"/>
      <c r="D1043" s="17"/>
      <c r="E1043" s="19"/>
    </row>
    <row r="1044" spans="2:5" x14ac:dyDescent="0.25">
      <c r="B1044" s="19"/>
      <c r="C1044" s="19"/>
      <c r="D1044" s="17"/>
      <c r="E1044" s="19"/>
    </row>
    <row r="1045" spans="2:5" x14ac:dyDescent="0.25">
      <c r="B1045" s="19"/>
      <c r="C1045" s="19"/>
      <c r="D1045" s="17"/>
      <c r="E1045" s="19"/>
    </row>
    <row r="1046" spans="2:5" x14ac:dyDescent="0.25">
      <c r="B1046" s="19"/>
      <c r="C1046" s="19"/>
      <c r="D1046" s="17"/>
      <c r="E1046" s="19"/>
    </row>
    <row r="1047" spans="2:5" x14ac:dyDescent="0.25">
      <c r="B1047" s="19"/>
      <c r="C1047" s="19"/>
      <c r="D1047" s="17"/>
      <c r="E1047" s="19"/>
    </row>
    <row r="1048" spans="2:5" x14ac:dyDescent="0.25">
      <c r="B1048" s="19"/>
      <c r="C1048" s="19"/>
      <c r="D1048" s="17"/>
      <c r="E1048" s="19"/>
    </row>
    <row r="1049" spans="2:5" x14ac:dyDescent="0.25">
      <c r="B1049" s="19"/>
      <c r="C1049" s="19"/>
      <c r="D1049" s="17"/>
      <c r="E1049" s="19"/>
    </row>
    <row r="1050" spans="2:5" x14ac:dyDescent="0.25">
      <c r="B1050" s="19"/>
      <c r="C1050" s="19"/>
      <c r="D1050" s="17"/>
      <c r="E1050" s="19"/>
    </row>
    <row r="1051" spans="2:5" x14ac:dyDescent="0.25">
      <c r="B1051" s="19"/>
      <c r="C1051" s="19"/>
      <c r="D1051" s="17"/>
      <c r="E1051" s="19"/>
    </row>
    <row r="1052" spans="2:5" x14ac:dyDescent="0.25">
      <c r="B1052" s="19"/>
      <c r="C1052" s="19"/>
      <c r="D1052" s="17"/>
      <c r="E1052" s="19"/>
    </row>
    <row r="1053" spans="2:5" x14ac:dyDescent="0.25">
      <c r="B1053" s="19"/>
      <c r="C1053" s="19"/>
      <c r="D1053" s="17"/>
      <c r="E1053" s="19"/>
    </row>
    <row r="1054" spans="2:5" x14ac:dyDescent="0.25">
      <c r="B1054" s="19"/>
      <c r="C1054" s="19"/>
      <c r="D1054" s="17"/>
      <c r="E1054" s="19"/>
    </row>
    <row r="1055" spans="2:5" x14ac:dyDescent="0.25">
      <c r="B1055" s="19"/>
      <c r="C1055" s="19"/>
      <c r="D1055" s="17"/>
      <c r="E1055" s="19"/>
    </row>
    <row r="1056" spans="2:5" x14ac:dyDescent="0.25">
      <c r="B1056" s="19"/>
      <c r="C1056" s="19"/>
      <c r="D1056" s="17"/>
      <c r="E1056" s="19"/>
    </row>
    <row r="1057" spans="2:5" x14ac:dyDescent="0.25">
      <c r="B1057" s="19"/>
      <c r="C1057" s="19"/>
      <c r="D1057" s="17"/>
      <c r="E1057" s="19"/>
    </row>
    <row r="1058" spans="2:5" x14ac:dyDescent="0.25">
      <c r="B1058" s="19"/>
      <c r="C1058" s="19"/>
      <c r="D1058" s="17"/>
      <c r="E1058" s="19"/>
    </row>
    <row r="1059" spans="2:5" x14ac:dyDescent="0.25">
      <c r="B1059" s="19"/>
      <c r="C1059" s="19"/>
      <c r="D1059" s="17"/>
      <c r="E1059" s="19"/>
    </row>
    <row r="1060" spans="2:5" x14ac:dyDescent="0.25">
      <c r="B1060" s="19"/>
      <c r="C1060" s="19"/>
      <c r="D1060" s="17"/>
      <c r="E1060" s="19"/>
    </row>
    <row r="1061" spans="2:5" x14ac:dyDescent="0.25">
      <c r="B1061" s="19"/>
      <c r="C1061" s="19"/>
      <c r="D1061" s="17"/>
      <c r="E1061" s="19"/>
    </row>
    <row r="1062" spans="2:5" x14ac:dyDescent="0.25">
      <c r="B1062" s="19"/>
      <c r="C1062" s="19"/>
      <c r="D1062" s="17"/>
      <c r="E1062" s="19"/>
    </row>
    <row r="1063" spans="2:5" x14ac:dyDescent="0.25">
      <c r="B1063" s="19"/>
      <c r="C1063" s="19"/>
      <c r="D1063" s="17"/>
      <c r="E1063" s="19"/>
    </row>
    <row r="1064" spans="2:5" x14ac:dyDescent="0.25">
      <c r="B1064" s="19"/>
      <c r="C1064" s="19"/>
      <c r="D1064" s="17"/>
      <c r="E1064" s="19"/>
    </row>
    <row r="1065" spans="2:5" x14ac:dyDescent="0.25">
      <c r="B1065" s="19"/>
      <c r="C1065" s="19"/>
      <c r="D1065" s="17"/>
      <c r="E1065" s="19"/>
    </row>
    <row r="1066" spans="2:5" x14ac:dyDescent="0.25">
      <c r="B1066" s="19"/>
      <c r="C1066" s="19"/>
      <c r="D1066" s="17"/>
      <c r="E1066" s="19"/>
    </row>
    <row r="1067" spans="2:5" x14ac:dyDescent="0.25">
      <c r="B1067" s="19"/>
      <c r="C1067" s="19"/>
      <c r="D1067" s="17"/>
      <c r="E1067" s="19"/>
    </row>
    <row r="1068" spans="2:5" x14ac:dyDescent="0.25">
      <c r="B1068" s="19"/>
      <c r="C1068" s="19"/>
      <c r="D1068" s="17"/>
      <c r="E1068" s="19"/>
    </row>
    <row r="1069" spans="2:5" x14ac:dyDescent="0.25">
      <c r="B1069" s="19"/>
      <c r="C1069" s="19"/>
      <c r="D1069" s="17"/>
      <c r="E1069" s="19"/>
    </row>
    <row r="1070" spans="2:5" x14ac:dyDescent="0.25">
      <c r="B1070" s="19"/>
      <c r="C1070" s="19"/>
      <c r="D1070" s="17"/>
      <c r="E1070" s="19"/>
    </row>
    <row r="1071" spans="2:5" x14ac:dyDescent="0.25">
      <c r="B1071" s="19"/>
      <c r="C1071" s="19"/>
      <c r="D1071" s="17"/>
      <c r="E1071" s="19"/>
    </row>
    <row r="1072" spans="2:5" x14ac:dyDescent="0.25">
      <c r="B1072" s="19"/>
      <c r="C1072" s="19"/>
      <c r="D1072" s="17"/>
      <c r="E1072" s="19"/>
    </row>
    <row r="1073" spans="2:5" x14ac:dyDescent="0.25">
      <c r="B1073" s="19"/>
      <c r="C1073" s="19"/>
      <c r="D1073" s="17"/>
      <c r="E1073" s="19"/>
    </row>
    <row r="1074" spans="2:5" x14ac:dyDescent="0.25">
      <c r="B1074" s="19"/>
      <c r="C1074" s="19"/>
      <c r="D1074" s="17"/>
      <c r="E1074" s="19"/>
    </row>
    <row r="1075" spans="2:5" x14ac:dyDescent="0.25">
      <c r="B1075" s="19"/>
      <c r="C1075" s="19"/>
      <c r="D1075" s="17"/>
      <c r="E1075" s="19"/>
    </row>
    <row r="1076" spans="2:5" x14ac:dyDescent="0.25">
      <c r="B1076" s="19"/>
      <c r="C1076" s="19"/>
      <c r="D1076" s="17"/>
      <c r="E1076" s="19"/>
    </row>
    <row r="1077" spans="2:5" x14ac:dyDescent="0.25">
      <c r="B1077" s="19"/>
      <c r="C1077" s="19"/>
      <c r="D1077" s="17"/>
      <c r="E1077" s="19"/>
    </row>
    <row r="1078" spans="2:5" x14ac:dyDescent="0.25">
      <c r="B1078" s="19"/>
      <c r="C1078" s="19"/>
      <c r="D1078" s="17"/>
      <c r="E1078" s="19"/>
    </row>
    <row r="1079" spans="2:5" x14ac:dyDescent="0.25">
      <c r="B1079" s="19"/>
      <c r="C1079" s="19"/>
      <c r="D1079" s="17"/>
      <c r="E1079" s="19"/>
    </row>
    <row r="1080" spans="2:5" x14ac:dyDescent="0.25">
      <c r="B1080" s="19"/>
      <c r="C1080" s="19"/>
      <c r="D1080" s="17"/>
      <c r="E1080" s="19"/>
    </row>
    <row r="1081" spans="2:5" x14ac:dyDescent="0.25">
      <c r="B1081" s="19"/>
      <c r="C1081" s="19"/>
      <c r="D1081" s="17"/>
      <c r="E1081" s="19"/>
    </row>
    <row r="1082" spans="2:5" x14ac:dyDescent="0.25">
      <c r="B1082" s="19"/>
      <c r="C1082" s="19"/>
      <c r="D1082" s="17"/>
      <c r="E1082" s="19"/>
    </row>
    <row r="1083" spans="2:5" x14ac:dyDescent="0.25">
      <c r="B1083" s="19"/>
      <c r="C1083" s="19"/>
      <c r="D1083" s="17"/>
      <c r="E1083" s="19"/>
    </row>
    <row r="1084" spans="2:5" x14ac:dyDescent="0.25">
      <c r="B1084" s="19"/>
      <c r="C1084" s="19"/>
      <c r="D1084" s="17"/>
      <c r="E1084" s="19"/>
    </row>
    <row r="1085" spans="2:5" x14ac:dyDescent="0.25">
      <c r="B1085" s="19"/>
      <c r="C1085" s="19"/>
      <c r="D1085" s="17"/>
      <c r="E1085" s="19"/>
    </row>
    <row r="1086" spans="2:5" x14ac:dyDescent="0.25">
      <c r="B1086" s="19"/>
      <c r="C1086" s="19"/>
      <c r="D1086" s="17"/>
      <c r="E1086" s="19"/>
    </row>
    <row r="1087" spans="2:5" x14ac:dyDescent="0.25">
      <c r="B1087" s="19"/>
      <c r="C1087" s="19"/>
      <c r="D1087" s="17"/>
      <c r="E1087" s="19"/>
    </row>
    <row r="1088" spans="2:5" x14ac:dyDescent="0.25">
      <c r="B1088" s="19"/>
      <c r="C1088" s="19"/>
      <c r="D1088" s="17"/>
      <c r="E1088" s="19"/>
    </row>
    <row r="1089" spans="2:5" x14ac:dyDescent="0.25">
      <c r="B1089" s="19"/>
      <c r="C1089" s="19"/>
      <c r="D1089" s="17"/>
      <c r="E1089" s="19"/>
    </row>
    <row r="1090" spans="2:5" x14ac:dyDescent="0.25">
      <c r="B1090" s="19"/>
      <c r="C1090" s="19"/>
      <c r="D1090" s="17"/>
      <c r="E1090" s="19"/>
    </row>
    <row r="1091" spans="2:5" x14ac:dyDescent="0.25">
      <c r="B1091" s="19"/>
      <c r="C1091" s="19"/>
      <c r="D1091" s="17"/>
      <c r="E1091" s="19"/>
    </row>
    <row r="1092" spans="2:5" x14ac:dyDescent="0.25">
      <c r="B1092" s="19"/>
      <c r="C1092" s="19"/>
      <c r="D1092" s="17"/>
      <c r="E1092" s="19"/>
    </row>
    <row r="1093" spans="2:5" x14ac:dyDescent="0.25">
      <c r="B1093" s="19"/>
      <c r="C1093" s="19"/>
      <c r="D1093" s="17"/>
      <c r="E1093" s="19"/>
    </row>
    <row r="1094" spans="2:5" x14ac:dyDescent="0.25">
      <c r="B1094" s="19"/>
      <c r="C1094" s="19"/>
      <c r="D1094" s="17"/>
      <c r="E1094" s="19"/>
    </row>
    <row r="1095" spans="2:5" x14ac:dyDescent="0.25">
      <c r="B1095" s="19"/>
      <c r="C1095" s="19"/>
      <c r="D1095" s="17"/>
      <c r="E1095" s="19"/>
    </row>
    <row r="1096" spans="2:5" x14ac:dyDescent="0.25">
      <c r="B1096" s="19"/>
      <c r="C1096" s="19"/>
      <c r="D1096" s="17"/>
      <c r="E1096" s="19"/>
    </row>
    <row r="1097" spans="2:5" x14ac:dyDescent="0.25">
      <c r="B1097" s="19"/>
      <c r="C1097" s="19"/>
      <c r="D1097" s="17"/>
      <c r="E1097" s="19"/>
    </row>
    <row r="1098" spans="2:5" x14ac:dyDescent="0.25">
      <c r="B1098" s="19"/>
      <c r="C1098" s="19"/>
      <c r="D1098" s="17"/>
      <c r="E1098" s="19"/>
    </row>
    <row r="1099" spans="2:5" x14ac:dyDescent="0.25">
      <c r="B1099" s="19"/>
      <c r="C1099" s="19"/>
      <c r="D1099" s="17"/>
      <c r="E1099" s="19"/>
    </row>
    <row r="1100" spans="2:5" x14ac:dyDescent="0.25">
      <c r="B1100" s="19"/>
      <c r="C1100" s="19"/>
      <c r="D1100" s="17"/>
      <c r="E1100" s="19"/>
    </row>
    <row r="1101" spans="2:5" x14ac:dyDescent="0.25">
      <c r="B1101" s="19"/>
      <c r="C1101" s="19"/>
      <c r="D1101" s="17"/>
      <c r="E1101" s="19"/>
    </row>
    <row r="1102" spans="2:5" x14ac:dyDescent="0.25">
      <c r="B1102" s="19"/>
      <c r="C1102" s="19"/>
      <c r="D1102" s="17"/>
      <c r="E1102" s="19"/>
    </row>
    <row r="1103" spans="2:5" x14ac:dyDescent="0.25">
      <c r="B1103" s="19"/>
      <c r="C1103" s="19"/>
      <c r="D1103" s="17"/>
      <c r="E1103" s="19"/>
    </row>
    <row r="1104" spans="2:5" x14ac:dyDescent="0.25">
      <c r="B1104" s="19"/>
      <c r="C1104" s="19"/>
      <c r="D1104" s="17"/>
      <c r="E1104" s="19"/>
    </row>
    <row r="1105" spans="2:5" x14ac:dyDescent="0.25">
      <c r="B1105" s="19"/>
      <c r="C1105" s="19"/>
      <c r="D1105" s="17"/>
      <c r="E1105" s="19"/>
    </row>
    <row r="1106" spans="2:5" x14ac:dyDescent="0.25">
      <c r="B1106" s="19"/>
      <c r="C1106" s="19"/>
      <c r="D1106" s="17"/>
      <c r="E1106" s="19"/>
    </row>
    <row r="1107" spans="2:5" x14ac:dyDescent="0.25">
      <c r="B1107" s="19"/>
      <c r="C1107" s="19"/>
      <c r="D1107" s="17"/>
      <c r="E1107" s="19"/>
    </row>
    <row r="1108" spans="2:5" x14ac:dyDescent="0.25">
      <c r="B1108" s="19"/>
      <c r="C1108" s="19"/>
      <c r="D1108" s="17"/>
      <c r="E1108" s="19"/>
    </row>
    <row r="1109" spans="2:5" x14ac:dyDescent="0.25">
      <c r="B1109" s="19"/>
      <c r="C1109" s="19"/>
      <c r="D1109" s="17"/>
      <c r="E1109" s="19"/>
    </row>
    <row r="1110" spans="2:5" x14ac:dyDescent="0.25">
      <c r="B1110" s="19"/>
      <c r="C1110" s="19"/>
      <c r="D1110" s="17"/>
      <c r="E1110" s="19"/>
    </row>
    <row r="1111" spans="2:5" x14ac:dyDescent="0.25">
      <c r="B1111" s="19"/>
      <c r="C1111" s="19"/>
      <c r="D1111" s="17"/>
      <c r="E1111" s="19"/>
    </row>
    <row r="1112" spans="2:5" x14ac:dyDescent="0.25">
      <c r="B1112" s="19"/>
      <c r="C1112" s="19"/>
      <c r="D1112" s="17"/>
      <c r="E1112" s="19"/>
    </row>
    <row r="1113" spans="2:5" x14ac:dyDescent="0.25">
      <c r="B1113" s="19"/>
      <c r="C1113" s="19"/>
      <c r="D1113" s="17"/>
      <c r="E1113" s="19"/>
    </row>
    <row r="1114" spans="2:5" x14ac:dyDescent="0.25">
      <c r="B1114" s="19"/>
      <c r="C1114" s="19"/>
      <c r="D1114" s="17"/>
      <c r="E1114" s="19"/>
    </row>
    <row r="1115" spans="2:5" x14ac:dyDescent="0.25">
      <c r="B1115" s="19"/>
      <c r="C1115" s="19"/>
      <c r="D1115" s="17"/>
      <c r="E1115" s="19"/>
    </row>
    <row r="1116" spans="2:5" x14ac:dyDescent="0.25">
      <c r="B1116" s="19"/>
      <c r="C1116" s="19"/>
      <c r="D1116" s="17"/>
      <c r="E1116" s="19"/>
    </row>
    <row r="1117" spans="2:5" x14ac:dyDescent="0.25">
      <c r="B1117" s="19"/>
      <c r="C1117" s="19"/>
      <c r="D1117" s="17"/>
      <c r="E1117" s="19"/>
    </row>
    <row r="1118" spans="2:5" x14ac:dyDescent="0.25">
      <c r="B1118" s="19"/>
      <c r="C1118" s="19"/>
      <c r="D1118" s="17"/>
      <c r="E1118" s="19"/>
    </row>
    <row r="1119" spans="2:5" x14ac:dyDescent="0.25">
      <c r="B1119" s="19"/>
      <c r="C1119" s="19"/>
      <c r="D1119" s="17"/>
      <c r="E1119" s="19"/>
    </row>
    <row r="1120" spans="2:5" x14ac:dyDescent="0.25">
      <c r="B1120" s="19"/>
      <c r="C1120" s="19"/>
      <c r="D1120" s="17"/>
      <c r="E1120" s="19"/>
    </row>
    <row r="1121" spans="2:5" x14ac:dyDescent="0.25">
      <c r="B1121" s="19"/>
      <c r="C1121" s="19"/>
      <c r="D1121" s="17"/>
      <c r="E1121" s="19"/>
    </row>
    <row r="1122" spans="2:5" x14ac:dyDescent="0.25">
      <c r="B1122" s="19"/>
      <c r="C1122" s="19"/>
      <c r="D1122" s="17"/>
      <c r="E1122" s="19"/>
    </row>
    <row r="1123" spans="2:5" x14ac:dyDescent="0.25">
      <c r="B1123" s="19"/>
      <c r="C1123" s="19"/>
      <c r="D1123" s="17"/>
      <c r="E1123" s="19"/>
    </row>
    <row r="1124" spans="2:5" x14ac:dyDescent="0.25">
      <c r="B1124" s="19"/>
      <c r="C1124" s="19"/>
      <c r="D1124" s="17"/>
      <c r="E1124" s="19"/>
    </row>
    <row r="1125" spans="2:5" x14ac:dyDescent="0.25">
      <c r="B1125" s="19"/>
      <c r="C1125" s="19"/>
      <c r="D1125" s="17"/>
      <c r="E1125" s="19"/>
    </row>
    <row r="1126" spans="2:5" x14ac:dyDescent="0.25">
      <c r="B1126" s="19"/>
      <c r="C1126" s="19"/>
      <c r="D1126" s="17"/>
      <c r="E1126" s="19"/>
    </row>
    <row r="1127" spans="2:5" x14ac:dyDescent="0.25">
      <c r="B1127" s="19"/>
      <c r="C1127" s="19"/>
      <c r="D1127" s="17"/>
      <c r="E1127" s="19"/>
    </row>
    <row r="1128" spans="2:5" x14ac:dyDescent="0.25">
      <c r="B1128" s="19"/>
      <c r="C1128" s="19"/>
      <c r="D1128" s="17"/>
      <c r="E1128" s="19"/>
    </row>
    <row r="1129" spans="2:5" x14ac:dyDescent="0.25">
      <c r="B1129" s="19"/>
      <c r="C1129" s="19"/>
      <c r="D1129" s="17"/>
      <c r="E1129" s="19"/>
    </row>
    <row r="1130" spans="2:5" x14ac:dyDescent="0.25">
      <c r="B1130" s="19"/>
      <c r="C1130" s="19"/>
      <c r="D1130" s="17"/>
      <c r="E1130" s="19"/>
    </row>
    <row r="1131" spans="2:5" x14ac:dyDescent="0.25">
      <c r="B1131" s="19"/>
      <c r="C1131" s="19"/>
      <c r="D1131" s="17"/>
      <c r="E1131" s="19"/>
    </row>
    <row r="1132" spans="2:5" x14ac:dyDescent="0.25">
      <c r="B1132" s="19"/>
      <c r="C1132" s="19"/>
      <c r="D1132" s="17"/>
      <c r="E1132" s="19"/>
    </row>
    <row r="1133" spans="2:5" x14ac:dyDescent="0.25">
      <c r="B1133" s="19"/>
      <c r="C1133" s="19"/>
      <c r="D1133" s="17"/>
      <c r="E1133" s="19"/>
    </row>
    <row r="1134" spans="2:5" x14ac:dyDescent="0.25">
      <c r="B1134" s="19"/>
      <c r="C1134" s="19"/>
      <c r="D1134" s="17"/>
      <c r="E1134" s="19"/>
    </row>
    <row r="1135" spans="2:5" x14ac:dyDescent="0.25">
      <c r="B1135" s="19"/>
      <c r="C1135" s="19"/>
      <c r="D1135" s="17"/>
      <c r="E1135" s="19"/>
    </row>
    <row r="1136" spans="2:5" x14ac:dyDescent="0.25">
      <c r="B1136" s="19"/>
      <c r="C1136" s="19"/>
      <c r="D1136" s="17"/>
      <c r="E1136" s="19"/>
    </row>
    <row r="1137" spans="2:5" x14ac:dyDescent="0.25">
      <c r="B1137" s="19"/>
      <c r="C1137" s="19"/>
      <c r="D1137" s="17"/>
      <c r="E1137" s="19"/>
    </row>
    <row r="1138" spans="2:5" x14ac:dyDescent="0.25">
      <c r="B1138" s="19"/>
      <c r="C1138" s="19"/>
      <c r="D1138" s="17"/>
      <c r="E1138" s="19"/>
    </row>
    <row r="1139" spans="2:5" x14ac:dyDescent="0.25">
      <c r="B1139" s="19"/>
      <c r="C1139" s="19"/>
      <c r="D1139" s="17"/>
      <c r="E1139" s="19"/>
    </row>
    <row r="1140" spans="2:5" x14ac:dyDescent="0.25">
      <c r="B1140" s="19"/>
      <c r="C1140" s="19"/>
      <c r="D1140" s="17"/>
      <c r="E1140" s="19"/>
    </row>
    <row r="1141" spans="2:5" x14ac:dyDescent="0.25">
      <c r="B1141" s="19"/>
      <c r="C1141" s="19"/>
      <c r="D1141" s="17"/>
      <c r="E1141" s="19"/>
    </row>
    <row r="1142" spans="2:5" x14ac:dyDescent="0.25">
      <c r="B1142" s="19"/>
      <c r="C1142" s="19"/>
      <c r="D1142" s="17"/>
      <c r="E1142" s="19"/>
    </row>
    <row r="1143" spans="2:5" x14ac:dyDescent="0.25">
      <c r="B1143" s="19"/>
      <c r="C1143" s="19"/>
      <c r="D1143" s="17"/>
      <c r="E1143" s="19"/>
    </row>
    <row r="1144" spans="2:5" x14ac:dyDescent="0.25">
      <c r="B1144" s="19"/>
      <c r="C1144" s="19"/>
      <c r="D1144" s="17"/>
      <c r="E1144" s="19"/>
    </row>
    <row r="1145" spans="2:5" x14ac:dyDescent="0.25">
      <c r="B1145" s="19"/>
      <c r="C1145" s="19"/>
      <c r="D1145" s="17"/>
      <c r="E1145" s="19"/>
    </row>
    <row r="1146" spans="2:5" x14ac:dyDescent="0.25">
      <c r="B1146" s="19"/>
      <c r="C1146" s="19"/>
      <c r="D1146" s="17"/>
      <c r="E1146" s="19"/>
    </row>
    <row r="1147" spans="2:5" x14ac:dyDescent="0.25">
      <c r="B1147" s="19"/>
      <c r="C1147" s="19"/>
      <c r="D1147" s="17"/>
      <c r="E1147" s="19"/>
    </row>
    <row r="1148" spans="2:5" x14ac:dyDescent="0.25">
      <c r="B1148" s="19"/>
      <c r="C1148" s="19"/>
      <c r="D1148" s="17"/>
      <c r="E1148" s="19"/>
    </row>
    <row r="1149" spans="2:5" x14ac:dyDescent="0.25">
      <c r="B1149" s="19"/>
      <c r="C1149" s="19"/>
      <c r="D1149" s="17"/>
      <c r="E1149" s="19"/>
    </row>
    <row r="1150" spans="2:5" x14ac:dyDescent="0.25">
      <c r="B1150" s="19"/>
      <c r="C1150" s="19"/>
      <c r="D1150" s="17"/>
      <c r="E1150" s="19"/>
    </row>
    <row r="1151" spans="2:5" x14ac:dyDescent="0.25">
      <c r="B1151" s="19"/>
      <c r="C1151" s="19"/>
      <c r="D1151" s="17"/>
      <c r="E1151" s="19"/>
    </row>
    <row r="1152" spans="2:5" x14ac:dyDescent="0.25">
      <c r="B1152" s="19"/>
      <c r="C1152" s="19"/>
      <c r="D1152" s="17"/>
      <c r="E1152" s="19"/>
    </row>
    <row r="1153" spans="2:5" x14ac:dyDescent="0.25">
      <c r="B1153" s="19"/>
      <c r="C1153" s="19"/>
      <c r="D1153" s="17"/>
      <c r="E1153" s="19"/>
    </row>
    <row r="1154" spans="2:5" x14ac:dyDescent="0.25">
      <c r="B1154" s="19"/>
      <c r="C1154" s="19"/>
      <c r="D1154" s="17"/>
      <c r="E1154" s="19"/>
    </row>
    <row r="1155" spans="2:5" x14ac:dyDescent="0.25">
      <c r="B1155" s="19"/>
      <c r="C1155" s="19"/>
      <c r="D1155" s="17"/>
      <c r="E1155" s="19"/>
    </row>
    <row r="1156" spans="2:5" x14ac:dyDescent="0.25">
      <c r="B1156" s="19"/>
      <c r="C1156" s="19"/>
      <c r="D1156" s="17"/>
      <c r="E1156" s="19"/>
    </row>
    <row r="1157" spans="2:5" x14ac:dyDescent="0.25">
      <c r="B1157" s="19"/>
      <c r="C1157" s="19"/>
      <c r="D1157" s="17"/>
      <c r="E1157" s="19"/>
    </row>
    <row r="1158" spans="2:5" x14ac:dyDescent="0.25">
      <c r="B1158" s="19"/>
      <c r="C1158" s="19"/>
      <c r="D1158" s="17"/>
      <c r="E1158" s="19"/>
    </row>
    <row r="1159" spans="2:5" x14ac:dyDescent="0.25">
      <c r="B1159" s="19"/>
      <c r="C1159" s="19"/>
      <c r="D1159" s="17"/>
      <c r="E1159" s="19"/>
    </row>
    <row r="1160" spans="2:5" x14ac:dyDescent="0.25">
      <c r="B1160" s="19"/>
      <c r="C1160" s="19"/>
      <c r="D1160" s="17"/>
      <c r="E1160" s="19"/>
    </row>
    <row r="1161" spans="2:5" x14ac:dyDescent="0.25">
      <c r="B1161" s="19"/>
      <c r="C1161" s="19"/>
      <c r="D1161" s="17"/>
      <c r="E1161" s="19"/>
    </row>
    <row r="1162" spans="2:5" x14ac:dyDescent="0.25">
      <c r="B1162" s="19"/>
      <c r="C1162" s="19"/>
      <c r="D1162" s="17"/>
      <c r="E1162" s="19"/>
    </row>
    <row r="1163" spans="2:5" x14ac:dyDescent="0.25">
      <c r="B1163" s="19"/>
      <c r="C1163" s="19"/>
      <c r="D1163" s="17"/>
      <c r="E1163" s="19"/>
    </row>
    <row r="1164" spans="2:5" x14ac:dyDescent="0.25">
      <c r="B1164" s="19"/>
      <c r="C1164" s="19"/>
      <c r="D1164" s="17"/>
      <c r="E1164" s="19"/>
    </row>
    <row r="1165" spans="2:5" x14ac:dyDescent="0.25">
      <c r="B1165" s="19"/>
      <c r="C1165" s="19"/>
      <c r="D1165" s="17"/>
      <c r="E1165" s="19"/>
    </row>
    <row r="1166" spans="2:5" x14ac:dyDescent="0.25">
      <c r="B1166" s="19"/>
      <c r="C1166" s="19"/>
      <c r="D1166" s="17"/>
      <c r="E1166" s="19"/>
    </row>
    <row r="1167" spans="2:5" x14ac:dyDescent="0.25">
      <c r="B1167" s="19"/>
      <c r="C1167" s="19"/>
      <c r="D1167" s="17"/>
      <c r="E1167" s="19"/>
    </row>
    <row r="1168" spans="2:5" x14ac:dyDescent="0.25">
      <c r="B1168" s="19"/>
      <c r="C1168" s="19"/>
      <c r="D1168" s="17"/>
      <c r="E1168" s="19"/>
    </row>
    <row r="1169" spans="2:5" x14ac:dyDescent="0.25">
      <c r="B1169" s="19"/>
      <c r="C1169" s="19"/>
      <c r="D1169" s="17"/>
      <c r="E1169" s="19"/>
    </row>
    <row r="1170" spans="2:5" x14ac:dyDescent="0.25">
      <c r="B1170" s="19"/>
      <c r="C1170" s="19"/>
      <c r="D1170" s="17"/>
      <c r="E1170" s="19"/>
    </row>
    <row r="1171" spans="2:5" x14ac:dyDescent="0.25">
      <c r="B1171" s="19"/>
      <c r="C1171" s="19"/>
      <c r="D1171" s="17"/>
      <c r="E1171" s="19"/>
    </row>
    <row r="1172" spans="2:5" x14ac:dyDescent="0.25">
      <c r="B1172" s="19"/>
      <c r="C1172" s="19"/>
      <c r="D1172" s="17"/>
      <c r="E1172" s="19"/>
    </row>
    <row r="1173" spans="2:5" x14ac:dyDescent="0.25">
      <c r="B1173" s="19"/>
      <c r="C1173" s="19"/>
      <c r="D1173" s="17"/>
      <c r="E1173" s="19"/>
    </row>
    <row r="1174" spans="2:5" x14ac:dyDescent="0.25">
      <c r="B1174" s="19"/>
      <c r="C1174" s="19"/>
      <c r="D1174" s="17"/>
      <c r="E1174" s="19"/>
    </row>
    <row r="1175" spans="2:5" x14ac:dyDescent="0.25">
      <c r="B1175" s="19"/>
      <c r="C1175" s="19"/>
      <c r="D1175" s="17"/>
      <c r="E1175" s="19"/>
    </row>
    <row r="1176" spans="2:5" x14ac:dyDescent="0.25">
      <c r="B1176" s="19"/>
      <c r="C1176" s="19"/>
      <c r="D1176" s="17"/>
      <c r="E1176" s="19"/>
    </row>
    <row r="1177" spans="2:5" x14ac:dyDescent="0.25">
      <c r="B1177" s="19"/>
      <c r="C1177" s="19"/>
      <c r="D1177" s="17"/>
      <c r="E1177" s="19"/>
    </row>
    <row r="1178" spans="2:5" x14ac:dyDescent="0.25">
      <c r="B1178" s="19"/>
      <c r="C1178" s="19"/>
      <c r="D1178" s="17"/>
      <c r="E1178" s="19"/>
    </row>
    <row r="1179" spans="2:5" x14ac:dyDescent="0.25">
      <c r="B1179" s="19"/>
      <c r="C1179" s="19"/>
      <c r="D1179" s="17"/>
      <c r="E1179" s="19"/>
    </row>
    <row r="1180" spans="2:5" x14ac:dyDescent="0.25">
      <c r="B1180" s="19"/>
      <c r="C1180" s="19"/>
      <c r="D1180" s="17"/>
      <c r="E1180" s="19"/>
    </row>
    <row r="1181" spans="2:5" x14ac:dyDescent="0.25">
      <c r="B1181" s="19"/>
      <c r="C1181" s="19"/>
      <c r="D1181" s="17"/>
      <c r="E1181" s="19"/>
    </row>
    <row r="1182" spans="2:5" x14ac:dyDescent="0.25">
      <c r="B1182" s="19"/>
      <c r="C1182" s="19"/>
      <c r="D1182" s="17"/>
      <c r="E1182" s="19"/>
    </row>
    <row r="1183" spans="2:5" x14ac:dyDescent="0.25">
      <c r="B1183" s="19"/>
      <c r="C1183" s="19"/>
      <c r="D1183" s="17"/>
      <c r="E1183" s="19"/>
    </row>
    <row r="1184" spans="2:5" x14ac:dyDescent="0.25">
      <c r="B1184" s="19"/>
      <c r="C1184" s="19"/>
      <c r="D1184" s="17"/>
      <c r="E1184" s="19"/>
    </row>
    <row r="1185" spans="2:5" x14ac:dyDescent="0.25">
      <c r="B1185" s="19"/>
      <c r="C1185" s="19"/>
      <c r="D1185" s="17"/>
      <c r="E1185" s="19"/>
    </row>
    <row r="1186" spans="2:5" x14ac:dyDescent="0.25">
      <c r="B1186" s="19"/>
      <c r="C1186" s="19"/>
      <c r="D1186" s="17"/>
      <c r="E1186" s="19"/>
    </row>
    <row r="1187" spans="2:5" x14ac:dyDescent="0.25">
      <c r="B1187" s="19"/>
      <c r="C1187" s="19"/>
      <c r="D1187" s="17"/>
      <c r="E1187" s="19"/>
    </row>
    <row r="1188" spans="2:5" x14ac:dyDescent="0.25">
      <c r="B1188" s="19"/>
      <c r="C1188" s="19"/>
      <c r="D1188" s="17"/>
      <c r="E1188" s="19"/>
    </row>
    <row r="1189" spans="2:5" x14ac:dyDescent="0.25">
      <c r="B1189" s="19"/>
      <c r="C1189" s="19"/>
      <c r="D1189" s="17"/>
      <c r="E1189" s="19"/>
    </row>
    <row r="1190" spans="2:5" x14ac:dyDescent="0.25">
      <c r="B1190" s="19"/>
      <c r="C1190" s="19"/>
      <c r="D1190" s="17"/>
      <c r="E1190" s="19"/>
    </row>
    <row r="1191" spans="2:5" x14ac:dyDescent="0.25">
      <c r="B1191" s="19"/>
      <c r="C1191" s="19"/>
      <c r="D1191" s="17"/>
      <c r="E1191" s="19"/>
    </row>
    <row r="1192" spans="2:5" x14ac:dyDescent="0.25">
      <c r="B1192" s="19"/>
      <c r="C1192" s="19"/>
      <c r="D1192" s="17"/>
      <c r="E1192" s="19"/>
    </row>
    <row r="1193" spans="2:5" x14ac:dyDescent="0.25">
      <c r="B1193" s="19"/>
      <c r="C1193" s="19"/>
      <c r="D1193" s="17"/>
      <c r="E1193" s="19"/>
    </row>
    <row r="1194" spans="2:5" x14ac:dyDescent="0.25">
      <c r="B1194" s="19"/>
      <c r="C1194" s="19"/>
      <c r="D1194" s="17"/>
      <c r="E1194" s="19"/>
    </row>
    <row r="1195" spans="2:5" x14ac:dyDescent="0.25">
      <c r="B1195" s="19"/>
      <c r="C1195" s="19"/>
      <c r="D1195" s="17"/>
      <c r="E1195" s="19"/>
    </row>
    <row r="1196" spans="2:5" x14ac:dyDescent="0.25">
      <c r="B1196" s="19"/>
      <c r="C1196" s="19"/>
      <c r="D1196" s="17"/>
      <c r="E1196" s="19"/>
    </row>
    <row r="1197" spans="2:5" x14ac:dyDescent="0.25">
      <c r="B1197" s="19"/>
      <c r="C1197" s="19"/>
      <c r="D1197" s="17"/>
      <c r="E1197" s="19"/>
    </row>
    <row r="1198" spans="2:5" x14ac:dyDescent="0.25">
      <c r="B1198" s="19"/>
      <c r="C1198" s="19"/>
      <c r="D1198" s="17"/>
      <c r="E1198" s="19"/>
    </row>
    <row r="1199" spans="2:5" x14ac:dyDescent="0.25">
      <c r="B1199" s="19"/>
      <c r="C1199" s="19"/>
      <c r="D1199" s="17"/>
      <c r="E1199" s="19"/>
    </row>
    <row r="1200" spans="2:5" x14ac:dyDescent="0.25">
      <c r="B1200" s="19"/>
      <c r="C1200" s="19"/>
      <c r="D1200" s="17"/>
      <c r="E1200" s="19"/>
    </row>
    <row r="1201" spans="2:5" x14ac:dyDescent="0.25">
      <c r="B1201" s="19"/>
      <c r="C1201" s="19"/>
      <c r="D1201" s="17"/>
      <c r="E1201" s="19"/>
    </row>
    <row r="1202" spans="2:5" x14ac:dyDescent="0.25">
      <c r="B1202" s="19"/>
      <c r="C1202" s="19"/>
      <c r="D1202" s="17"/>
      <c r="E1202" s="19"/>
    </row>
    <row r="1203" spans="2:5" x14ac:dyDescent="0.25">
      <c r="B1203" s="19"/>
      <c r="C1203" s="19"/>
      <c r="D1203" s="17"/>
      <c r="E1203" s="19"/>
    </row>
    <row r="1204" spans="2:5" x14ac:dyDescent="0.25">
      <c r="B1204" s="19"/>
      <c r="C1204" s="19"/>
      <c r="D1204" s="17"/>
      <c r="E1204" s="19"/>
    </row>
    <row r="1205" spans="2:5" x14ac:dyDescent="0.25">
      <c r="B1205" s="19"/>
      <c r="C1205" s="19"/>
      <c r="D1205" s="17"/>
      <c r="E1205" s="19"/>
    </row>
    <row r="1206" spans="2:5" x14ac:dyDescent="0.25">
      <c r="B1206" s="19"/>
      <c r="C1206" s="19"/>
      <c r="D1206" s="17"/>
      <c r="E1206" s="19"/>
    </row>
    <row r="1207" spans="2:5" x14ac:dyDescent="0.25">
      <c r="B1207" s="19"/>
      <c r="C1207" s="19"/>
      <c r="D1207" s="17"/>
      <c r="E1207" s="19"/>
    </row>
    <row r="1208" spans="2:5" x14ac:dyDescent="0.25">
      <c r="B1208" s="19"/>
      <c r="C1208" s="19"/>
      <c r="D1208" s="17"/>
      <c r="E1208" s="19"/>
    </row>
    <row r="1209" spans="2:5" x14ac:dyDescent="0.25">
      <c r="B1209" s="19"/>
      <c r="C1209" s="19"/>
      <c r="D1209" s="17"/>
      <c r="E1209" s="19"/>
    </row>
    <row r="1210" spans="2:5" x14ac:dyDescent="0.25">
      <c r="B1210" s="19"/>
      <c r="C1210" s="19"/>
      <c r="D1210" s="17"/>
      <c r="E1210" s="19"/>
    </row>
    <row r="1211" spans="2:5" x14ac:dyDescent="0.25">
      <c r="B1211" s="19"/>
      <c r="C1211" s="19"/>
      <c r="D1211" s="17"/>
      <c r="E1211" s="19"/>
    </row>
    <row r="1212" spans="2:5" x14ac:dyDescent="0.25">
      <c r="B1212" s="19"/>
      <c r="C1212" s="19"/>
      <c r="D1212" s="17"/>
      <c r="E1212" s="19"/>
    </row>
    <row r="1213" spans="2:5" x14ac:dyDescent="0.25">
      <c r="B1213" s="19"/>
      <c r="C1213" s="19"/>
      <c r="D1213" s="17"/>
      <c r="E1213" s="19"/>
    </row>
    <row r="1214" spans="2:5" x14ac:dyDescent="0.25">
      <c r="B1214" s="19"/>
      <c r="C1214" s="19"/>
      <c r="D1214" s="17"/>
      <c r="E1214" s="19"/>
    </row>
    <row r="1215" spans="2:5" x14ac:dyDescent="0.25">
      <c r="B1215" s="19"/>
      <c r="C1215" s="19"/>
      <c r="D1215" s="17"/>
      <c r="E1215" s="19"/>
    </row>
    <row r="1216" spans="2:5" x14ac:dyDescent="0.25">
      <c r="B1216" s="19"/>
      <c r="C1216" s="19"/>
      <c r="D1216" s="17"/>
      <c r="E1216" s="19"/>
    </row>
    <row r="1217" spans="2:5" x14ac:dyDescent="0.25">
      <c r="B1217" s="19"/>
      <c r="C1217" s="19"/>
      <c r="D1217" s="17"/>
      <c r="E1217" s="19"/>
    </row>
    <row r="1218" spans="2:5" x14ac:dyDescent="0.25">
      <c r="B1218" s="19"/>
      <c r="C1218" s="19"/>
      <c r="D1218" s="17"/>
      <c r="E1218" s="19"/>
    </row>
    <row r="1219" spans="2:5" x14ac:dyDescent="0.25">
      <c r="B1219" s="19"/>
      <c r="C1219" s="19"/>
      <c r="D1219" s="17"/>
      <c r="E1219" s="19"/>
    </row>
    <row r="1220" spans="2:5" x14ac:dyDescent="0.25">
      <c r="B1220" s="19"/>
      <c r="C1220" s="19"/>
      <c r="D1220" s="17"/>
      <c r="E1220" s="19"/>
    </row>
    <row r="1221" spans="2:5" x14ac:dyDescent="0.25">
      <c r="B1221" s="19"/>
      <c r="C1221" s="19"/>
      <c r="D1221" s="17"/>
      <c r="E1221" s="19"/>
    </row>
    <row r="1222" spans="2:5" x14ac:dyDescent="0.25">
      <c r="B1222" s="19"/>
      <c r="C1222" s="19"/>
      <c r="D1222" s="17"/>
      <c r="E1222" s="19"/>
    </row>
    <row r="1223" spans="2:5" x14ac:dyDescent="0.25">
      <c r="B1223" s="19"/>
      <c r="C1223" s="19"/>
      <c r="D1223" s="17"/>
      <c r="E1223" s="19"/>
    </row>
    <row r="1224" spans="2:5" x14ac:dyDescent="0.25">
      <c r="B1224" s="19"/>
      <c r="C1224" s="19"/>
      <c r="D1224" s="17"/>
      <c r="E1224" s="19"/>
    </row>
    <row r="1225" spans="2:5" x14ac:dyDescent="0.25">
      <c r="B1225" s="19"/>
      <c r="C1225" s="19"/>
      <c r="D1225" s="17"/>
      <c r="E1225" s="19"/>
    </row>
    <row r="1226" spans="2:5" x14ac:dyDescent="0.25">
      <c r="B1226" s="19"/>
      <c r="C1226" s="19"/>
      <c r="D1226" s="17"/>
      <c r="E1226" s="19"/>
    </row>
    <row r="1227" spans="2:5" x14ac:dyDescent="0.25">
      <c r="B1227" s="19"/>
      <c r="C1227" s="19"/>
      <c r="D1227" s="17"/>
      <c r="E1227" s="19"/>
    </row>
    <row r="1228" spans="2:5" x14ac:dyDescent="0.25">
      <c r="B1228" s="19"/>
      <c r="C1228" s="19"/>
      <c r="D1228" s="17"/>
      <c r="E1228" s="19"/>
    </row>
    <row r="1229" spans="2:5" x14ac:dyDescent="0.25">
      <c r="B1229" s="19"/>
      <c r="C1229" s="19"/>
      <c r="D1229" s="17"/>
      <c r="E1229" s="19"/>
    </row>
    <row r="1230" spans="2:5" x14ac:dyDescent="0.25">
      <c r="B1230" s="19"/>
      <c r="C1230" s="19"/>
      <c r="D1230" s="17"/>
      <c r="E1230" s="19"/>
    </row>
    <row r="1231" spans="2:5" x14ac:dyDescent="0.25">
      <c r="B1231" s="19"/>
      <c r="C1231" s="19"/>
      <c r="D1231" s="17"/>
      <c r="E1231" s="19"/>
    </row>
    <row r="1232" spans="2:5" x14ac:dyDescent="0.25">
      <c r="B1232" s="19"/>
      <c r="C1232" s="19"/>
      <c r="D1232" s="17"/>
      <c r="E1232" s="19"/>
    </row>
    <row r="1233" spans="2:5" x14ac:dyDescent="0.25">
      <c r="B1233" s="19"/>
      <c r="C1233" s="19"/>
      <c r="D1233" s="17"/>
      <c r="E1233" s="19"/>
    </row>
    <row r="1234" spans="2:5" x14ac:dyDescent="0.25">
      <c r="B1234" s="19"/>
      <c r="C1234" s="19"/>
      <c r="D1234" s="17"/>
      <c r="E1234" s="19"/>
    </row>
    <row r="1235" spans="2:5" x14ac:dyDescent="0.25">
      <c r="B1235" s="19"/>
      <c r="C1235" s="19"/>
      <c r="D1235" s="17"/>
      <c r="E1235" s="19"/>
    </row>
    <row r="1236" spans="2:5" x14ac:dyDescent="0.25">
      <c r="B1236" s="19"/>
      <c r="C1236" s="19"/>
      <c r="D1236" s="17"/>
      <c r="E1236" s="19"/>
    </row>
    <row r="1237" spans="2:5" x14ac:dyDescent="0.25">
      <c r="B1237" s="19"/>
      <c r="C1237" s="19"/>
      <c r="D1237" s="17"/>
      <c r="E1237" s="19"/>
    </row>
    <row r="1238" spans="2:5" x14ac:dyDescent="0.25">
      <c r="B1238" s="19"/>
      <c r="C1238" s="19"/>
      <c r="D1238" s="17"/>
      <c r="E1238" s="19"/>
    </row>
    <row r="1239" spans="2:5" x14ac:dyDescent="0.25">
      <c r="B1239" s="19"/>
      <c r="C1239" s="19"/>
      <c r="D1239" s="17"/>
      <c r="E1239" s="19"/>
    </row>
    <row r="1240" spans="2:5" x14ac:dyDescent="0.25">
      <c r="B1240" s="19"/>
      <c r="C1240" s="19"/>
      <c r="D1240" s="17"/>
      <c r="E1240" s="19"/>
    </row>
    <row r="1241" spans="2:5" x14ac:dyDescent="0.25">
      <c r="B1241" s="19"/>
      <c r="C1241" s="19"/>
      <c r="D1241" s="17"/>
      <c r="E1241" s="19"/>
    </row>
    <row r="1242" spans="2:5" x14ac:dyDescent="0.25">
      <c r="B1242" s="19"/>
      <c r="C1242" s="19"/>
      <c r="D1242" s="17"/>
      <c r="E1242" s="19"/>
    </row>
    <row r="1243" spans="2:5" x14ac:dyDescent="0.25">
      <c r="B1243" s="19"/>
      <c r="C1243" s="19"/>
      <c r="D1243" s="17"/>
      <c r="E1243" s="19"/>
    </row>
    <row r="1244" spans="2:5" x14ac:dyDescent="0.25">
      <c r="B1244" s="19"/>
      <c r="C1244" s="19"/>
      <c r="D1244" s="17"/>
      <c r="E1244" s="19"/>
    </row>
    <row r="1245" spans="2:5" x14ac:dyDescent="0.25">
      <c r="B1245" s="19"/>
      <c r="C1245" s="19"/>
      <c r="D1245" s="17"/>
      <c r="E1245" s="19"/>
    </row>
    <row r="1246" spans="2:5" x14ac:dyDescent="0.25">
      <c r="B1246" s="19"/>
      <c r="C1246" s="19"/>
      <c r="D1246" s="17"/>
      <c r="E1246" s="19"/>
    </row>
    <row r="1247" spans="2:5" x14ac:dyDescent="0.25">
      <c r="B1247" s="19"/>
      <c r="C1247" s="19"/>
      <c r="D1247" s="17"/>
      <c r="E1247" s="19"/>
    </row>
    <row r="1248" spans="2:5" x14ac:dyDescent="0.25">
      <c r="B1248" s="19"/>
      <c r="C1248" s="19"/>
      <c r="D1248" s="17"/>
      <c r="E1248" s="19"/>
    </row>
    <row r="1249" spans="2:5" x14ac:dyDescent="0.25">
      <c r="B1249" s="19"/>
      <c r="C1249" s="19"/>
      <c r="D1249" s="17"/>
      <c r="E1249" s="19"/>
    </row>
    <row r="1250" spans="2:5" x14ac:dyDescent="0.25">
      <c r="B1250" s="19"/>
      <c r="C1250" s="19"/>
      <c r="D1250" s="17"/>
      <c r="E1250" s="19"/>
    </row>
    <row r="1251" spans="2:5" x14ac:dyDescent="0.25">
      <c r="B1251" s="19"/>
      <c r="C1251" s="19"/>
      <c r="D1251" s="17"/>
      <c r="E1251" s="19"/>
    </row>
    <row r="1252" spans="2:5" x14ac:dyDescent="0.25">
      <c r="B1252" s="19"/>
      <c r="C1252" s="19"/>
      <c r="D1252" s="17"/>
      <c r="E1252" s="19"/>
    </row>
    <row r="1253" spans="2:5" x14ac:dyDescent="0.25">
      <c r="B1253" s="19"/>
      <c r="C1253" s="19"/>
      <c r="D1253" s="17"/>
      <c r="E1253" s="19"/>
    </row>
    <row r="1254" spans="2:5" x14ac:dyDescent="0.25">
      <c r="B1254" s="19"/>
      <c r="C1254" s="19"/>
      <c r="D1254" s="17"/>
      <c r="E1254" s="19"/>
    </row>
    <row r="1255" spans="2:5" x14ac:dyDescent="0.25">
      <c r="B1255" s="19"/>
      <c r="C1255" s="19"/>
      <c r="D1255" s="17"/>
      <c r="E1255" s="19"/>
    </row>
    <row r="1256" spans="2:5" x14ac:dyDescent="0.25">
      <c r="B1256" s="19"/>
      <c r="C1256" s="19"/>
      <c r="D1256" s="17"/>
      <c r="E1256" s="19"/>
    </row>
    <row r="1257" spans="2:5" x14ac:dyDescent="0.25">
      <c r="B1257" s="19"/>
      <c r="C1257" s="19"/>
      <c r="D1257" s="17"/>
      <c r="E1257" s="19"/>
    </row>
    <row r="1258" spans="2:5" x14ac:dyDescent="0.25">
      <c r="B1258" s="19"/>
      <c r="C1258" s="19"/>
      <c r="D1258" s="17"/>
      <c r="E1258" s="19"/>
    </row>
    <row r="1259" spans="2:5" x14ac:dyDescent="0.25">
      <c r="B1259" s="19"/>
      <c r="C1259" s="19"/>
      <c r="D1259" s="17"/>
      <c r="E1259" s="19"/>
    </row>
    <row r="1260" spans="2:5" x14ac:dyDescent="0.25">
      <c r="B1260" s="19"/>
      <c r="C1260" s="19"/>
      <c r="D1260" s="17"/>
      <c r="E1260" s="19"/>
    </row>
    <row r="1261" spans="2:5" x14ac:dyDescent="0.25">
      <c r="B1261" s="19"/>
      <c r="C1261" s="19"/>
      <c r="D1261" s="17"/>
      <c r="E1261" s="19"/>
    </row>
    <row r="1262" spans="2:5" x14ac:dyDescent="0.25">
      <c r="B1262" s="19"/>
      <c r="C1262" s="19"/>
      <c r="D1262" s="17"/>
      <c r="E1262" s="19"/>
    </row>
    <row r="1263" spans="2:5" x14ac:dyDescent="0.25">
      <c r="B1263" s="19"/>
      <c r="C1263" s="19"/>
      <c r="D1263" s="17"/>
      <c r="E1263" s="19"/>
    </row>
    <row r="1264" spans="2:5" x14ac:dyDescent="0.25">
      <c r="B1264" s="19"/>
      <c r="C1264" s="19"/>
      <c r="D1264" s="17"/>
      <c r="E1264" s="19"/>
    </row>
    <row r="1265" spans="2:5" x14ac:dyDescent="0.25">
      <c r="B1265" s="19"/>
      <c r="C1265" s="19"/>
      <c r="D1265" s="17"/>
      <c r="E1265" s="19"/>
    </row>
    <row r="1266" spans="2:5" x14ac:dyDescent="0.25">
      <c r="B1266" s="19"/>
      <c r="C1266" s="19"/>
      <c r="D1266" s="17"/>
      <c r="E1266" s="19"/>
    </row>
    <row r="1267" spans="2:5" x14ac:dyDescent="0.25">
      <c r="B1267" s="19"/>
      <c r="C1267" s="19"/>
      <c r="D1267" s="17"/>
      <c r="E1267" s="19"/>
    </row>
    <row r="1268" spans="2:5" x14ac:dyDescent="0.25">
      <c r="B1268" s="19"/>
      <c r="C1268" s="19"/>
      <c r="D1268" s="17"/>
      <c r="E1268" s="19"/>
    </row>
    <row r="1269" spans="2:5" x14ac:dyDescent="0.25">
      <c r="B1269" s="19"/>
      <c r="C1269" s="19"/>
      <c r="D1269" s="17"/>
      <c r="E1269" s="19"/>
    </row>
    <row r="1270" spans="2:5" x14ac:dyDescent="0.25">
      <c r="B1270" s="19"/>
      <c r="C1270" s="19"/>
      <c r="D1270" s="17"/>
      <c r="E1270" s="19"/>
    </row>
    <row r="1271" spans="2:5" x14ac:dyDescent="0.25">
      <c r="B1271" s="19"/>
      <c r="C1271" s="19"/>
      <c r="D1271" s="17"/>
      <c r="E1271" s="19"/>
    </row>
    <row r="1272" spans="2:5" x14ac:dyDescent="0.25">
      <c r="B1272" s="19"/>
      <c r="C1272" s="19"/>
      <c r="D1272" s="17"/>
      <c r="E1272" s="19"/>
    </row>
    <row r="1273" spans="2:5" x14ac:dyDescent="0.25">
      <c r="B1273" s="19"/>
      <c r="C1273" s="19"/>
      <c r="D1273" s="17"/>
      <c r="E1273" s="19"/>
    </row>
    <row r="1274" spans="2:5" x14ac:dyDescent="0.25">
      <c r="B1274" s="19"/>
      <c r="C1274" s="19"/>
      <c r="D1274" s="17"/>
      <c r="E1274" s="19"/>
    </row>
    <row r="1275" spans="2:5" x14ac:dyDescent="0.25">
      <c r="B1275" s="19"/>
      <c r="C1275" s="19"/>
      <c r="D1275" s="17"/>
      <c r="E1275" s="19"/>
    </row>
    <row r="1276" spans="2:5" x14ac:dyDescent="0.25">
      <c r="B1276" s="19"/>
      <c r="C1276" s="19"/>
      <c r="D1276" s="17"/>
      <c r="E1276" s="19"/>
    </row>
    <row r="1277" spans="2:5" x14ac:dyDescent="0.25">
      <c r="B1277" s="19"/>
      <c r="C1277" s="19"/>
      <c r="D1277" s="17"/>
      <c r="E1277" s="19"/>
    </row>
    <row r="1278" spans="2:5" x14ac:dyDescent="0.25">
      <c r="B1278" s="19"/>
      <c r="C1278" s="19"/>
      <c r="D1278" s="17"/>
      <c r="E1278" s="19"/>
    </row>
    <row r="1279" spans="2:5" x14ac:dyDescent="0.25">
      <c r="B1279" s="19"/>
      <c r="C1279" s="19"/>
      <c r="D1279" s="17"/>
      <c r="E1279" s="19"/>
    </row>
    <row r="1280" spans="2:5" x14ac:dyDescent="0.25">
      <c r="B1280" s="19"/>
      <c r="C1280" s="19"/>
      <c r="D1280" s="17"/>
      <c r="E1280" s="19"/>
    </row>
    <row r="1281" spans="2:5" x14ac:dyDescent="0.25">
      <c r="B1281" s="19"/>
      <c r="C1281" s="19"/>
      <c r="D1281" s="17"/>
      <c r="E1281" s="19"/>
    </row>
    <row r="1282" spans="2:5" x14ac:dyDescent="0.25">
      <c r="B1282" s="19"/>
      <c r="C1282" s="19"/>
      <c r="D1282" s="17"/>
      <c r="E1282" s="19"/>
    </row>
    <row r="1283" spans="2:5" x14ac:dyDescent="0.25">
      <c r="B1283" s="19"/>
      <c r="C1283" s="19"/>
      <c r="D1283" s="17"/>
      <c r="E1283" s="19"/>
    </row>
    <row r="1284" spans="2:5" x14ac:dyDescent="0.25">
      <c r="B1284" s="19"/>
      <c r="C1284" s="19"/>
      <c r="D1284" s="17"/>
      <c r="E1284" s="19"/>
    </row>
    <row r="1285" spans="2:5" x14ac:dyDescent="0.25">
      <c r="B1285" s="19"/>
      <c r="C1285" s="19"/>
      <c r="D1285" s="17"/>
      <c r="E1285" s="19"/>
    </row>
    <row r="1286" spans="2:5" x14ac:dyDescent="0.25">
      <c r="B1286" s="19"/>
      <c r="C1286" s="19"/>
      <c r="D1286" s="17"/>
      <c r="E1286" s="19"/>
    </row>
    <row r="1287" spans="2:5" x14ac:dyDescent="0.25">
      <c r="B1287" s="19"/>
      <c r="C1287" s="19"/>
      <c r="D1287" s="17"/>
      <c r="E1287" s="19"/>
    </row>
    <row r="1288" spans="2:5" x14ac:dyDescent="0.25">
      <c r="B1288" s="19"/>
      <c r="C1288" s="19"/>
      <c r="D1288" s="17"/>
      <c r="E1288" s="19"/>
    </row>
    <row r="1289" spans="2:5" x14ac:dyDescent="0.25">
      <c r="B1289" s="19"/>
      <c r="C1289" s="19"/>
      <c r="D1289" s="17"/>
      <c r="E1289" s="19"/>
    </row>
    <row r="1290" spans="2:5" x14ac:dyDescent="0.25">
      <c r="B1290" s="19"/>
      <c r="C1290" s="19"/>
      <c r="D1290" s="17"/>
      <c r="E1290" s="19"/>
    </row>
    <row r="1291" spans="2:5" x14ac:dyDescent="0.25">
      <c r="B1291" s="19"/>
      <c r="C1291" s="19"/>
      <c r="D1291" s="17"/>
      <c r="E1291" s="19"/>
    </row>
    <row r="1292" spans="2:5" x14ac:dyDescent="0.25">
      <c r="B1292" s="19"/>
      <c r="C1292" s="19"/>
      <c r="D1292" s="17"/>
      <c r="E1292" s="19"/>
    </row>
    <row r="1293" spans="2:5" x14ac:dyDescent="0.25">
      <c r="B1293" s="19"/>
      <c r="C1293" s="19"/>
      <c r="D1293" s="17"/>
      <c r="E1293" s="19"/>
    </row>
    <row r="1294" spans="2:5" x14ac:dyDescent="0.25">
      <c r="B1294" s="19"/>
      <c r="C1294" s="19"/>
      <c r="D1294" s="17"/>
      <c r="E1294" s="19"/>
    </row>
    <row r="1295" spans="2:5" x14ac:dyDescent="0.25">
      <c r="B1295" s="19"/>
      <c r="C1295" s="19"/>
      <c r="D1295" s="17"/>
      <c r="E1295" s="19"/>
    </row>
    <row r="1296" spans="2:5" x14ac:dyDescent="0.25">
      <c r="B1296" s="19"/>
      <c r="C1296" s="19"/>
      <c r="D1296" s="17"/>
      <c r="E1296" s="19"/>
    </row>
    <row r="1297" spans="2:5" x14ac:dyDescent="0.25">
      <c r="B1297" s="19"/>
      <c r="C1297" s="19"/>
      <c r="D1297" s="17"/>
      <c r="E1297" s="19"/>
    </row>
    <row r="1298" spans="2:5" x14ac:dyDescent="0.25">
      <c r="B1298" s="19"/>
      <c r="C1298" s="19"/>
      <c r="D1298" s="17"/>
      <c r="E1298" s="19"/>
    </row>
    <row r="1299" spans="2:5" x14ac:dyDescent="0.25">
      <c r="B1299" s="19"/>
      <c r="C1299" s="19"/>
      <c r="D1299" s="17"/>
      <c r="E1299" s="19"/>
    </row>
    <row r="1300" spans="2:5" x14ac:dyDescent="0.25">
      <c r="B1300" s="19"/>
      <c r="C1300" s="19"/>
      <c r="D1300" s="17"/>
      <c r="E1300" s="19"/>
    </row>
    <row r="1301" spans="2:5" x14ac:dyDescent="0.25">
      <c r="B1301" s="19"/>
      <c r="C1301" s="19"/>
      <c r="D1301" s="17"/>
      <c r="E1301" s="19"/>
    </row>
    <row r="1302" spans="2:5" x14ac:dyDescent="0.25">
      <c r="B1302" s="19"/>
      <c r="C1302" s="19"/>
      <c r="D1302" s="17"/>
      <c r="E1302" s="19"/>
    </row>
    <row r="1303" spans="2:5" x14ac:dyDescent="0.25">
      <c r="B1303" s="19"/>
      <c r="C1303" s="19"/>
      <c r="D1303" s="17"/>
      <c r="E1303" s="19"/>
    </row>
    <row r="1304" spans="2:5" x14ac:dyDescent="0.25">
      <c r="B1304" s="19"/>
      <c r="C1304" s="19"/>
      <c r="D1304" s="17"/>
      <c r="E1304" s="19"/>
    </row>
    <row r="1305" spans="2:5" x14ac:dyDescent="0.25">
      <c r="B1305" s="19"/>
      <c r="C1305" s="19"/>
      <c r="D1305" s="17"/>
      <c r="E1305" s="19"/>
    </row>
    <row r="1306" spans="2:5" x14ac:dyDescent="0.25">
      <c r="B1306" s="19"/>
      <c r="C1306" s="19"/>
      <c r="D1306" s="17"/>
      <c r="E1306" s="19"/>
    </row>
    <row r="1307" spans="2:5" x14ac:dyDescent="0.25">
      <c r="B1307" s="19"/>
      <c r="C1307" s="19"/>
      <c r="D1307" s="17"/>
      <c r="E1307" s="19"/>
    </row>
    <row r="1308" spans="2:5" x14ac:dyDescent="0.25">
      <c r="B1308" s="19"/>
      <c r="C1308" s="19"/>
      <c r="D1308" s="17"/>
      <c r="E1308" s="19"/>
    </row>
    <row r="1309" spans="2:5" x14ac:dyDescent="0.25">
      <c r="B1309" s="19"/>
      <c r="C1309" s="19"/>
      <c r="D1309" s="17"/>
      <c r="E1309" s="19"/>
    </row>
    <row r="1310" spans="2:5" x14ac:dyDescent="0.25">
      <c r="B1310" s="19"/>
      <c r="C1310" s="19"/>
      <c r="D1310" s="17"/>
      <c r="E1310" s="19"/>
    </row>
    <row r="1311" spans="2:5" x14ac:dyDescent="0.25">
      <c r="B1311" s="19"/>
      <c r="C1311" s="19"/>
      <c r="D1311" s="17"/>
      <c r="E1311" s="19"/>
    </row>
    <row r="1312" spans="2:5" x14ac:dyDescent="0.25">
      <c r="B1312" s="19"/>
      <c r="C1312" s="19"/>
      <c r="D1312" s="17"/>
      <c r="E1312" s="19"/>
    </row>
    <row r="1313" spans="2:5" x14ac:dyDescent="0.25">
      <c r="B1313" s="19"/>
      <c r="C1313" s="19"/>
      <c r="D1313" s="17"/>
      <c r="E1313" s="19"/>
    </row>
    <row r="1314" spans="2:5" x14ac:dyDescent="0.25">
      <c r="B1314" s="19"/>
      <c r="C1314" s="19"/>
      <c r="D1314" s="17"/>
      <c r="E1314" s="19"/>
    </row>
    <row r="1315" spans="2:5" x14ac:dyDescent="0.25">
      <c r="B1315" s="19"/>
      <c r="C1315" s="19"/>
      <c r="D1315" s="17"/>
      <c r="E1315" s="19"/>
    </row>
    <row r="1316" spans="2:5" x14ac:dyDescent="0.25">
      <c r="B1316" s="19"/>
      <c r="C1316" s="19"/>
      <c r="D1316" s="17"/>
      <c r="E1316" s="19"/>
    </row>
    <row r="1317" spans="2:5" x14ac:dyDescent="0.25">
      <c r="B1317" s="19"/>
      <c r="C1317" s="19"/>
      <c r="D1317" s="17"/>
      <c r="E1317" s="19"/>
    </row>
    <row r="1318" spans="2:5" x14ac:dyDescent="0.25">
      <c r="B1318" s="19"/>
      <c r="C1318" s="19"/>
      <c r="D1318" s="17"/>
      <c r="E1318" s="19"/>
    </row>
    <row r="1319" spans="2:5" x14ac:dyDescent="0.25">
      <c r="B1319" s="19"/>
      <c r="C1319" s="19"/>
      <c r="D1319" s="17"/>
      <c r="E1319" s="19"/>
    </row>
    <row r="1320" spans="2:5" x14ac:dyDescent="0.25">
      <c r="B1320" s="19"/>
      <c r="C1320" s="19"/>
      <c r="D1320" s="17"/>
      <c r="E1320" s="19"/>
    </row>
    <row r="1321" spans="2:5" x14ac:dyDescent="0.25">
      <c r="B1321" s="19"/>
      <c r="C1321" s="19"/>
      <c r="D1321" s="17"/>
      <c r="E1321" s="19"/>
    </row>
    <row r="1322" spans="2:5" x14ac:dyDescent="0.25">
      <c r="B1322" s="19"/>
      <c r="C1322" s="19"/>
      <c r="D1322" s="17"/>
      <c r="E1322" s="19"/>
    </row>
    <row r="1323" spans="2:5" x14ac:dyDescent="0.25">
      <c r="B1323" s="19"/>
      <c r="C1323" s="19"/>
      <c r="D1323" s="17"/>
      <c r="E1323" s="19"/>
    </row>
    <row r="1324" spans="2:5" x14ac:dyDescent="0.25">
      <c r="B1324" s="19"/>
      <c r="C1324" s="19"/>
      <c r="D1324" s="17"/>
      <c r="E1324" s="19"/>
    </row>
    <row r="1325" spans="2:5" x14ac:dyDescent="0.25">
      <c r="B1325" s="19"/>
      <c r="C1325" s="19"/>
      <c r="D1325" s="17"/>
      <c r="E1325" s="19"/>
    </row>
    <row r="1326" spans="2:5" x14ac:dyDescent="0.25">
      <c r="B1326" s="19"/>
      <c r="C1326" s="19"/>
      <c r="D1326" s="17"/>
      <c r="E1326" s="19"/>
    </row>
    <row r="1327" spans="2:5" x14ac:dyDescent="0.25">
      <c r="B1327" s="19"/>
      <c r="C1327" s="19"/>
      <c r="D1327" s="17"/>
      <c r="E1327" s="19"/>
    </row>
    <row r="1328" spans="2:5" x14ac:dyDescent="0.25">
      <c r="B1328" s="19"/>
      <c r="C1328" s="19"/>
      <c r="D1328" s="17"/>
      <c r="E1328" s="19"/>
    </row>
    <row r="1329" spans="2:5" x14ac:dyDescent="0.25">
      <c r="B1329" s="19"/>
      <c r="C1329" s="19"/>
      <c r="D1329" s="17"/>
      <c r="E1329" s="19"/>
    </row>
    <row r="1330" spans="2:5" x14ac:dyDescent="0.25">
      <c r="B1330" s="19"/>
      <c r="C1330" s="19"/>
      <c r="D1330" s="17"/>
      <c r="E1330" s="19"/>
    </row>
    <row r="1331" spans="2:5" x14ac:dyDescent="0.25">
      <c r="B1331" s="19"/>
      <c r="C1331" s="19"/>
      <c r="D1331" s="17"/>
      <c r="E1331" s="19"/>
    </row>
    <row r="1332" spans="2:5" x14ac:dyDescent="0.25">
      <c r="B1332" s="19"/>
      <c r="C1332" s="19"/>
      <c r="D1332" s="17"/>
      <c r="E1332" s="19"/>
    </row>
    <row r="1333" spans="2:5" x14ac:dyDescent="0.25">
      <c r="B1333" s="19"/>
      <c r="C1333" s="19"/>
      <c r="D1333" s="17"/>
      <c r="E1333" s="19"/>
    </row>
    <row r="1334" spans="2:5" x14ac:dyDescent="0.25">
      <c r="B1334" s="19"/>
      <c r="C1334" s="19"/>
      <c r="D1334" s="17"/>
      <c r="E1334" s="19"/>
    </row>
    <row r="1335" spans="2:5" x14ac:dyDescent="0.25">
      <c r="B1335" s="19"/>
      <c r="C1335" s="19"/>
      <c r="D1335" s="17"/>
      <c r="E1335" s="19"/>
    </row>
    <row r="1336" spans="2:5" x14ac:dyDescent="0.25">
      <c r="B1336" s="19"/>
      <c r="C1336" s="19"/>
      <c r="D1336" s="17"/>
      <c r="E1336" s="19"/>
    </row>
    <row r="1337" spans="2:5" x14ac:dyDescent="0.25">
      <c r="B1337" s="19"/>
      <c r="C1337" s="19"/>
      <c r="D1337" s="17"/>
      <c r="E1337" s="19"/>
    </row>
    <row r="1338" spans="2:5" x14ac:dyDescent="0.25">
      <c r="B1338" s="19"/>
      <c r="C1338" s="19"/>
      <c r="D1338" s="17"/>
      <c r="E1338" s="19"/>
    </row>
    <row r="1339" spans="2:5" x14ac:dyDescent="0.25">
      <c r="B1339" s="19"/>
      <c r="C1339" s="19"/>
      <c r="D1339" s="17"/>
      <c r="E1339" s="19"/>
    </row>
    <row r="1340" spans="2:5" x14ac:dyDescent="0.25">
      <c r="B1340" s="19"/>
      <c r="C1340" s="19"/>
      <c r="D1340" s="17"/>
      <c r="E1340" s="19"/>
    </row>
    <row r="1341" spans="2:5" x14ac:dyDescent="0.25">
      <c r="B1341" s="19"/>
      <c r="C1341" s="19"/>
      <c r="D1341" s="17"/>
      <c r="E1341" s="19"/>
    </row>
    <row r="1342" spans="2:5" x14ac:dyDescent="0.25">
      <c r="B1342" s="19"/>
      <c r="C1342" s="19"/>
      <c r="D1342" s="17"/>
      <c r="E1342" s="19"/>
    </row>
    <row r="1343" spans="2:5" x14ac:dyDescent="0.25">
      <c r="B1343" s="19"/>
      <c r="C1343" s="19"/>
      <c r="D1343" s="17"/>
      <c r="E1343" s="19"/>
    </row>
    <row r="1344" spans="2:5" x14ac:dyDescent="0.25">
      <c r="B1344" s="19"/>
      <c r="C1344" s="19"/>
      <c r="D1344" s="17"/>
      <c r="E1344" s="19"/>
    </row>
    <row r="1345" spans="2:5" x14ac:dyDescent="0.25">
      <c r="B1345" s="19"/>
      <c r="C1345" s="19"/>
      <c r="D1345" s="17"/>
      <c r="E1345" s="19"/>
    </row>
    <row r="1346" spans="2:5" x14ac:dyDescent="0.25">
      <c r="B1346" s="19"/>
      <c r="C1346" s="19"/>
      <c r="D1346" s="17"/>
      <c r="E1346" s="19"/>
    </row>
    <row r="1347" spans="2:5" x14ac:dyDescent="0.25">
      <c r="B1347" s="19"/>
      <c r="C1347" s="19"/>
      <c r="D1347" s="17"/>
      <c r="E1347" s="19"/>
    </row>
    <row r="1348" spans="2:5" x14ac:dyDescent="0.25">
      <c r="B1348" s="19"/>
      <c r="C1348" s="19"/>
      <c r="D1348" s="17"/>
      <c r="E1348" s="19"/>
    </row>
    <row r="1349" spans="2:5" x14ac:dyDescent="0.25">
      <c r="B1349" s="19"/>
      <c r="C1349" s="19"/>
      <c r="D1349" s="17"/>
      <c r="E1349" s="19"/>
    </row>
    <row r="1350" spans="2:5" x14ac:dyDescent="0.25">
      <c r="B1350" s="19"/>
      <c r="C1350" s="19"/>
      <c r="D1350" s="17"/>
      <c r="E1350" s="19"/>
    </row>
    <row r="1351" spans="2:5" x14ac:dyDescent="0.25">
      <c r="B1351" s="19"/>
      <c r="C1351" s="19"/>
      <c r="D1351" s="17"/>
      <c r="E1351" s="19"/>
    </row>
    <row r="1352" spans="2:5" x14ac:dyDescent="0.25">
      <c r="B1352" s="19"/>
      <c r="C1352" s="19"/>
      <c r="D1352" s="17"/>
      <c r="E1352" s="19"/>
    </row>
    <row r="1353" spans="2:5" x14ac:dyDescent="0.25">
      <c r="B1353" s="19"/>
      <c r="C1353" s="19"/>
      <c r="D1353" s="17"/>
      <c r="E1353" s="19"/>
    </row>
    <row r="1354" spans="2:5" x14ac:dyDescent="0.25">
      <c r="B1354" s="19"/>
      <c r="C1354" s="19"/>
      <c r="D1354" s="17"/>
      <c r="E1354" s="19"/>
    </row>
    <row r="1355" spans="2:5" x14ac:dyDescent="0.25">
      <c r="B1355" s="19"/>
      <c r="C1355" s="19"/>
      <c r="D1355" s="17"/>
      <c r="E1355" s="19"/>
    </row>
    <row r="1356" spans="2:5" x14ac:dyDescent="0.25">
      <c r="B1356" s="19"/>
      <c r="C1356" s="19"/>
      <c r="D1356" s="17"/>
      <c r="E1356" s="19"/>
    </row>
    <row r="1357" spans="2:5" x14ac:dyDescent="0.25">
      <c r="B1357" s="19"/>
      <c r="C1357" s="19"/>
      <c r="D1357" s="17"/>
      <c r="E1357" s="19"/>
    </row>
    <row r="1358" spans="2:5" x14ac:dyDescent="0.25">
      <c r="B1358" s="19"/>
      <c r="C1358" s="19"/>
      <c r="D1358" s="17"/>
      <c r="E1358" s="19"/>
    </row>
    <row r="1359" spans="2:5" x14ac:dyDescent="0.25">
      <c r="B1359" s="19"/>
      <c r="C1359" s="19"/>
      <c r="D1359" s="17"/>
      <c r="E1359" s="19"/>
    </row>
    <row r="1360" spans="2:5" x14ac:dyDescent="0.25">
      <c r="B1360" s="19"/>
      <c r="C1360" s="19"/>
      <c r="D1360" s="17"/>
      <c r="E1360" s="19"/>
    </row>
    <row r="1361" spans="2:5" x14ac:dyDescent="0.25">
      <c r="B1361" s="19"/>
      <c r="C1361" s="19"/>
      <c r="D1361" s="17"/>
      <c r="E1361" s="19"/>
    </row>
    <row r="1362" spans="2:5" x14ac:dyDescent="0.25">
      <c r="B1362" s="19"/>
      <c r="C1362" s="19"/>
      <c r="D1362" s="17"/>
      <c r="E1362" s="19"/>
    </row>
    <row r="1363" spans="2:5" x14ac:dyDescent="0.25">
      <c r="B1363" s="19"/>
      <c r="C1363" s="19"/>
      <c r="D1363" s="17"/>
      <c r="E1363" s="19"/>
    </row>
    <row r="1364" spans="2:5" x14ac:dyDescent="0.25">
      <c r="B1364" s="19"/>
      <c r="C1364" s="19"/>
      <c r="D1364" s="17"/>
      <c r="E1364" s="19"/>
    </row>
    <row r="1365" spans="2:5" x14ac:dyDescent="0.25">
      <c r="B1365" s="19"/>
      <c r="C1365" s="19"/>
      <c r="D1365" s="17"/>
      <c r="E1365" s="19"/>
    </row>
    <row r="1366" spans="2:5" x14ac:dyDescent="0.25">
      <c r="B1366" s="19"/>
      <c r="C1366" s="19"/>
      <c r="D1366" s="17"/>
      <c r="E1366" s="19"/>
    </row>
    <row r="1367" spans="2:5" x14ac:dyDescent="0.25">
      <c r="B1367" s="19"/>
      <c r="C1367" s="19"/>
      <c r="D1367" s="17"/>
      <c r="E1367" s="19"/>
    </row>
    <row r="1368" spans="2:5" x14ac:dyDescent="0.25">
      <c r="B1368" s="19"/>
      <c r="C1368" s="19"/>
      <c r="D1368" s="17"/>
      <c r="E1368" s="19"/>
    </row>
    <row r="1369" spans="2:5" x14ac:dyDescent="0.25">
      <c r="B1369" s="19"/>
      <c r="C1369" s="19"/>
      <c r="D1369" s="17"/>
      <c r="E1369" s="19"/>
    </row>
    <row r="1370" spans="2:5" x14ac:dyDescent="0.25">
      <c r="B1370" s="19"/>
      <c r="C1370" s="19"/>
      <c r="D1370" s="17"/>
      <c r="E1370" s="19"/>
    </row>
    <row r="1371" spans="2:5" x14ac:dyDescent="0.25">
      <c r="B1371" s="19"/>
      <c r="C1371" s="19"/>
      <c r="D1371" s="17"/>
      <c r="E1371" s="19"/>
    </row>
    <row r="1372" spans="2:5" x14ac:dyDescent="0.25">
      <c r="B1372" s="19"/>
      <c r="C1372" s="19"/>
      <c r="D1372" s="17"/>
      <c r="E1372" s="19"/>
    </row>
    <row r="1373" spans="2:5" x14ac:dyDescent="0.25">
      <c r="B1373" s="19"/>
      <c r="C1373" s="19"/>
      <c r="D1373" s="17"/>
      <c r="E1373" s="19"/>
    </row>
    <row r="1374" spans="2:5" x14ac:dyDescent="0.25">
      <c r="B1374" s="19"/>
      <c r="C1374" s="19"/>
      <c r="D1374" s="17"/>
      <c r="E1374" s="19"/>
    </row>
    <row r="1375" spans="2:5" x14ac:dyDescent="0.25">
      <c r="B1375" s="19"/>
      <c r="C1375" s="19"/>
      <c r="D1375" s="17"/>
      <c r="E1375" s="19"/>
    </row>
    <row r="1376" spans="2:5" x14ac:dyDescent="0.25">
      <c r="B1376" s="19"/>
      <c r="C1376" s="19"/>
      <c r="D1376" s="17"/>
      <c r="E1376" s="19"/>
    </row>
    <row r="1377" spans="2:5" x14ac:dyDescent="0.25">
      <c r="B1377" s="19"/>
      <c r="C1377" s="19"/>
      <c r="D1377" s="17"/>
      <c r="E1377" s="19"/>
    </row>
    <row r="1378" spans="2:5" x14ac:dyDescent="0.25">
      <c r="B1378" s="19"/>
      <c r="C1378" s="19"/>
      <c r="D1378" s="17"/>
      <c r="E1378" s="19"/>
    </row>
    <row r="1379" spans="2:5" x14ac:dyDescent="0.25">
      <c r="B1379" s="19"/>
      <c r="C1379" s="19"/>
      <c r="D1379" s="17"/>
      <c r="E1379" s="19"/>
    </row>
    <row r="1380" spans="2:5" x14ac:dyDescent="0.25">
      <c r="B1380" s="19"/>
      <c r="C1380" s="19"/>
      <c r="D1380" s="17"/>
      <c r="E1380" s="19"/>
    </row>
    <row r="1381" spans="2:5" x14ac:dyDescent="0.25">
      <c r="B1381" s="19"/>
      <c r="C1381" s="19"/>
      <c r="D1381" s="17"/>
      <c r="E1381" s="19"/>
    </row>
    <row r="1382" spans="2:5" x14ac:dyDescent="0.25">
      <c r="B1382" s="19"/>
      <c r="C1382" s="19"/>
      <c r="D1382" s="17"/>
      <c r="E1382" s="19"/>
    </row>
    <row r="1383" spans="2:5" x14ac:dyDescent="0.25">
      <c r="B1383" s="19"/>
      <c r="C1383" s="19"/>
      <c r="D1383" s="17"/>
      <c r="E1383" s="19"/>
    </row>
    <row r="1384" spans="2:5" x14ac:dyDescent="0.25">
      <c r="B1384" s="19"/>
      <c r="C1384" s="19"/>
      <c r="D1384" s="17"/>
      <c r="E1384" s="19"/>
    </row>
    <row r="1385" spans="2:5" x14ac:dyDescent="0.25">
      <c r="B1385" s="19"/>
      <c r="C1385" s="19"/>
      <c r="D1385" s="17"/>
      <c r="E1385" s="19"/>
    </row>
    <row r="1386" spans="2:5" x14ac:dyDescent="0.25">
      <c r="B1386" s="19"/>
      <c r="C1386" s="19"/>
      <c r="D1386" s="17"/>
      <c r="E1386" s="19"/>
    </row>
    <row r="1387" spans="2:5" x14ac:dyDescent="0.25">
      <c r="B1387" s="19"/>
      <c r="C1387" s="19"/>
      <c r="D1387" s="17"/>
      <c r="E1387" s="19"/>
    </row>
    <row r="1388" spans="2:5" x14ac:dyDescent="0.25">
      <c r="B1388" s="19"/>
      <c r="C1388" s="19"/>
      <c r="D1388" s="17"/>
      <c r="E1388" s="19"/>
    </row>
    <row r="1389" spans="2:5" x14ac:dyDescent="0.25">
      <c r="B1389" s="19"/>
      <c r="C1389" s="19"/>
      <c r="D1389" s="17"/>
      <c r="E1389" s="19"/>
    </row>
    <row r="1390" spans="2:5" x14ac:dyDescent="0.25">
      <c r="B1390" s="19"/>
      <c r="C1390" s="19"/>
      <c r="D1390" s="17"/>
      <c r="E1390" s="19"/>
    </row>
    <row r="1391" spans="2:5" x14ac:dyDescent="0.25">
      <c r="B1391" s="19"/>
      <c r="C1391" s="19"/>
      <c r="D1391" s="17"/>
      <c r="E1391" s="19"/>
    </row>
    <row r="1392" spans="2:5" x14ac:dyDescent="0.25">
      <c r="B1392" s="19"/>
      <c r="C1392" s="19"/>
      <c r="D1392" s="17"/>
      <c r="E1392" s="19"/>
    </row>
    <row r="1393" spans="2:5" x14ac:dyDescent="0.25">
      <c r="B1393" s="19"/>
      <c r="C1393" s="19"/>
      <c r="D1393" s="17"/>
      <c r="E1393" s="19"/>
    </row>
    <row r="1394" spans="2:5" x14ac:dyDescent="0.25">
      <c r="B1394" s="19"/>
      <c r="C1394" s="19"/>
      <c r="D1394" s="17"/>
      <c r="E1394" s="19"/>
    </row>
    <row r="1395" spans="2:5" x14ac:dyDescent="0.25">
      <c r="B1395" s="19"/>
      <c r="C1395" s="19"/>
      <c r="D1395" s="17"/>
      <c r="E1395" s="19"/>
    </row>
    <row r="1396" spans="2:5" x14ac:dyDescent="0.25">
      <c r="B1396" s="19"/>
      <c r="C1396" s="19"/>
      <c r="D1396" s="17"/>
      <c r="E1396" s="19"/>
    </row>
    <row r="1397" spans="2:5" x14ac:dyDescent="0.25">
      <c r="B1397" s="19"/>
      <c r="C1397" s="19"/>
      <c r="D1397" s="17"/>
      <c r="E1397" s="19"/>
    </row>
    <row r="1398" spans="2:5" x14ac:dyDescent="0.25">
      <c r="B1398" s="19"/>
      <c r="C1398" s="19"/>
      <c r="D1398" s="17"/>
      <c r="E1398" s="19"/>
    </row>
    <row r="1399" spans="2:5" x14ac:dyDescent="0.25">
      <c r="B1399" s="19"/>
      <c r="C1399" s="19"/>
      <c r="D1399" s="17"/>
      <c r="E1399" s="19"/>
    </row>
    <row r="1400" spans="2:5" x14ac:dyDescent="0.25">
      <c r="B1400" s="19"/>
      <c r="C1400" s="19"/>
      <c r="D1400" s="17"/>
      <c r="E1400" s="19"/>
    </row>
    <row r="1401" spans="2:5" x14ac:dyDescent="0.25">
      <c r="B1401" s="19"/>
      <c r="C1401" s="19"/>
      <c r="D1401" s="17"/>
      <c r="E1401" s="19"/>
    </row>
    <row r="1402" spans="2:5" x14ac:dyDescent="0.25">
      <c r="B1402" s="19"/>
      <c r="C1402" s="19"/>
      <c r="D1402" s="17"/>
      <c r="E1402" s="19"/>
    </row>
    <row r="1403" spans="2:5" x14ac:dyDescent="0.25">
      <c r="B1403" s="19"/>
      <c r="C1403" s="19"/>
      <c r="D1403" s="17"/>
      <c r="E1403" s="19"/>
    </row>
    <row r="1404" spans="2:5" x14ac:dyDescent="0.25">
      <c r="B1404" s="19"/>
      <c r="C1404" s="19"/>
      <c r="D1404" s="17"/>
      <c r="E1404" s="19"/>
    </row>
    <row r="1405" spans="2:5" x14ac:dyDescent="0.25">
      <c r="B1405" s="19"/>
      <c r="C1405" s="19"/>
      <c r="D1405" s="17"/>
      <c r="E1405" s="19"/>
    </row>
    <row r="1406" spans="2:5" x14ac:dyDescent="0.25">
      <c r="B1406" s="19"/>
      <c r="C1406" s="19"/>
      <c r="D1406" s="17"/>
      <c r="E1406" s="19"/>
    </row>
    <row r="1407" spans="2:5" x14ac:dyDescent="0.25">
      <c r="B1407" s="19"/>
      <c r="C1407" s="19"/>
      <c r="D1407" s="17"/>
      <c r="E1407" s="19"/>
    </row>
    <row r="1408" spans="2:5" x14ac:dyDescent="0.25">
      <c r="B1408" s="19"/>
      <c r="C1408" s="19"/>
      <c r="D1408" s="17"/>
      <c r="E1408" s="19"/>
    </row>
    <row r="1409" spans="2:5" x14ac:dyDescent="0.25">
      <c r="B1409" s="19"/>
      <c r="C1409" s="19"/>
      <c r="D1409" s="17"/>
      <c r="E1409" s="19"/>
    </row>
    <row r="1410" spans="2:5" x14ac:dyDescent="0.25">
      <c r="B1410" s="19"/>
      <c r="C1410" s="19"/>
      <c r="D1410" s="17"/>
      <c r="E1410" s="19"/>
    </row>
    <row r="1411" spans="2:5" x14ac:dyDescent="0.25">
      <c r="B1411" s="19"/>
      <c r="C1411" s="19"/>
      <c r="D1411" s="17"/>
      <c r="E1411" s="19"/>
    </row>
    <row r="1412" spans="2:5" x14ac:dyDescent="0.25">
      <c r="B1412" s="19"/>
      <c r="C1412" s="19"/>
      <c r="D1412" s="17"/>
      <c r="E1412" s="19"/>
    </row>
    <row r="1413" spans="2:5" x14ac:dyDescent="0.25">
      <c r="B1413" s="19"/>
      <c r="C1413" s="19"/>
      <c r="D1413" s="17"/>
      <c r="E1413" s="19"/>
    </row>
    <row r="1414" spans="2:5" x14ac:dyDescent="0.25">
      <c r="B1414" s="19"/>
      <c r="C1414" s="19"/>
      <c r="D1414" s="17"/>
      <c r="E1414" s="19"/>
    </row>
    <row r="1415" spans="2:5" x14ac:dyDescent="0.25">
      <c r="B1415" s="19"/>
      <c r="C1415" s="19"/>
      <c r="D1415" s="17"/>
      <c r="E1415" s="19"/>
    </row>
    <row r="1416" spans="2:5" x14ac:dyDescent="0.25">
      <c r="B1416" s="19"/>
      <c r="C1416" s="19"/>
      <c r="D1416" s="17"/>
      <c r="E1416" s="19"/>
    </row>
    <row r="1417" spans="2:5" x14ac:dyDescent="0.25">
      <c r="B1417" s="19"/>
      <c r="C1417" s="19"/>
      <c r="D1417" s="17"/>
      <c r="E1417" s="19"/>
    </row>
    <row r="1418" spans="2:5" x14ac:dyDescent="0.25">
      <c r="B1418" s="19"/>
      <c r="C1418" s="19"/>
      <c r="D1418" s="17"/>
      <c r="E1418" s="19"/>
    </row>
    <row r="1419" spans="2:5" x14ac:dyDescent="0.25">
      <c r="B1419" s="19"/>
      <c r="C1419" s="19"/>
      <c r="D1419" s="17"/>
      <c r="E1419" s="19"/>
    </row>
    <row r="1420" spans="2:5" x14ac:dyDescent="0.25">
      <c r="B1420" s="19"/>
      <c r="C1420" s="19"/>
      <c r="D1420" s="17"/>
      <c r="E1420" s="19"/>
    </row>
    <row r="1421" spans="2:5" x14ac:dyDescent="0.25">
      <c r="B1421" s="19"/>
      <c r="C1421" s="19"/>
      <c r="D1421" s="17"/>
      <c r="E1421" s="19"/>
    </row>
    <row r="1422" spans="2:5" x14ac:dyDescent="0.25">
      <c r="B1422" s="19"/>
      <c r="C1422" s="19"/>
      <c r="D1422" s="17"/>
      <c r="E1422" s="19"/>
    </row>
    <row r="1423" spans="2:5" x14ac:dyDescent="0.25">
      <c r="B1423" s="19"/>
      <c r="C1423" s="19"/>
      <c r="D1423" s="17"/>
      <c r="E1423" s="19"/>
    </row>
    <row r="1424" spans="2:5" x14ac:dyDescent="0.25">
      <c r="B1424" s="19"/>
      <c r="C1424" s="19"/>
      <c r="D1424" s="17"/>
      <c r="E1424" s="19"/>
    </row>
    <row r="1425" spans="2:5" x14ac:dyDescent="0.25">
      <c r="B1425" s="19"/>
      <c r="C1425" s="19"/>
      <c r="D1425" s="17"/>
      <c r="E1425" s="19"/>
    </row>
    <row r="1426" spans="2:5" x14ac:dyDescent="0.25">
      <c r="B1426" s="19"/>
      <c r="C1426" s="19"/>
      <c r="D1426" s="17"/>
      <c r="E1426" s="19"/>
    </row>
    <row r="1427" spans="2:5" x14ac:dyDescent="0.25">
      <c r="B1427" s="19"/>
      <c r="C1427" s="19"/>
      <c r="D1427" s="17"/>
      <c r="E1427" s="19"/>
    </row>
    <row r="1428" spans="2:5" x14ac:dyDescent="0.25">
      <c r="B1428" s="19"/>
      <c r="C1428" s="19"/>
      <c r="D1428" s="17"/>
      <c r="E1428" s="19"/>
    </row>
    <row r="1429" spans="2:5" x14ac:dyDescent="0.25">
      <c r="B1429" s="19"/>
      <c r="C1429" s="19"/>
      <c r="D1429" s="17"/>
      <c r="E1429" s="19"/>
    </row>
    <row r="1430" spans="2:5" x14ac:dyDescent="0.25">
      <c r="B1430" s="19"/>
      <c r="C1430" s="19"/>
      <c r="D1430" s="17"/>
      <c r="E1430" s="19"/>
    </row>
    <row r="1431" spans="2:5" x14ac:dyDescent="0.25">
      <c r="B1431" s="19"/>
      <c r="C1431" s="19"/>
      <c r="D1431" s="17"/>
      <c r="E1431" s="19"/>
    </row>
    <row r="1432" spans="2:5" x14ac:dyDescent="0.25">
      <c r="B1432" s="19"/>
      <c r="C1432" s="19"/>
      <c r="D1432" s="17"/>
      <c r="E1432" s="19"/>
    </row>
    <row r="1433" spans="2:5" x14ac:dyDescent="0.25">
      <c r="B1433" s="19"/>
      <c r="C1433" s="19"/>
      <c r="D1433" s="17"/>
      <c r="E1433" s="19"/>
    </row>
    <row r="1434" spans="2:5" x14ac:dyDescent="0.25">
      <c r="B1434" s="19"/>
      <c r="C1434" s="19"/>
      <c r="D1434" s="17"/>
      <c r="E1434" s="19"/>
    </row>
    <row r="1435" spans="2:5" x14ac:dyDescent="0.25">
      <c r="B1435" s="19"/>
      <c r="C1435" s="19"/>
      <c r="D1435" s="17"/>
      <c r="E1435" s="19"/>
    </row>
    <row r="1436" spans="2:5" x14ac:dyDescent="0.25">
      <c r="B1436" s="19"/>
      <c r="C1436" s="19"/>
      <c r="D1436" s="17"/>
      <c r="E1436" s="19"/>
    </row>
    <row r="1437" spans="2:5" x14ac:dyDescent="0.25">
      <c r="B1437" s="19"/>
      <c r="C1437" s="19"/>
      <c r="D1437" s="17"/>
      <c r="E1437" s="19"/>
    </row>
    <row r="1438" spans="2:5" x14ac:dyDescent="0.25">
      <c r="B1438" s="19"/>
      <c r="C1438" s="19"/>
      <c r="D1438" s="17"/>
      <c r="E1438" s="19"/>
    </row>
    <row r="1439" spans="2:5" x14ac:dyDescent="0.25">
      <c r="B1439" s="19"/>
      <c r="C1439" s="19"/>
      <c r="D1439" s="17"/>
      <c r="E1439" s="19"/>
    </row>
    <row r="1440" spans="2:5" x14ac:dyDescent="0.25">
      <c r="B1440" s="19"/>
      <c r="C1440" s="19"/>
      <c r="D1440" s="17"/>
      <c r="E1440" s="19"/>
    </row>
    <row r="1441" spans="2:5" x14ac:dyDescent="0.25">
      <c r="B1441" s="19"/>
      <c r="C1441" s="19"/>
      <c r="D1441" s="17"/>
      <c r="E1441" s="19"/>
    </row>
    <row r="1442" spans="2:5" x14ac:dyDescent="0.25">
      <c r="B1442" s="19"/>
      <c r="C1442" s="19"/>
      <c r="D1442" s="17"/>
      <c r="E1442" s="19"/>
    </row>
    <row r="1443" spans="2:5" x14ac:dyDescent="0.25">
      <c r="B1443" s="19"/>
      <c r="C1443" s="19"/>
      <c r="D1443" s="17"/>
      <c r="E1443" s="19"/>
    </row>
    <row r="1444" spans="2:5" x14ac:dyDescent="0.25">
      <c r="B1444" s="19"/>
      <c r="C1444" s="19"/>
      <c r="D1444" s="17"/>
      <c r="E1444" s="19"/>
    </row>
    <row r="1445" spans="2:5" x14ac:dyDescent="0.25">
      <c r="B1445" s="19"/>
      <c r="C1445" s="19"/>
      <c r="D1445" s="17"/>
      <c r="E1445" s="19"/>
    </row>
    <row r="1446" spans="2:5" x14ac:dyDescent="0.25">
      <c r="B1446" s="19"/>
      <c r="C1446" s="19"/>
      <c r="D1446" s="17"/>
      <c r="E1446" s="19"/>
    </row>
    <row r="1447" spans="2:5" x14ac:dyDescent="0.25">
      <c r="B1447" s="19"/>
      <c r="C1447" s="19"/>
      <c r="D1447" s="17"/>
      <c r="E1447" s="19"/>
    </row>
    <row r="1448" spans="2:5" x14ac:dyDescent="0.25">
      <c r="B1448" s="19"/>
      <c r="C1448" s="19"/>
      <c r="D1448" s="17"/>
      <c r="E1448" s="19"/>
    </row>
    <row r="1449" spans="2:5" x14ac:dyDescent="0.25">
      <c r="B1449" s="19"/>
      <c r="C1449" s="19"/>
      <c r="D1449" s="17"/>
      <c r="E1449" s="19"/>
    </row>
    <row r="1450" spans="2:5" x14ac:dyDescent="0.25">
      <c r="B1450" s="19"/>
      <c r="C1450" s="19"/>
      <c r="D1450" s="17"/>
      <c r="E1450" s="19"/>
    </row>
    <row r="1451" spans="2:5" x14ac:dyDescent="0.25">
      <c r="B1451" s="19"/>
      <c r="C1451" s="19"/>
      <c r="D1451" s="17"/>
      <c r="E1451" s="19"/>
    </row>
    <row r="1452" spans="2:5" x14ac:dyDescent="0.25">
      <c r="B1452" s="19"/>
      <c r="C1452" s="19"/>
      <c r="D1452" s="17"/>
      <c r="E1452" s="19"/>
    </row>
    <row r="1453" spans="2:5" x14ac:dyDescent="0.25">
      <c r="B1453" s="19"/>
      <c r="C1453" s="19"/>
      <c r="D1453" s="17"/>
      <c r="E1453" s="19"/>
    </row>
    <row r="1454" spans="2:5" x14ac:dyDescent="0.25">
      <c r="B1454" s="19"/>
      <c r="C1454" s="19"/>
      <c r="D1454" s="17"/>
      <c r="E1454" s="19"/>
    </row>
    <row r="1455" spans="2:5" x14ac:dyDescent="0.25">
      <c r="B1455" s="19"/>
      <c r="C1455" s="19"/>
      <c r="D1455" s="17"/>
      <c r="E1455" s="19"/>
    </row>
    <row r="1456" spans="2:5" x14ac:dyDescent="0.25">
      <c r="B1456" s="19"/>
      <c r="C1456" s="19"/>
      <c r="D1456" s="17"/>
      <c r="E1456" s="19"/>
    </row>
    <row r="1457" spans="2:5" x14ac:dyDescent="0.25">
      <c r="B1457" s="19"/>
      <c r="C1457" s="19"/>
      <c r="D1457" s="17"/>
      <c r="E1457" s="19"/>
    </row>
    <row r="1458" spans="2:5" x14ac:dyDescent="0.25">
      <c r="B1458" s="19"/>
      <c r="C1458" s="19"/>
      <c r="D1458" s="17"/>
      <c r="E1458" s="19"/>
    </row>
    <row r="1459" spans="2:5" x14ac:dyDescent="0.25">
      <c r="B1459" s="19"/>
      <c r="C1459" s="19"/>
      <c r="D1459" s="17"/>
      <c r="E1459" s="19"/>
    </row>
    <row r="1460" spans="2:5" x14ac:dyDescent="0.25">
      <c r="B1460" s="19"/>
      <c r="C1460" s="19"/>
      <c r="D1460" s="17"/>
      <c r="E1460" s="19"/>
    </row>
    <row r="1461" spans="2:5" x14ac:dyDescent="0.25">
      <c r="B1461" s="19"/>
      <c r="C1461" s="19"/>
      <c r="D1461" s="17"/>
      <c r="E1461" s="19"/>
    </row>
    <row r="1462" spans="2:5" x14ac:dyDescent="0.25">
      <c r="B1462" s="19"/>
      <c r="C1462" s="19"/>
      <c r="D1462" s="17"/>
      <c r="E1462" s="19"/>
    </row>
    <row r="1463" spans="2:5" x14ac:dyDescent="0.25">
      <c r="B1463" s="19"/>
      <c r="C1463" s="19"/>
      <c r="D1463" s="17"/>
      <c r="E1463" s="19"/>
    </row>
    <row r="1464" spans="2:5" x14ac:dyDescent="0.25">
      <c r="B1464" s="19"/>
      <c r="C1464" s="19"/>
      <c r="D1464" s="17"/>
      <c r="E1464" s="19"/>
    </row>
    <row r="1465" spans="2:5" x14ac:dyDescent="0.25">
      <c r="B1465" s="19"/>
      <c r="C1465" s="19"/>
      <c r="D1465" s="17"/>
      <c r="E1465" s="19"/>
    </row>
    <row r="1466" spans="2:5" x14ac:dyDescent="0.25">
      <c r="B1466" s="19"/>
      <c r="C1466" s="19"/>
      <c r="D1466" s="17"/>
      <c r="E1466" s="19"/>
    </row>
    <row r="1467" spans="2:5" x14ac:dyDescent="0.25">
      <c r="B1467" s="19"/>
      <c r="C1467" s="19"/>
      <c r="D1467" s="17"/>
      <c r="E1467" s="19"/>
    </row>
    <row r="1468" spans="2:5" x14ac:dyDescent="0.25">
      <c r="B1468" s="19"/>
      <c r="C1468" s="19"/>
      <c r="D1468" s="17"/>
      <c r="E1468" s="19"/>
    </row>
    <row r="1469" spans="2:5" x14ac:dyDescent="0.25">
      <c r="B1469" s="19"/>
      <c r="C1469" s="19"/>
      <c r="D1469" s="17"/>
      <c r="E1469" s="19"/>
    </row>
    <row r="1470" spans="2:5" x14ac:dyDescent="0.25">
      <c r="B1470" s="19"/>
      <c r="C1470" s="19"/>
      <c r="D1470" s="17"/>
      <c r="E1470" s="19"/>
    </row>
    <row r="1471" spans="2:5" x14ac:dyDescent="0.25">
      <c r="B1471" s="19"/>
      <c r="C1471" s="19"/>
      <c r="D1471" s="17"/>
      <c r="E1471" s="19"/>
    </row>
    <row r="1472" spans="2:5" x14ac:dyDescent="0.25">
      <c r="B1472" s="19"/>
      <c r="C1472" s="19"/>
      <c r="D1472" s="17"/>
      <c r="E1472" s="19"/>
    </row>
    <row r="1473" spans="2:5" x14ac:dyDescent="0.25">
      <c r="B1473" s="19"/>
      <c r="C1473" s="19"/>
      <c r="D1473" s="17"/>
      <c r="E1473" s="19"/>
    </row>
    <row r="1474" spans="2:5" x14ac:dyDescent="0.25">
      <c r="B1474" s="19"/>
      <c r="C1474" s="19"/>
      <c r="D1474" s="17"/>
      <c r="E1474" s="19"/>
    </row>
    <row r="1475" spans="2:5" x14ac:dyDescent="0.25">
      <c r="B1475" s="19"/>
      <c r="C1475" s="19"/>
      <c r="D1475" s="17"/>
      <c r="E1475" s="19"/>
    </row>
    <row r="1476" spans="2:5" x14ac:dyDescent="0.25">
      <c r="B1476" s="19"/>
      <c r="C1476" s="19"/>
      <c r="D1476" s="17"/>
      <c r="E1476" s="19"/>
    </row>
    <row r="1477" spans="2:5" x14ac:dyDescent="0.25">
      <c r="B1477" s="19"/>
      <c r="C1477" s="19"/>
      <c r="D1477" s="17"/>
      <c r="E1477" s="19"/>
    </row>
    <row r="1478" spans="2:5" x14ac:dyDescent="0.25">
      <c r="B1478" s="19"/>
      <c r="C1478" s="19"/>
      <c r="D1478" s="17"/>
      <c r="E1478" s="19"/>
    </row>
    <row r="1479" spans="2:5" x14ac:dyDescent="0.25">
      <c r="B1479" s="19"/>
      <c r="C1479" s="19"/>
      <c r="D1479" s="17"/>
      <c r="E1479" s="19"/>
    </row>
    <row r="1480" spans="2:5" x14ac:dyDescent="0.25">
      <c r="B1480" s="19"/>
      <c r="C1480" s="19"/>
      <c r="D1480" s="17"/>
      <c r="E1480" s="19"/>
    </row>
    <row r="1481" spans="2:5" x14ac:dyDescent="0.25">
      <c r="B1481" s="19"/>
      <c r="C1481" s="19"/>
      <c r="D1481" s="17"/>
      <c r="E1481" s="19"/>
    </row>
    <row r="1482" spans="2:5" x14ac:dyDescent="0.25">
      <c r="B1482" s="19"/>
      <c r="C1482" s="19"/>
      <c r="D1482" s="17"/>
      <c r="E1482" s="19"/>
    </row>
    <row r="1483" spans="2:5" x14ac:dyDescent="0.25">
      <c r="B1483" s="19"/>
      <c r="C1483" s="19"/>
      <c r="D1483" s="17"/>
      <c r="E1483" s="19"/>
    </row>
    <row r="1484" spans="2:5" x14ac:dyDescent="0.25">
      <c r="B1484" s="19"/>
      <c r="C1484" s="19"/>
      <c r="D1484" s="17"/>
      <c r="E1484" s="19"/>
    </row>
    <row r="1485" spans="2:5" x14ac:dyDescent="0.25">
      <c r="B1485" s="19"/>
      <c r="C1485" s="19"/>
      <c r="D1485" s="17"/>
      <c r="E1485" s="19"/>
    </row>
    <row r="1486" spans="2:5" x14ac:dyDescent="0.25">
      <c r="B1486" s="19"/>
      <c r="C1486" s="19"/>
      <c r="D1486" s="17"/>
      <c r="E1486" s="19"/>
    </row>
    <row r="1487" spans="2:5" x14ac:dyDescent="0.25">
      <c r="B1487" s="19"/>
      <c r="C1487" s="19"/>
      <c r="D1487" s="17"/>
      <c r="E1487" s="19"/>
    </row>
    <row r="1488" spans="2:5" x14ac:dyDescent="0.25">
      <c r="B1488" s="19"/>
      <c r="C1488" s="19"/>
      <c r="D1488" s="17"/>
      <c r="E1488" s="19"/>
    </row>
    <row r="1489" spans="2:5" x14ac:dyDescent="0.25">
      <c r="B1489" s="19"/>
      <c r="C1489" s="19"/>
      <c r="D1489" s="17"/>
      <c r="E1489" s="19"/>
    </row>
    <row r="1490" spans="2:5" x14ac:dyDescent="0.25">
      <c r="B1490" s="19"/>
      <c r="C1490" s="19"/>
      <c r="D1490" s="17"/>
      <c r="E1490" s="19"/>
    </row>
    <row r="1491" spans="2:5" x14ac:dyDescent="0.25">
      <c r="B1491" s="19"/>
      <c r="C1491" s="19"/>
      <c r="D1491" s="17"/>
      <c r="E1491" s="19"/>
    </row>
    <row r="1492" spans="2:5" x14ac:dyDescent="0.25">
      <c r="B1492" s="19"/>
      <c r="C1492" s="19"/>
      <c r="D1492" s="17"/>
      <c r="E1492" s="19"/>
    </row>
    <row r="1493" spans="2:5" x14ac:dyDescent="0.25">
      <c r="B1493" s="19"/>
      <c r="C1493" s="19"/>
      <c r="D1493" s="17"/>
      <c r="E1493" s="19"/>
    </row>
    <row r="1494" spans="2:5" x14ac:dyDescent="0.25">
      <c r="B1494" s="19"/>
      <c r="C1494" s="19"/>
      <c r="D1494" s="17"/>
      <c r="E1494" s="19"/>
    </row>
    <row r="1495" spans="2:5" x14ac:dyDescent="0.25">
      <c r="B1495" s="19"/>
      <c r="C1495" s="19"/>
      <c r="D1495" s="17"/>
      <c r="E1495" s="19"/>
    </row>
    <row r="1496" spans="2:5" x14ac:dyDescent="0.25">
      <c r="B1496" s="19"/>
      <c r="C1496" s="19"/>
      <c r="D1496" s="17"/>
      <c r="E1496" s="19"/>
    </row>
    <row r="1497" spans="2:5" x14ac:dyDescent="0.25">
      <c r="B1497" s="19"/>
      <c r="C1497" s="19"/>
      <c r="D1497" s="17"/>
      <c r="E1497" s="19"/>
    </row>
    <row r="1498" spans="2:5" x14ac:dyDescent="0.25">
      <c r="B1498" s="19"/>
      <c r="C1498" s="19"/>
      <c r="D1498" s="17"/>
      <c r="E1498" s="19"/>
    </row>
    <row r="1499" spans="2:5" x14ac:dyDescent="0.25">
      <c r="B1499" s="19"/>
      <c r="C1499" s="19"/>
      <c r="D1499" s="17"/>
      <c r="E1499" s="19"/>
    </row>
    <row r="1500" spans="2:5" x14ac:dyDescent="0.25">
      <c r="B1500" s="19"/>
      <c r="C1500" s="19"/>
      <c r="D1500" s="17"/>
      <c r="E1500" s="19"/>
    </row>
    <row r="1501" spans="2:5" x14ac:dyDescent="0.25">
      <c r="B1501" s="19"/>
      <c r="C1501" s="19"/>
      <c r="D1501" s="17"/>
      <c r="E1501" s="19"/>
    </row>
    <row r="1502" spans="2:5" x14ac:dyDescent="0.25">
      <c r="B1502" s="19"/>
      <c r="C1502" s="19"/>
      <c r="D1502" s="17"/>
      <c r="E1502" s="19"/>
    </row>
    <row r="1503" spans="2:5" x14ac:dyDescent="0.25">
      <c r="B1503" s="19"/>
      <c r="C1503" s="19"/>
      <c r="D1503" s="17"/>
      <c r="E1503" s="19"/>
    </row>
    <row r="1504" spans="2:5" x14ac:dyDescent="0.25">
      <c r="B1504" s="19"/>
      <c r="C1504" s="19"/>
      <c r="D1504" s="17"/>
      <c r="E1504" s="19"/>
    </row>
    <row r="1505" spans="2:5" x14ac:dyDescent="0.25">
      <c r="B1505" s="19"/>
      <c r="C1505" s="19"/>
      <c r="D1505" s="17"/>
      <c r="E1505" s="19"/>
    </row>
    <row r="1506" spans="2:5" x14ac:dyDescent="0.25">
      <c r="B1506" s="19"/>
      <c r="C1506" s="19"/>
      <c r="D1506" s="17"/>
      <c r="E1506" s="19"/>
    </row>
    <row r="1507" spans="2:5" x14ac:dyDescent="0.25">
      <c r="B1507" s="19"/>
      <c r="C1507" s="19"/>
      <c r="D1507" s="17"/>
      <c r="E1507" s="19"/>
    </row>
    <row r="1508" spans="2:5" x14ac:dyDescent="0.25">
      <c r="B1508" s="19"/>
      <c r="C1508" s="19"/>
      <c r="D1508" s="17"/>
      <c r="E1508" s="19"/>
    </row>
    <row r="1509" spans="2:5" x14ac:dyDescent="0.25">
      <c r="B1509" s="19"/>
      <c r="C1509" s="19"/>
      <c r="D1509" s="17"/>
      <c r="E1509" s="19"/>
    </row>
    <row r="1510" spans="2:5" x14ac:dyDescent="0.25">
      <c r="B1510" s="19"/>
      <c r="C1510" s="19"/>
      <c r="D1510" s="17"/>
      <c r="E1510" s="19"/>
    </row>
    <row r="1511" spans="2:5" x14ac:dyDescent="0.25">
      <c r="B1511" s="19"/>
      <c r="C1511" s="19"/>
      <c r="D1511" s="17"/>
      <c r="E1511" s="19"/>
    </row>
    <row r="1512" spans="2:5" x14ac:dyDescent="0.25">
      <c r="B1512" s="19"/>
      <c r="C1512" s="19"/>
      <c r="D1512" s="17"/>
      <c r="E1512" s="19"/>
    </row>
    <row r="1513" spans="2:5" x14ac:dyDescent="0.25">
      <c r="B1513" s="19"/>
      <c r="C1513" s="19"/>
      <c r="D1513" s="17"/>
      <c r="E1513" s="19"/>
    </row>
    <row r="1514" spans="2:5" x14ac:dyDescent="0.25">
      <c r="B1514" s="19"/>
      <c r="C1514" s="19"/>
      <c r="D1514" s="17"/>
      <c r="E1514" s="19"/>
    </row>
    <row r="1515" spans="2:5" x14ac:dyDescent="0.25">
      <c r="B1515" s="19"/>
      <c r="C1515" s="19"/>
      <c r="D1515" s="17"/>
      <c r="E1515" s="19"/>
    </row>
    <row r="1516" spans="2:5" x14ac:dyDescent="0.25">
      <c r="B1516" s="19"/>
      <c r="C1516" s="19"/>
      <c r="D1516" s="17"/>
      <c r="E1516" s="19"/>
    </row>
    <row r="1517" spans="2:5" x14ac:dyDescent="0.25">
      <c r="B1517" s="19"/>
      <c r="C1517" s="19"/>
      <c r="D1517" s="17"/>
      <c r="E1517" s="19"/>
    </row>
    <row r="1518" spans="2:5" x14ac:dyDescent="0.25">
      <c r="B1518" s="19"/>
      <c r="C1518" s="19"/>
      <c r="D1518" s="17"/>
      <c r="E1518" s="19"/>
    </row>
    <row r="1519" spans="2:5" x14ac:dyDescent="0.25">
      <c r="B1519" s="19"/>
      <c r="C1519" s="19"/>
      <c r="D1519" s="17"/>
      <c r="E1519" s="19"/>
    </row>
    <row r="1520" spans="2:5" x14ac:dyDescent="0.25">
      <c r="B1520" s="19"/>
      <c r="C1520" s="19"/>
      <c r="D1520" s="17"/>
      <c r="E1520" s="19"/>
    </row>
    <row r="1521" spans="2:5" x14ac:dyDescent="0.25">
      <c r="B1521" s="19"/>
      <c r="C1521" s="19"/>
      <c r="D1521" s="17"/>
      <c r="E1521" s="19"/>
    </row>
    <row r="1522" spans="2:5" x14ac:dyDescent="0.25">
      <c r="B1522" s="19"/>
      <c r="C1522" s="19"/>
      <c r="D1522" s="17"/>
      <c r="E1522" s="19"/>
    </row>
    <row r="1523" spans="2:5" x14ac:dyDescent="0.25">
      <c r="B1523" s="19"/>
      <c r="C1523" s="19"/>
      <c r="D1523" s="17"/>
      <c r="E1523" s="19"/>
    </row>
    <row r="1524" spans="2:5" x14ac:dyDescent="0.25">
      <c r="B1524" s="19"/>
      <c r="C1524" s="19"/>
      <c r="D1524" s="17"/>
      <c r="E1524" s="19"/>
    </row>
    <row r="1525" spans="2:5" x14ac:dyDescent="0.25">
      <c r="B1525" s="19"/>
      <c r="C1525" s="19"/>
      <c r="D1525" s="17"/>
      <c r="E1525" s="19"/>
    </row>
    <row r="1526" spans="2:5" x14ac:dyDescent="0.25">
      <c r="B1526" s="19"/>
      <c r="C1526" s="19"/>
      <c r="D1526" s="17"/>
      <c r="E1526" s="19"/>
    </row>
    <row r="1527" spans="2:5" x14ac:dyDescent="0.25">
      <c r="B1527" s="19"/>
      <c r="C1527" s="19"/>
      <c r="D1527" s="17"/>
      <c r="E1527" s="19"/>
    </row>
    <row r="1528" spans="2:5" x14ac:dyDescent="0.25">
      <c r="B1528" s="19"/>
      <c r="C1528" s="19"/>
      <c r="D1528" s="17"/>
      <c r="E1528" s="19"/>
    </row>
    <row r="1529" spans="2:5" x14ac:dyDescent="0.25">
      <c r="B1529" s="19"/>
      <c r="C1529" s="19"/>
      <c r="D1529" s="17"/>
      <c r="E1529" s="19"/>
    </row>
    <row r="1530" spans="2:5" x14ac:dyDescent="0.25">
      <c r="B1530" s="19"/>
      <c r="C1530" s="19"/>
      <c r="D1530" s="17"/>
      <c r="E1530" s="19"/>
    </row>
    <row r="1531" spans="2:5" x14ac:dyDescent="0.25">
      <c r="B1531" s="19"/>
      <c r="C1531" s="19"/>
      <c r="D1531" s="17"/>
      <c r="E1531" s="19"/>
    </row>
    <row r="1532" spans="2:5" x14ac:dyDescent="0.25">
      <c r="B1532" s="19"/>
      <c r="C1532" s="19"/>
      <c r="D1532" s="17"/>
      <c r="E1532" s="19"/>
    </row>
    <row r="1533" spans="2:5" x14ac:dyDescent="0.25">
      <c r="B1533" s="19"/>
      <c r="C1533" s="19"/>
      <c r="D1533" s="17"/>
      <c r="E1533" s="19"/>
    </row>
    <row r="1534" spans="2:5" x14ac:dyDescent="0.25">
      <c r="B1534" s="19"/>
      <c r="C1534" s="19"/>
      <c r="D1534" s="17"/>
      <c r="E1534" s="19"/>
    </row>
    <row r="1535" spans="2:5" x14ac:dyDescent="0.25">
      <c r="B1535" s="19"/>
      <c r="C1535" s="19"/>
      <c r="D1535" s="17"/>
      <c r="E1535" s="19"/>
    </row>
    <row r="1536" spans="2:5" x14ac:dyDescent="0.25">
      <c r="B1536" s="19"/>
      <c r="C1536" s="19"/>
      <c r="D1536" s="17"/>
      <c r="E1536" s="19"/>
    </row>
    <row r="1537" spans="2:5" x14ac:dyDescent="0.25">
      <c r="B1537" s="19"/>
      <c r="C1537" s="19"/>
      <c r="D1537" s="17"/>
      <c r="E1537" s="19"/>
    </row>
    <row r="1538" spans="2:5" x14ac:dyDescent="0.25">
      <c r="B1538" s="19"/>
      <c r="C1538" s="19"/>
      <c r="D1538" s="17"/>
      <c r="E1538" s="19"/>
    </row>
    <row r="1539" spans="2:5" x14ac:dyDescent="0.25">
      <c r="B1539" s="19"/>
      <c r="C1539" s="19"/>
      <c r="D1539" s="17"/>
      <c r="E1539" s="19"/>
    </row>
    <row r="1540" spans="2:5" x14ac:dyDescent="0.25">
      <c r="B1540" s="19"/>
      <c r="C1540" s="19"/>
      <c r="D1540" s="17"/>
      <c r="E1540" s="19"/>
    </row>
    <row r="1541" spans="2:5" x14ac:dyDescent="0.25">
      <c r="B1541" s="19"/>
      <c r="C1541" s="19"/>
      <c r="D1541" s="17"/>
      <c r="E1541" s="19"/>
    </row>
    <row r="1542" spans="2:5" x14ac:dyDescent="0.25">
      <c r="B1542" s="19"/>
      <c r="C1542" s="19"/>
      <c r="D1542" s="17"/>
      <c r="E1542" s="19"/>
    </row>
    <row r="1543" spans="2:5" x14ac:dyDescent="0.25">
      <c r="B1543" s="19"/>
      <c r="C1543" s="19"/>
      <c r="D1543" s="17"/>
      <c r="E1543" s="19"/>
    </row>
    <row r="1544" spans="2:5" x14ac:dyDescent="0.25">
      <c r="B1544" s="19"/>
      <c r="C1544" s="19"/>
      <c r="D1544" s="17"/>
      <c r="E1544" s="19"/>
    </row>
    <row r="1545" spans="2:5" x14ac:dyDescent="0.25">
      <c r="B1545" s="19"/>
      <c r="C1545" s="19"/>
      <c r="D1545" s="17"/>
      <c r="E1545" s="19"/>
    </row>
    <row r="1546" spans="2:5" x14ac:dyDescent="0.25">
      <c r="B1546" s="19"/>
      <c r="C1546" s="19"/>
      <c r="D1546" s="17"/>
      <c r="E1546" s="19"/>
    </row>
    <row r="1547" spans="2:5" x14ac:dyDescent="0.25">
      <c r="B1547" s="19"/>
      <c r="C1547" s="19"/>
      <c r="D1547" s="17"/>
      <c r="E1547" s="19"/>
    </row>
    <row r="1548" spans="2:5" x14ac:dyDescent="0.25">
      <c r="B1548" s="19"/>
      <c r="C1548" s="19"/>
      <c r="D1548" s="17"/>
      <c r="E1548" s="19"/>
    </row>
    <row r="1549" spans="2:5" x14ac:dyDescent="0.25">
      <c r="B1549" s="19"/>
      <c r="C1549" s="19"/>
      <c r="D1549" s="17"/>
      <c r="E1549" s="19"/>
    </row>
    <row r="1550" spans="2:5" x14ac:dyDescent="0.25">
      <c r="B1550" s="19"/>
      <c r="C1550" s="19"/>
      <c r="D1550" s="17"/>
      <c r="E1550" s="19"/>
    </row>
    <row r="1551" spans="2:5" x14ac:dyDescent="0.25">
      <c r="B1551" s="19"/>
      <c r="C1551" s="19"/>
      <c r="D1551" s="17"/>
      <c r="E1551" s="19"/>
    </row>
    <row r="1552" spans="2:5" x14ac:dyDescent="0.25">
      <c r="B1552" s="19"/>
      <c r="C1552" s="19"/>
      <c r="D1552" s="17"/>
      <c r="E1552" s="19"/>
    </row>
    <row r="1553" spans="2:5" x14ac:dyDescent="0.25">
      <c r="B1553" s="19"/>
      <c r="C1553" s="19"/>
      <c r="D1553" s="17"/>
      <c r="E1553" s="19"/>
    </row>
    <row r="1554" spans="2:5" x14ac:dyDescent="0.25">
      <c r="B1554" s="19"/>
      <c r="C1554" s="19"/>
      <c r="D1554" s="17"/>
      <c r="E1554" s="19"/>
    </row>
    <row r="1555" spans="2:5" x14ac:dyDescent="0.25">
      <c r="B1555" s="19"/>
      <c r="C1555" s="19"/>
      <c r="D1555" s="17"/>
      <c r="E1555" s="19"/>
    </row>
    <row r="1556" spans="2:5" x14ac:dyDescent="0.25">
      <c r="B1556" s="19"/>
      <c r="C1556" s="19"/>
      <c r="D1556" s="17"/>
      <c r="E1556" s="19"/>
    </row>
    <row r="1557" spans="2:5" x14ac:dyDescent="0.25">
      <c r="B1557" s="19"/>
      <c r="C1557" s="19"/>
      <c r="D1557" s="17"/>
      <c r="E1557" s="19"/>
    </row>
    <row r="1558" spans="2:5" x14ac:dyDescent="0.25">
      <c r="B1558" s="19"/>
      <c r="C1558" s="19"/>
      <c r="D1558" s="17"/>
      <c r="E1558" s="19"/>
    </row>
    <row r="1559" spans="2:5" x14ac:dyDescent="0.25">
      <c r="B1559" s="19"/>
      <c r="C1559" s="19"/>
      <c r="D1559" s="17"/>
      <c r="E1559" s="19"/>
    </row>
    <row r="1560" spans="2:5" x14ac:dyDescent="0.25">
      <c r="B1560" s="19"/>
      <c r="C1560" s="19"/>
      <c r="D1560" s="17"/>
      <c r="E1560" s="19"/>
    </row>
    <row r="1561" spans="2:5" x14ac:dyDescent="0.25">
      <c r="B1561" s="19"/>
      <c r="C1561" s="19"/>
      <c r="D1561" s="17"/>
      <c r="E1561" s="19"/>
    </row>
    <row r="1562" spans="2:5" x14ac:dyDescent="0.25">
      <c r="B1562" s="19"/>
      <c r="C1562" s="19"/>
      <c r="D1562" s="17"/>
      <c r="E1562" s="19"/>
    </row>
    <row r="1563" spans="2:5" x14ac:dyDescent="0.25">
      <c r="B1563" s="19"/>
      <c r="C1563" s="19"/>
      <c r="D1563" s="17"/>
      <c r="E1563" s="19"/>
    </row>
    <row r="1564" spans="2:5" x14ac:dyDescent="0.25">
      <c r="B1564" s="19"/>
      <c r="C1564" s="19"/>
      <c r="D1564" s="17"/>
      <c r="E1564" s="19"/>
    </row>
    <row r="1565" spans="2:5" x14ac:dyDescent="0.25">
      <c r="B1565" s="19"/>
      <c r="C1565" s="19"/>
      <c r="D1565" s="17"/>
      <c r="E1565" s="19"/>
    </row>
    <row r="1566" spans="2:5" x14ac:dyDescent="0.25">
      <c r="B1566" s="19"/>
      <c r="C1566" s="19"/>
      <c r="D1566" s="17"/>
      <c r="E1566" s="19"/>
    </row>
    <row r="1567" spans="2:5" x14ac:dyDescent="0.25">
      <c r="B1567" s="19"/>
      <c r="C1567" s="19"/>
      <c r="D1567" s="17"/>
      <c r="E1567" s="19"/>
    </row>
    <row r="1568" spans="2:5" x14ac:dyDescent="0.25">
      <c r="B1568" s="19"/>
      <c r="C1568" s="19"/>
      <c r="D1568" s="17"/>
      <c r="E1568" s="19"/>
    </row>
    <row r="1569" spans="2:5" x14ac:dyDescent="0.25">
      <c r="B1569" s="19"/>
      <c r="C1569" s="19"/>
      <c r="D1569" s="17"/>
      <c r="E1569" s="19"/>
    </row>
    <row r="1570" spans="2:5" x14ac:dyDescent="0.25">
      <c r="B1570" s="19"/>
      <c r="C1570" s="19"/>
      <c r="D1570" s="17"/>
      <c r="E1570" s="19"/>
    </row>
    <row r="1571" spans="2:5" x14ac:dyDescent="0.25">
      <c r="B1571" s="19"/>
      <c r="C1571" s="19"/>
      <c r="D1571" s="17"/>
      <c r="E1571" s="19"/>
    </row>
    <row r="1572" spans="2:5" x14ac:dyDescent="0.25">
      <c r="B1572" s="19"/>
      <c r="C1572" s="19"/>
      <c r="D1572" s="17"/>
      <c r="E1572" s="19"/>
    </row>
    <row r="1573" spans="2:5" x14ac:dyDescent="0.25">
      <c r="B1573" s="19"/>
      <c r="C1573" s="19"/>
      <c r="D1573" s="17"/>
      <c r="E1573" s="19"/>
    </row>
    <row r="1574" spans="2:5" x14ac:dyDescent="0.25">
      <c r="B1574" s="19"/>
      <c r="C1574" s="19"/>
      <c r="D1574" s="17"/>
      <c r="E1574" s="19"/>
    </row>
    <row r="1575" spans="2:5" x14ac:dyDescent="0.25">
      <c r="B1575" s="19"/>
      <c r="C1575" s="19"/>
      <c r="D1575" s="17"/>
      <c r="E1575" s="19"/>
    </row>
    <row r="1576" spans="2:5" x14ac:dyDescent="0.25">
      <c r="B1576" s="19"/>
      <c r="C1576" s="19"/>
      <c r="D1576" s="17"/>
      <c r="E1576" s="19"/>
    </row>
    <row r="1577" spans="2:5" x14ac:dyDescent="0.25">
      <c r="B1577" s="19"/>
      <c r="C1577" s="19"/>
      <c r="D1577" s="17"/>
      <c r="E1577" s="19"/>
    </row>
    <row r="1578" spans="2:5" x14ac:dyDescent="0.25">
      <c r="B1578" s="19"/>
      <c r="C1578" s="19"/>
      <c r="D1578" s="17"/>
      <c r="E1578" s="19"/>
    </row>
    <row r="1579" spans="2:5" x14ac:dyDescent="0.25">
      <c r="B1579" s="19"/>
      <c r="C1579" s="19"/>
      <c r="D1579" s="17"/>
      <c r="E1579" s="19"/>
    </row>
    <row r="1580" spans="2:5" x14ac:dyDescent="0.25">
      <c r="B1580" s="19"/>
      <c r="C1580" s="19"/>
      <c r="D1580" s="17"/>
      <c r="E1580" s="19"/>
    </row>
    <row r="1581" spans="2:5" x14ac:dyDescent="0.25">
      <c r="B1581" s="19"/>
      <c r="C1581" s="19"/>
      <c r="D1581" s="17"/>
      <c r="E1581" s="19"/>
    </row>
    <row r="1582" spans="2:5" x14ac:dyDescent="0.25">
      <c r="B1582" s="19"/>
      <c r="C1582" s="19"/>
      <c r="D1582" s="17"/>
      <c r="E1582" s="19"/>
    </row>
    <row r="1583" spans="2:5" x14ac:dyDescent="0.25">
      <c r="B1583" s="19"/>
      <c r="C1583" s="19"/>
      <c r="D1583" s="17"/>
      <c r="E1583" s="19"/>
    </row>
    <row r="1584" spans="2:5" x14ac:dyDescent="0.25">
      <c r="B1584" s="19"/>
      <c r="C1584" s="19"/>
      <c r="D1584" s="17"/>
      <c r="E1584" s="19"/>
    </row>
    <row r="1585" spans="2:5" x14ac:dyDescent="0.25">
      <c r="B1585" s="19"/>
      <c r="C1585" s="19"/>
      <c r="D1585" s="17"/>
      <c r="E1585" s="19"/>
    </row>
    <row r="1586" spans="2:5" x14ac:dyDescent="0.25">
      <c r="B1586" s="19"/>
      <c r="C1586" s="19"/>
      <c r="D1586" s="17"/>
      <c r="E1586" s="19"/>
    </row>
    <row r="1587" spans="2:5" x14ac:dyDescent="0.25">
      <c r="B1587" s="19"/>
      <c r="C1587" s="19"/>
      <c r="D1587" s="17"/>
      <c r="E1587" s="19"/>
    </row>
    <row r="1588" spans="2:5" x14ac:dyDescent="0.25">
      <c r="B1588" s="19"/>
      <c r="C1588" s="19"/>
      <c r="D1588" s="17"/>
      <c r="E1588" s="19"/>
    </row>
    <row r="1589" spans="2:5" x14ac:dyDescent="0.25">
      <c r="B1589" s="19"/>
      <c r="C1589" s="19"/>
      <c r="D1589" s="17"/>
      <c r="E1589" s="19"/>
    </row>
    <row r="1590" spans="2:5" x14ac:dyDescent="0.25">
      <c r="B1590" s="19"/>
      <c r="C1590" s="19"/>
      <c r="D1590" s="17"/>
      <c r="E1590" s="19"/>
    </row>
    <row r="1591" spans="2:5" x14ac:dyDescent="0.25">
      <c r="B1591" s="19"/>
      <c r="C1591" s="19"/>
      <c r="D1591" s="17"/>
      <c r="E1591" s="19"/>
    </row>
    <row r="1592" spans="2:5" x14ac:dyDescent="0.25">
      <c r="B1592" s="19"/>
      <c r="C1592" s="19"/>
      <c r="D1592" s="17"/>
      <c r="E1592" s="19"/>
    </row>
    <row r="1593" spans="2:5" x14ac:dyDescent="0.25">
      <c r="B1593" s="19"/>
      <c r="C1593" s="19"/>
      <c r="D1593" s="17"/>
      <c r="E1593" s="19"/>
    </row>
    <row r="1594" spans="2:5" x14ac:dyDescent="0.25">
      <c r="B1594" s="19"/>
      <c r="C1594" s="19"/>
      <c r="D1594" s="17"/>
      <c r="E1594" s="19"/>
    </row>
    <row r="1595" spans="2:5" x14ac:dyDescent="0.25">
      <c r="B1595" s="19"/>
      <c r="C1595" s="19"/>
      <c r="D1595" s="17"/>
      <c r="E1595" s="19"/>
    </row>
    <row r="1596" spans="2:5" x14ac:dyDescent="0.25">
      <c r="B1596" s="19"/>
      <c r="C1596" s="19"/>
      <c r="D1596" s="17"/>
      <c r="E1596" s="19"/>
    </row>
    <row r="1597" spans="2:5" x14ac:dyDescent="0.25">
      <c r="B1597" s="19"/>
      <c r="C1597" s="19"/>
      <c r="D1597" s="17"/>
      <c r="E1597" s="19"/>
    </row>
    <row r="1598" spans="2:5" x14ac:dyDescent="0.25">
      <c r="B1598" s="19"/>
      <c r="C1598" s="19"/>
      <c r="D1598" s="17"/>
      <c r="E1598" s="19"/>
    </row>
    <row r="1599" spans="2:5" x14ac:dyDescent="0.25">
      <c r="B1599" s="19"/>
      <c r="C1599" s="19"/>
      <c r="D1599" s="17"/>
      <c r="E1599" s="19"/>
    </row>
    <row r="1600" spans="2:5" x14ac:dyDescent="0.25">
      <c r="B1600" s="19"/>
      <c r="C1600" s="19"/>
      <c r="D1600" s="17"/>
      <c r="E1600" s="19"/>
    </row>
    <row r="1601" spans="2:5" x14ac:dyDescent="0.25">
      <c r="B1601" s="19"/>
      <c r="C1601" s="19"/>
      <c r="D1601" s="17"/>
      <c r="E1601" s="19"/>
    </row>
    <row r="1602" spans="2:5" x14ac:dyDescent="0.25">
      <c r="B1602" s="19"/>
      <c r="C1602" s="19"/>
      <c r="D1602" s="17"/>
      <c r="E1602" s="19"/>
    </row>
    <row r="1603" spans="2:5" x14ac:dyDescent="0.25">
      <c r="B1603" s="19"/>
      <c r="C1603" s="19"/>
      <c r="D1603" s="17"/>
      <c r="E1603" s="19"/>
    </row>
    <row r="1604" spans="2:5" x14ac:dyDescent="0.25">
      <c r="B1604" s="19"/>
      <c r="C1604" s="19"/>
      <c r="D1604" s="17"/>
      <c r="E1604" s="19"/>
    </row>
    <row r="1605" spans="2:5" x14ac:dyDescent="0.25">
      <c r="B1605" s="19"/>
      <c r="C1605" s="19"/>
      <c r="D1605" s="17"/>
      <c r="E1605" s="19"/>
    </row>
    <row r="1606" spans="2:5" x14ac:dyDescent="0.25">
      <c r="B1606" s="19"/>
      <c r="C1606" s="19"/>
      <c r="D1606" s="17"/>
      <c r="E1606" s="19"/>
    </row>
    <row r="1607" spans="2:5" x14ac:dyDescent="0.25">
      <c r="B1607" s="19"/>
      <c r="C1607" s="19"/>
      <c r="D1607" s="17"/>
      <c r="E1607" s="19"/>
    </row>
    <row r="1608" spans="2:5" x14ac:dyDescent="0.25">
      <c r="B1608" s="19"/>
      <c r="C1608" s="19"/>
      <c r="D1608" s="17"/>
      <c r="E1608" s="19"/>
    </row>
    <row r="1609" spans="2:5" x14ac:dyDescent="0.25">
      <c r="B1609" s="19"/>
      <c r="C1609" s="19"/>
      <c r="D1609" s="17"/>
      <c r="E1609" s="19"/>
    </row>
    <row r="1610" spans="2:5" x14ac:dyDescent="0.25">
      <c r="B1610" s="19"/>
      <c r="C1610" s="19"/>
      <c r="D1610" s="17"/>
      <c r="E1610" s="19"/>
    </row>
    <row r="1611" spans="2:5" x14ac:dyDescent="0.25">
      <c r="B1611" s="19"/>
      <c r="C1611" s="19"/>
      <c r="D1611" s="17"/>
      <c r="E1611" s="19"/>
    </row>
    <row r="1612" spans="2:5" x14ac:dyDescent="0.25">
      <c r="B1612" s="19"/>
      <c r="C1612" s="19"/>
      <c r="D1612" s="17"/>
      <c r="E1612" s="19"/>
    </row>
    <row r="1613" spans="2:5" x14ac:dyDescent="0.25">
      <c r="B1613" s="19"/>
      <c r="C1613" s="19"/>
      <c r="D1613" s="17"/>
      <c r="E1613" s="19"/>
    </row>
    <row r="1614" spans="2:5" x14ac:dyDescent="0.25">
      <c r="B1614" s="19"/>
      <c r="C1614" s="19"/>
      <c r="D1614" s="17"/>
      <c r="E1614" s="19"/>
    </row>
    <row r="1615" spans="2:5" x14ac:dyDescent="0.25">
      <c r="B1615" s="19"/>
      <c r="C1615" s="19"/>
      <c r="D1615" s="17"/>
      <c r="E1615" s="19"/>
    </row>
    <row r="1616" spans="2:5" x14ac:dyDescent="0.25">
      <c r="B1616" s="19"/>
      <c r="C1616" s="19"/>
      <c r="D1616" s="17"/>
      <c r="E1616" s="19"/>
    </row>
    <row r="1617" spans="2:5" x14ac:dyDescent="0.25">
      <c r="B1617" s="19"/>
      <c r="C1617" s="19"/>
      <c r="D1617" s="17"/>
      <c r="E1617" s="19"/>
    </row>
    <row r="1618" spans="2:5" x14ac:dyDescent="0.25">
      <c r="B1618" s="19"/>
      <c r="C1618" s="19"/>
      <c r="D1618" s="17"/>
      <c r="E1618" s="19"/>
    </row>
    <row r="1619" spans="2:5" x14ac:dyDescent="0.25">
      <c r="B1619" s="19"/>
      <c r="C1619" s="19"/>
      <c r="D1619" s="17"/>
      <c r="E1619" s="19"/>
    </row>
    <row r="1620" spans="2:5" x14ac:dyDescent="0.25">
      <c r="B1620" s="19"/>
      <c r="C1620" s="19"/>
      <c r="D1620" s="17"/>
      <c r="E1620" s="19"/>
    </row>
    <row r="1621" spans="2:5" x14ac:dyDescent="0.25">
      <c r="B1621" s="19"/>
      <c r="C1621" s="19"/>
      <c r="D1621" s="17"/>
      <c r="E1621" s="19"/>
    </row>
    <row r="1622" spans="2:5" x14ac:dyDescent="0.25">
      <c r="B1622" s="19"/>
      <c r="C1622" s="19"/>
      <c r="D1622" s="17"/>
      <c r="E1622" s="19"/>
    </row>
    <row r="1623" spans="2:5" x14ac:dyDescent="0.25">
      <c r="B1623" s="19"/>
      <c r="C1623" s="19"/>
      <c r="D1623" s="17"/>
      <c r="E1623" s="19"/>
    </row>
    <row r="1624" spans="2:5" x14ac:dyDescent="0.25">
      <c r="B1624" s="19"/>
      <c r="C1624" s="19"/>
      <c r="D1624" s="17"/>
      <c r="E1624" s="19"/>
    </row>
    <row r="1625" spans="2:5" x14ac:dyDescent="0.25">
      <c r="B1625" s="19"/>
      <c r="C1625" s="19"/>
      <c r="D1625" s="17"/>
      <c r="E1625" s="19"/>
    </row>
    <row r="1626" spans="2:5" x14ac:dyDescent="0.25">
      <c r="B1626" s="19"/>
      <c r="C1626" s="19"/>
      <c r="D1626" s="17"/>
      <c r="E1626" s="19"/>
    </row>
    <row r="1627" spans="2:5" x14ac:dyDescent="0.25">
      <c r="B1627" s="19"/>
      <c r="C1627" s="19"/>
      <c r="D1627" s="17"/>
      <c r="E1627" s="19"/>
    </row>
    <row r="1628" spans="2:5" x14ac:dyDescent="0.25">
      <c r="B1628" s="19"/>
      <c r="C1628" s="19"/>
      <c r="D1628" s="17"/>
      <c r="E1628" s="19"/>
    </row>
    <row r="1629" spans="2:5" x14ac:dyDescent="0.25">
      <c r="B1629" s="19"/>
      <c r="C1629" s="19"/>
      <c r="D1629" s="17"/>
      <c r="E1629" s="19"/>
    </row>
    <row r="1630" spans="2:5" x14ac:dyDescent="0.25">
      <c r="B1630" s="19"/>
      <c r="C1630" s="19"/>
      <c r="D1630" s="17"/>
      <c r="E1630" s="19"/>
    </row>
    <row r="1631" spans="2:5" x14ac:dyDescent="0.25">
      <c r="B1631" s="19"/>
      <c r="C1631" s="19"/>
      <c r="D1631" s="17"/>
      <c r="E1631" s="19"/>
    </row>
    <row r="1632" spans="2:5" x14ac:dyDescent="0.25">
      <c r="B1632" s="19"/>
      <c r="C1632" s="19"/>
      <c r="D1632" s="17"/>
      <c r="E1632" s="19"/>
    </row>
    <row r="1633" spans="2:5" x14ac:dyDescent="0.25">
      <c r="B1633" s="19"/>
      <c r="C1633" s="19"/>
      <c r="D1633" s="17"/>
      <c r="E1633" s="19"/>
    </row>
    <row r="1634" spans="2:5" x14ac:dyDescent="0.25">
      <c r="B1634" s="19"/>
      <c r="C1634" s="19"/>
      <c r="D1634" s="17"/>
      <c r="E1634" s="19"/>
    </row>
    <row r="1635" spans="2:5" x14ac:dyDescent="0.25">
      <c r="B1635" s="19"/>
      <c r="C1635" s="19"/>
      <c r="D1635" s="17"/>
      <c r="E1635" s="19"/>
    </row>
    <row r="1636" spans="2:5" x14ac:dyDescent="0.25">
      <c r="B1636" s="19"/>
      <c r="C1636" s="19"/>
      <c r="D1636" s="17"/>
      <c r="E1636" s="19"/>
    </row>
    <row r="1637" spans="2:5" x14ac:dyDescent="0.25">
      <c r="B1637" s="19"/>
      <c r="C1637" s="19"/>
      <c r="D1637" s="17"/>
      <c r="E1637" s="19"/>
    </row>
    <row r="1638" spans="2:5" x14ac:dyDescent="0.25">
      <c r="B1638" s="19"/>
      <c r="C1638" s="19"/>
      <c r="D1638" s="17"/>
      <c r="E1638" s="19"/>
    </row>
    <row r="1639" spans="2:5" x14ac:dyDescent="0.25">
      <c r="B1639" s="19"/>
      <c r="C1639" s="19"/>
      <c r="D1639" s="17"/>
      <c r="E1639" s="19"/>
    </row>
    <row r="1640" spans="2:5" x14ac:dyDescent="0.25">
      <c r="B1640" s="19"/>
      <c r="C1640" s="19"/>
      <c r="D1640" s="17"/>
      <c r="E1640" s="19"/>
    </row>
    <row r="1641" spans="2:5" x14ac:dyDescent="0.25">
      <c r="B1641" s="19"/>
      <c r="C1641" s="19"/>
      <c r="D1641" s="17"/>
      <c r="E1641" s="19"/>
    </row>
    <row r="1642" spans="2:5" x14ac:dyDescent="0.25">
      <c r="B1642" s="19"/>
      <c r="C1642" s="19"/>
      <c r="D1642" s="17"/>
      <c r="E1642" s="19"/>
    </row>
    <row r="1643" spans="2:5" x14ac:dyDescent="0.25">
      <c r="B1643" s="19"/>
      <c r="C1643" s="19"/>
      <c r="D1643" s="17"/>
      <c r="E1643" s="19"/>
    </row>
    <row r="1644" spans="2:5" x14ac:dyDescent="0.25">
      <c r="B1644" s="19"/>
      <c r="C1644" s="19"/>
      <c r="D1644" s="17"/>
      <c r="E1644" s="19"/>
    </row>
    <row r="1645" spans="2:5" x14ac:dyDescent="0.25">
      <c r="B1645" s="19"/>
      <c r="C1645" s="19"/>
      <c r="D1645" s="17"/>
      <c r="E1645" s="19"/>
    </row>
    <row r="1646" spans="2:5" x14ac:dyDescent="0.25">
      <c r="B1646" s="19"/>
      <c r="C1646" s="19"/>
      <c r="D1646" s="17"/>
      <c r="E1646" s="19"/>
    </row>
    <row r="1647" spans="2:5" x14ac:dyDescent="0.25">
      <c r="B1647" s="19"/>
      <c r="C1647" s="19"/>
      <c r="D1647" s="17"/>
      <c r="E1647" s="19"/>
    </row>
    <row r="1648" spans="2:5" x14ac:dyDescent="0.25">
      <c r="B1648" s="19"/>
      <c r="C1648" s="19"/>
      <c r="D1648" s="17"/>
      <c r="E1648" s="19"/>
    </row>
    <row r="1649" spans="2:5" x14ac:dyDescent="0.25">
      <c r="B1649" s="19"/>
      <c r="C1649" s="19"/>
      <c r="D1649" s="17"/>
      <c r="E1649" s="19"/>
    </row>
    <row r="1650" spans="2:5" x14ac:dyDescent="0.25">
      <c r="B1650" s="19"/>
      <c r="C1650" s="19"/>
      <c r="D1650" s="17"/>
      <c r="E1650" s="19"/>
    </row>
    <row r="1651" spans="2:5" x14ac:dyDescent="0.25">
      <c r="B1651" s="19"/>
      <c r="C1651" s="19"/>
      <c r="D1651" s="17"/>
      <c r="E1651" s="19"/>
    </row>
    <row r="1652" spans="2:5" x14ac:dyDescent="0.25">
      <c r="B1652" s="19"/>
      <c r="C1652" s="19"/>
      <c r="D1652" s="17"/>
      <c r="E1652" s="19"/>
    </row>
    <row r="1653" spans="2:5" x14ac:dyDescent="0.25">
      <c r="B1653" s="19"/>
      <c r="C1653" s="19"/>
      <c r="D1653" s="17"/>
      <c r="E1653" s="19"/>
    </row>
    <row r="1654" spans="2:5" x14ac:dyDescent="0.25">
      <c r="B1654" s="19"/>
      <c r="C1654" s="19"/>
      <c r="D1654" s="17"/>
      <c r="E1654" s="19"/>
    </row>
    <row r="1655" spans="2:5" x14ac:dyDescent="0.25">
      <c r="B1655" s="19"/>
      <c r="C1655" s="19"/>
      <c r="D1655" s="17"/>
      <c r="E1655" s="19"/>
    </row>
    <row r="1656" spans="2:5" x14ac:dyDescent="0.25">
      <c r="B1656" s="19"/>
      <c r="C1656" s="19"/>
      <c r="D1656" s="17"/>
      <c r="E1656" s="19"/>
    </row>
    <row r="1657" spans="2:5" x14ac:dyDescent="0.25">
      <c r="B1657" s="19"/>
      <c r="C1657" s="19"/>
      <c r="D1657" s="17"/>
      <c r="E1657" s="19"/>
    </row>
    <row r="1658" spans="2:5" x14ac:dyDescent="0.25">
      <c r="B1658" s="19"/>
      <c r="C1658" s="19"/>
      <c r="D1658" s="17"/>
      <c r="E1658" s="19"/>
    </row>
    <row r="1659" spans="2:5" x14ac:dyDescent="0.25">
      <c r="B1659" s="19"/>
      <c r="C1659" s="19"/>
      <c r="D1659" s="17"/>
      <c r="E1659" s="19"/>
    </row>
    <row r="1660" spans="2:5" x14ac:dyDescent="0.25">
      <c r="B1660" s="19"/>
      <c r="C1660" s="19"/>
      <c r="D1660" s="17"/>
      <c r="E1660" s="19"/>
    </row>
    <row r="1661" spans="2:5" x14ac:dyDescent="0.25">
      <c r="B1661" s="19"/>
      <c r="C1661" s="19"/>
      <c r="D1661" s="17"/>
      <c r="E1661" s="19"/>
    </row>
    <row r="1662" spans="2:5" x14ac:dyDescent="0.25">
      <c r="B1662" s="19"/>
      <c r="C1662" s="19"/>
      <c r="D1662" s="17"/>
      <c r="E1662" s="19"/>
    </row>
    <row r="1663" spans="2:5" x14ac:dyDescent="0.25">
      <c r="B1663" s="19"/>
      <c r="C1663" s="19"/>
      <c r="D1663" s="17"/>
      <c r="E1663" s="19"/>
    </row>
    <row r="1664" spans="2:5" x14ac:dyDescent="0.25">
      <c r="B1664" s="19"/>
      <c r="C1664" s="19"/>
      <c r="D1664" s="17"/>
      <c r="E1664" s="19"/>
    </row>
    <row r="1665" spans="2:5" x14ac:dyDescent="0.25">
      <c r="B1665" s="19"/>
      <c r="C1665" s="19"/>
      <c r="D1665" s="17"/>
      <c r="E1665" s="19"/>
    </row>
    <row r="1666" spans="2:5" x14ac:dyDescent="0.25">
      <c r="B1666" s="19"/>
      <c r="C1666" s="19"/>
      <c r="D1666" s="17"/>
      <c r="E1666" s="19"/>
    </row>
    <row r="1667" spans="2:5" x14ac:dyDescent="0.25">
      <c r="B1667" s="19"/>
      <c r="C1667" s="19"/>
      <c r="D1667" s="17"/>
      <c r="E1667" s="19"/>
    </row>
    <row r="1668" spans="2:5" x14ac:dyDescent="0.25">
      <c r="B1668" s="19"/>
      <c r="C1668" s="19"/>
      <c r="D1668" s="17"/>
      <c r="E1668" s="19"/>
    </row>
    <row r="1669" spans="2:5" x14ac:dyDescent="0.25">
      <c r="B1669" s="19"/>
      <c r="C1669" s="19"/>
      <c r="D1669" s="17"/>
      <c r="E1669" s="19"/>
    </row>
    <row r="1670" spans="2:5" x14ac:dyDescent="0.25">
      <c r="B1670" s="19"/>
      <c r="C1670" s="19"/>
      <c r="D1670" s="17"/>
      <c r="E1670" s="19"/>
    </row>
    <row r="1671" spans="2:5" x14ac:dyDescent="0.25">
      <c r="B1671" s="19"/>
      <c r="C1671" s="19"/>
      <c r="D1671" s="17"/>
      <c r="E1671" s="19"/>
    </row>
    <row r="1672" spans="2:5" x14ac:dyDescent="0.25">
      <c r="B1672" s="19"/>
      <c r="C1672" s="19"/>
      <c r="D1672" s="17"/>
      <c r="E1672" s="19"/>
    </row>
    <row r="1673" spans="2:5" x14ac:dyDescent="0.25">
      <c r="B1673" s="19"/>
      <c r="C1673" s="19"/>
      <c r="D1673" s="17"/>
      <c r="E1673" s="19"/>
    </row>
    <row r="1674" spans="2:5" x14ac:dyDescent="0.25">
      <c r="B1674" s="19"/>
      <c r="C1674" s="19"/>
      <c r="D1674" s="17"/>
      <c r="E1674" s="19"/>
    </row>
    <row r="1675" spans="2:5" x14ac:dyDescent="0.25">
      <c r="B1675" s="19"/>
      <c r="C1675" s="19"/>
      <c r="D1675" s="17"/>
      <c r="E1675" s="19"/>
    </row>
    <row r="1676" spans="2:5" x14ac:dyDescent="0.25">
      <c r="B1676" s="19"/>
      <c r="C1676" s="19"/>
      <c r="D1676" s="17"/>
      <c r="E1676" s="19"/>
    </row>
    <row r="1677" spans="2:5" x14ac:dyDescent="0.25">
      <c r="B1677" s="19"/>
      <c r="C1677" s="19"/>
      <c r="D1677" s="17"/>
      <c r="E1677" s="19"/>
    </row>
    <row r="1678" spans="2:5" x14ac:dyDescent="0.25">
      <c r="B1678" s="19"/>
      <c r="C1678" s="19"/>
      <c r="D1678" s="17"/>
      <c r="E1678" s="19"/>
    </row>
    <row r="1679" spans="2:5" x14ac:dyDescent="0.25">
      <c r="B1679" s="19"/>
      <c r="C1679" s="19"/>
      <c r="D1679" s="17"/>
      <c r="E1679" s="19"/>
    </row>
    <row r="1680" spans="2:5" x14ac:dyDescent="0.25">
      <c r="B1680" s="19"/>
      <c r="C1680" s="19"/>
      <c r="D1680" s="17"/>
      <c r="E1680" s="19"/>
    </row>
    <row r="1681" spans="2:5" x14ac:dyDescent="0.25">
      <c r="B1681" s="19"/>
      <c r="C1681" s="19"/>
      <c r="D1681" s="17"/>
      <c r="E1681" s="19"/>
    </row>
    <row r="1682" spans="2:5" x14ac:dyDescent="0.25">
      <c r="B1682" s="19"/>
      <c r="C1682" s="19"/>
      <c r="D1682" s="17"/>
      <c r="E1682" s="19"/>
    </row>
    <row r="1683" spans="2:5" x14ac:dyDescent="0.25">
      <c r="B1683" s="19"/>
      <c r="C1683" s="19"/>
      <c r="D1683" s="17"/>
      <c r="E1683" s="19"/>
    </row>
    <row r="1684" spans="2:5" x14ac:dyDescent="0.25">
      <c r="B1684" s="19"/>
      <c r="C1684" s="19"/>
      <c r="D1684" s="17"/>
      <c r="E1684" s="19"/>
    </row>
    <row r="1685" spans="2:5" x14ac:dyDescent="0.25">
      <c r="B1685" s="19"/>
      <c r="C1685" s="19"/>
      <c r="D1685" s="17"/>
      <c r="E1685" s="19"/>
    </row>
    <row r="1686" spans="2:5" x14ac:dyDescent="0.25">
      <c r="B1686" s="19"/>
      <c r="C1686" s="19"/>
      <c r="D1686" s="17"/>
      <c r="E1686" s="19"/>
    </row>
    <row r="1687" spans="2:5" x14ac:dyDescent="0.25">
      <c r="B1687" s="19"/>
      <c r="C1687" s="19"/>
      <c r="D1687" s="17"/>
      <c r="E1687" s="19"/>
    </row>
    <row r="1688" spans="2:5" x14ac:dyDescent="0.25">
      <c r="B1688" s="19"/>
      <c r="C1688" s="19"/>
      <c r="D1688" s="17"/>
      <c r="E1688" s="19"/>
    </row>
    <row r="1689" spans="2:5" x14ac:dyDescent="0.25">
      <c r="B1689" s="19"/>
      <c r="C1689" s="19"/>
      <c r="D1689" s="17"/>
      <c r="E1689" s="19"/>
    </row>
    <row r="1690" spans="2:5" x14ac:dyDescent="0.25">
      <c r="B1690" s="19"/>
      <c r="C1690" s="19"/>
      <c r="D1690" s="17"/>
      <c r="E1690" s="19"/>
    </row>
    <row r="1691" spans="2:5" x14ac:dyDescent="0.25">
      <c r="B1691" s="19"/>
      <c r="C1691" s="19"/>
      <c r="D1691" s="17"/>
      <c r="E1691" s="19"/>
    </row>
    <row r="1692" spans="2:5" x14ac:dyDescent="0.25">
      <c r="B1692" s="19"/>
      <c r="C1692" s="19"/>
      <c r="D1692" s="17"/>
      <c r="E1692" s="19"/>
    </row>
    <row r="1693" spans="2:5" x14ac:dyDescent="0.25">
      <c r="B1693" s="19"/>
      <c r="C1693" s="19"/>
      <c r="D1693" s="17"/>
      <c r="E1693" s="19"/>
    </row>
    <row r="1694" spans="2:5" x14ac:dyDescent="0.25">
      <c r="B1694" s="19"/>
      <c r="C1694" s="19"/>
      <c r="D1694" s="17"/>
      <c r="E1694" s="19"/>
    </row>
    <row r="1695" spans="2:5" x14ac:dyDescent="0.25">
      <c r="B1695" s="19"/>
      <c r="C1695" s="19"/>
      <c r="D1695" s="17"/>
      <c r="E1695" s="19"/>
    </row>
    <row r="1696" spans="2:5" x14ac:dyDescent="0.25">
      <c r="B1696" s="19"/>
      <c r="C1696" s="19"/>
      <c r="D1696" s="17"/>
      <c r="E1696" s="19"/>
    </row>
    <row r="1697" spans="2:5" x14ac:dyDescent="0.25">
      <c r="B1697" s="19"/>
      <c r="C1697" s="19"/>
      <c r="D1697" s="17"/>
      <c r="E1697" s="19"/>
    </row>
    <row r="1698" spans="2:5" x14ac:dyDescent="0.25">
      <c r="B1698" s="19"/>
      <c r="C1698" s="19"/>
      <c r="D1698" s="17"/>
      <c r="E1698" s="19"/>
    </row>
    <row r="1699" spans="2:5" x14ac:dyDescent="0.25">
      <c r="B1699" s="19"/>
      <c r="C1699" s="19"/>
      <c r="D1699" s="17"/>
      <c r="E1699" s="19"/>
    </row>
    <row r="1700" spans="2:5" x14ac:dyDescent="0.25">
      <c r="B1700" s="19"/>
      <c r="C1700" s="19"/>
      <c r="D1700" s="17"/>
      <c r="E1700" s="19"/>
    </row>
    <row r="1701" spans="2:5" x14ac:dyDescent="0.25">
      <c r="B1701" s="19"/>
      <c r="C1701" s="19"/>
      <c r="D1701" s="17"/>
      <c r="E1701" s="19"/>
    </row>
    <row r="1702" spans="2:5" x14ac:dyDescent="0.25">
      <c r="B1702" s="19"/>
      <c r="C1702" s="19"/>
      <c r="D1702" s="17"/>
      <c r="E1702" s="19"/>
    </row>
    <row r="1703" spans="2:5" x14ac:dyDescent="0.25">
      <c r="B1703" s="19"/>
      <c r="C1703" s="19"/>
      <c r="D1703" s="17"/>
      <c r="E1703" s="19"/>
    </row>
    <row r="1704" spans="2:5" x14ac:dyDescent="0.25">
      <c r="B1704" s="19"/>
      <c r="C1704" s="19"/>
      <c r="D1704" s="17"/>
      <c r="E1704" s="19"/>
    </row>
    <row r="1705" spans="2:5" x14ac:dyDescent="0.25">
      <c r="B1705" s="19"/>
      <c r="C1705" s="19"/>
      <c r="D1705" s="17"/>
      <c r="E1705" s="19"/>
    </row>
    <row r="1706" spans="2:5" x14ac:dyDescent="0.25">
      <c r="B1706" s="19"/>
      <c r="C1706" s="19"/>
      <c r="D1706" s="17"/>
      <c r="E1706" s="19"/>
    </row>
    <row r="1707" spans="2:5" x14ac:dyDescent="0.25">
      <c r="B1707" s="19"/>
      <c r="C1707" s="19"/>
      <c r="D1707" s="17"/>
      <c r="E1707" s="19"/>
    </row>
    <row r="1708" spans="2:5" x14ac:dyDescent="0.25">
      <c r="B1708" s="19"/>
      <c r="C1708" s="19"/>
      <c r="D1708" s="17"/>
      <c r="E1708" s="19"/>
    </row>
    <row r="1709" spans="2:5" x14ac:dyDescent="0.25">
      <c r="B1709" s="19"/>
      <c r="C1709" s="19"/>
      <c r="D1709" s="17"/>
      <c r="E1709" s="19"/>
    </row>
    <row r="1710" spans="2:5" x14ac:dyDescent="0.25">
      <c r="B1710" s="19"/>
      <c r="C1710" s="19"/>
      <c r="D1710" s="17"/>
      <c r="E1710" s="19"/>
    </row>
    <row r="1711" spans="2:5" x14ac:dyDescent="0.25">
      <c r="B1711" s="19"/>
      <c r="C1711" s="19"/>
      <c r="D1711" s="17"/>
      <c r="E1711" s="19"/>
    </row>
    <row r="1712" spans="2:5" x14ac:dyDescent="0.25">
      <c r="B1712" s="19"/>
      <c r="C1712" s="19"/>
      <c r="D1712" s="19"/>
      <c r="E1712" s="19"/>
    </row>
    <row r="1713" spans="2:5" x14ac:dyDescent="0.25">
      <c r="B1713" s="19"/>
      <c r="C1713" s="19"/>
      <c r="D1713" s="19"/>
      <c r="E1713" s="19"/>
    </row>
    <row r="1714" spans="2:5" x14ac:dyDescent="0.25">
      <c r="B1714" s="19"/>
      <c r="C1714" s="19"/>
      <c r="D1714" s="19"/>
      <c r="E1714" s="19"/>
    </row>
    <row r="1715" spans="2:5" x14ac:dyDescent="0.25">
      <c r="B1715" s="19"/>
      <c r="C1715" s="19"/>
      <c r="D1715" s="19"/>
      <c r="E1715" s="19"/>
    </row>
    <row r="1716" spans="2:5" x14ac:dyDescent="0.25">
      <c r="B1716" s="19"/>
      <c r="C1716" s="19"/>
      <c r="D1716" s="19"/>
      <c r="E1716" s="19"/>
    </row>
    <row r="1717" spans="2:5" x14ac:dyDescent="0.25">
      <c r="B1717" s="19"/>
      <c r="C1717" s="19"/>
      <c r="D1717" s="19"/>
      <c r="E1717" s="19"/>
    </row>
    <row r="1718" spans="2:5" x14ac:dyDescent="0.25">
      <c r="B1718" s="19"/>
      <c r="C1718" s="19"/>
      <c r="D1718" s="19"/>
      <c r="E1718" s="19"/>
    </row>
    <row r="1719" spans="2:5" x14ac:dyDescent="0.25">
      <c r="B1719" s="19"/>
      <c r="C1719" s="19"/>
      <c r="D1719" s="19"/>
      <c r="E1719" s="19"/>
    </row>
    <row r="1720" spans="2:5" x14ac:dyDescent="0.25">
      <c r="B1720" s="19"/>
      <c r="C1720" s="19"/>
      <c r="D1720" s="19"/>
      <c r="E1720" s="19"/>
    </row>
    <row r="1721" spans="2:5" x14ac:dyDescent="0.25">
      <c r="B1721" s="19"/>
      <c r="C1721" s="19"/>
      <c r="D1721" s="19"/>
      <c r="E1721" s="19"/>
    </row>
    <row r="1722" spans="2:5" x14ac:dyDescent="0.25">
      <c r="B1722" s="19"/>
      <c r="C1722" s="19"/>
      <c r="D1722" s="19"/>
      <c r="E1722" s="19"/>
    </row>
    <row r="1723" spans="2:5" x14ac:dyDescent="0.25">
      <c r="B1723" s="19"/>
      <c r="C1723" s="19"/>
      <c r="D1723" s="19"/>
      <c r="E1723" s="19"/>
    </row>
    <row r="1724" spans="2:5" x14ac:dyDescent="0.25">
      <c r="B1724" s="19"/>
      <c r="C1724" s="19"/>
      <c r="D1724" s="19"/>
      <c r="E1724" s="19"/>
    </row>
    <row r="1725" spans="2:5" x14ac:dyDescent="0.25">
      <c r="B1725" s="19"/>
      <c r="C1725" s="19"/>
      <c r="D1725" s="19"/>
      <c r="E1725" s="19"/>
    </row>
    <row r="1726" spans="2:5" x14ac:dyDescent="0.25">
      <c r="B1726" s="19"/>
      <c r="C1726" s="19"/>
      <c r="D1726" s="19"/>
      <c r="E1726" s="19"/>
    </row>
    <row r="1727" spans="2:5" x14ac:dyDescent="0.25">
      <c r="B1727" s="19"/>
      <c r="C1727" s="19"/>
      <c r="D1727" s="19"/>
      <c r="E1727" s="19"/>
    </row>
    <row r="1728" spans="2:5" x14ac:dyDescent="0.25">
      <c r="B1728" s="19"/>
      <c r="C1728" s="19"/>
      <c r="D1728" s="19"/>
      <c r="E1728" s="19"/>
    </row>
    <row r="1729" spans="2:5" x14ac:dyDescent="0.25">
      <c r="B1729" s="19"/>
      <c r="C1729" s="19"/>
      <c r="D1729" s="19"/>
      <c r="E1729" s="19"/>
    </row>
    <row r="1730" spans="2:5" x14ac:dyDescent="0.25">
      <c r="B1730" s="19"/>
      <c r="C1730" s="19"/>
      <c r="D1730" s="19"/>
      <c r="E1730" s="19"/>
    </row>
    <row r="1731" spans="2:5" x14ac:dyDescent="0.25">
      <c r="B1731" s="19"/>
      <c r="C1731" s="19"/>
      <c r="D1731" s="19"/>
      <c r="E1731" s="19"/>
    </row>
    <row r="1732" spans="2:5" x14ac:dyDescent="0.25">
      <c r="B1732" s="19"/>
      <c r="C1732" s="19"/>
      <c r="D1732" s="19"/>
      <c r="E1732" s="19"/>
    </row>
    <row r="1733" spans="2:5" x14ac:dyDescent="0.25">
      <c r="B1733" s="19"/>
      <c r="C1733" s="19"/>
      <c r="D1733" s="19"/>
      <c r="E1733" s="19"/>
    </row>
    <row r="1734" spans="2:5" x14ac:dyDescent="0.25">
      <c r="B1734" s="19"/>
      <c r="C1734" s="19"/>
      <c r="D1734" s="19"/>
      <c r="E1734" s="19"/>
    </row>
    <row r="1735" spans="2:5" x14ac:dyDescent="0.25">
      <c r="B1735" s="19"/>
      <c r="C1735" s="19"/>
      <c r="D1735" s="19"/>
      <c r="E1735" s="19"/>
    </row>
    <row r="1736" spans="2:5" x14ac:dyDescent="0.25">
      <c r="B1736" s="19"/>
      <c r="C1736" s="19"/>
      <c r="D1736" s="19"/>
      <c r="E1736" s="19"/>
    </row>
    <row r="1737" spans="2:5" x14ac:dyDescent="0.25">
      <c r="B1737" s="19"/>
      <c r="C1737" s="19"/>
      <c r="D1737" s="19"/>
      <c r="E1737" s="19"/>
    </row>
    <row r="1738" spans="2:5" x14ac:dyDescent="0.25">
      <c r="B1738" s="19"/>
      <c r="C1738" s="19"/>
      <c r="D1738" s="19"/>
      <c r="E1738" s="19"/>
    </row>
    <row r="1739" spans="2:5" x14ac:dyDescent="0.25">
      <c r="B1739" s="19"/>
      <c r="C1739" s="19"/>
      <c r="D1739" s="19"/>
      <c r="E1739" s="19"/>
    </row>
    <row r="1740" spans="2:5" x14ac:dyDescent="0.25">
      <c r="B1740" s="19"/>
      <c r="C1740" s="19"/>
      <c r="D1740" s="19"/>
      <c r="E1740" s="19"/>
    </row>
    <row r="1741" spans="2:5" x14ac:dyDescent="0.25">
      <c r="B1741" s="19"/>
      <c r="C1741" s="19"/>
      <c r="D1741" s="19"/>
      <c r="E1741" s="19"/>
    </row>
    <row r="1742" spans="2:5" x14ac:dyDescent="0.25">
      <c r="B1742" s="19"/>
      <c r="C1742" s="19"/>
      <c r="D1742" s="19"/>
      <c r="E1742" s="19"/>
    </row>
    <row r="1743" spans="2:5" x14ac:dyDescent="0.25">
      <c r="B1743" s="19"/>
      <c r="C1743" s="19"/>
      <c r="D1743" s="19"/>
      <c r="E1743" s="19"/>
    </row>
    <row r="1744" spans="2:5" x14ac:dyDescent="0.25">
      <c r="B1744" s="19"/>
      <c r="C1744" s="19"/>
      <c r="D1744" s="19"/>
      <c r="E1744" s="19"/>
    </row>
    <row r="1745" spans="2:5" x14ac:dyDescent="0.25">
      <c r="B1745" s="19"/>
      <c r="C1745" s="19"/>
      <c r="D1745" s="19"/>
      <c r="E1745" s="19"/>
    </row>
    <row r="1746" spans="2:5" x14ac:dyDescent="0.25">
      <c r="B1746" s="19"/>
      <c r="C1746" s="19"/>
      <c r="D1746" s="19"/>
      <c r="E1746" s="19"/>
    </row>
    <row r="1747" spans="2:5" x14ac:dyDescent="0.25">
      <c r="B1747" s="19"/>
      <c r="C1747" s="19"/>
      <c r="D1747" s="19"/>
      <c r="E1747" s="19"/>
    </row>
    <row r="1748" spans="2:5" x14ac:dyDescent="0.25">
      <c r="B1748" s="19"/>
      <c r="C1748" s="19"/>
      <c r="D1748" s="19"/>
      <c r="E1748" s="19"/>
    </row>
    <row r="1749" spans="2:5" x14ac:dyDescent="0.25">
      <c r="B1749" s="19"/>
      <c r="C1749" s="19"/>
      <c r="D1749" s="19"/>
      <c r="E1749" s="19"/>
    </row>
    <row r="1750" spans="2:5" x14ac:dyDescent="0.25">
      <c r="B1750" s="19"/>
      <c r="C1750" s="19"/>
      <c r="D1750" s="19"/>
      <c r="E1750" s="19"/>
    </row>
    <row r="1751" spans="2:5" x14ac:dyDescent="0.25">
      <c r="B1751" s="19"/>
      <c r="C1751" s="19"/>
      <c r="D1751" s="19"/>
      <c r="E1751" s="19"/>
    </row>
    <row r="1752" spans="2:5" x14ac:dyDescent="0.25">
      <c r="B1752" s="19"/>
      <c r="C1752" s="19"/>
      <c r="D1752" s="19"/>
      <c r="E1752" s="19"/>
    </row>
    <row r="1753" spans="2:5" x14ac:dyDescent="0.25">
      <c r="B1753" s="19"/>
      <c r="C1753" s="19"/>
      <c r="D1753" s="19"/>
      <c r="E1753" s="19"/>
    </row>
    <row r="1754" spans="2:5" x14ac:dyDescent="0.25">
      <c r="B1754" s="19"/>
      <c r="C1754" s="19"/>
      <c r="D1754" s="19"/>
      <c r="E1754" s="19"/>
    </row>
    <row r="1755" spans="2:5" x14ac:dyDescent="0.25">
      <c r="B1755" s="19"/>
      <c r="C1755" s="19"/>
      <c r="D1755" s="19"/>
      <c r="E1755" s="19"/>
    </row>
    <row r="1756" spans="2:5" x14ac:dyDescent="0.25">
      <c r="B1756" s="19"/>
      <c r="C1756" s="19"/>
      <c r="D1756" s="19"/>
      <c r="E1756" s="19"/>
    </row>
    <row r="1757" spans="2:5" x14ac:dyDescent="0.25">
      <c r="B1757" s="19"/>
      <c r="C1757" s="19"/>
      <c r="D1757" s="19"/>
      <c r="E1757" s="19"/>
    </row>
    <row r="1758" spans="2:5" x14ac:dyDescent="0.25">
      <c r="B1758" s="19"/>
      <c r="C1758" s="19"/>
      <c r="D1758" s="19"/>
      <c r="E1758" s="19"/>
    </row>
    <row r="1759" spans="2:5" x14ac:dyDescent="0.25">
      <c r="B1759" s="19"/>
      <c r="C1759" s="19"/>
      <c r="D1759" s="19"/>
      <c r="E1759" s="19"/>
    </row>
    <row r="1760" spans="2:5" x14ac:dyDescent="0.25">
      <c r="B1760" s="19"/>
      <c r="C1760" s="19"/>
      <c r="D1760" s="19"/>
      <c r="E1760" s="19"/>
    </row>
    <row r="1761" spans="2:5" x14ac:dyDescent="0.25">
      <c r="B1761" s="19"/>
      <c r="C1761" s="19"/>
      <c r="D1761" s="19"/>
      <c r="E1761" s="19"/>
    </row>
    <row r="1762" spans="2:5" x14ac:dyDescent="0.25">
      <c r="B1762" s="19"/>
      <c r="C1762" s="19"/>
      <c r="D1762" s="19"/>
      <c r="E1762" s="19"/>
    </row>
    <row r="1763" spans="2:5" x14ac:dyDescent="0.25">
      <c r="B1763" s="19"/>
      <c r="C1763" s="19"/>
      <c r="D1763" s="19"/>
      <c r="E1763" s="19"/>
    </row>
    <row r="1764" spans="2:5" x14ac:dyDescent="0.25">
      <c r="B1764" s="19"/>
      <c r="C1764" s="19"/>
      <c r="D1764" s="19"/>
      <c r="E1764" s="19"/>
    </row>
    <row r="1765" spans="2:5" x14ac:dyDescent="0.25">
      <c r="B1765" s="19"/>
      <c r="C1765" s="19"/>
      <c r="D1765" s="19"/>
      <c r="E1765" s="19"/>
    </row>
    <row r="1766" spans="2:5" x14ac:dyDescent="0.25">
      <c r="B1766" s="19"/>
      <c r="C1766" s="19"/>
      <c r="D1766" s="19"/>
      <c r="E1766" s="19"/>
    </row>
    <row r="1767" spans="2:5" x14ac:dyDescent="0.25">
      <c r="B1767" s="19"/>
      <c r="C1767" s="19"/>
      <c r="D1767" s="19"/>
      <c r="E1767" s="19"/>
    </row>
    <row r="1768" spans="2:5" x14ac:dyDescent="0.25">
      <c r="B1768" s="19"/>
      <c r="C1768" s="19"/>
      <c r="D1768" s="19"/>
      <c r="E1768" s="19"/>
    </row>
    <row r="1769" spans="2:5" x14ac:dyDescent="0.25">
      <c r="B1769" s="19"/>
      <c r="C1769" s="19"/>
      <c r="D1769" s="19"/>
      <c r="E1769" s="19"/>
    </row>
    <row r="1770" spans="2:5" x14ac:dyDescent="0.25">
      <c r="B1770" s="19"/>
      <c r="C1770" s="19"/>
      <c r="D1770" s="19"/>
      <c r="E1770" s="19"/>
    </row>
    <row r="1771" spans="2:5" x14ac:dyDescent="0.25">
      <c r="B1771" s="19"/>
      <c r="C1771" s="19"/>
      <c r="D1771" s="19"/>
      <c r="E1771" s="19"/>
    </row>
    <row r="1772" spans="2:5" x14ac:dyDescent="0.25">
      <c r="B1772" s="19"/>
      <c r="C1772" s="19"/>
      <c r="D1772" s="19"/>
      <c r="E1772" s="19"/>
    </row>
    <row r="1773" spans="2:5" x14ac:dyDescent="0.25">
      <c r="B1773" s="19"/>
      <c r="C1773" s="19"/>
      <c r="D1773" s="19"/>
      <c r="E1773" s="19"/>
    </row>
    <row r="1774" spans="2:5" x14ac:dyDescent="0.25">
      <c r="B1774" s="19"/>
      <c r="C1774" s="19"/>
      <c r="D1774" s="19"/>
      <c r="E1774" s="19"/>
    </row>
    <row r="1775" spans="2:5" x14ac:dyDescent="0.25">
      <c r="B1775" s="19"/>
      <c r="C1775" s="19"/>
      <c r="D1775" s="19"/>
      <c r="E1775" s="19"/>
    </row>
    <row r="1776" spans="2:5" x14ac:dyDescent="0.25">
      <c r="B1776" s="19"/>
      <c r="C1776" s="19"/>
      <c r="D1776" s="19"/>
      <c r="E1776" s="19"/>
    </row>
    <row r="1777" spans="2:5" x14ac:dyDescent="0.25">
      <c r="B1777" s="19"/>
      <c r="C1777" s="19"/>
      <c r="D1777" s="19"/>
      <c r="E1777" s="19"/>
    </row>
    <row r="1778" spans="2:5" x14ac:dyDescent="0.25">
      <c r="B1778" s="19"/>
      <c r="C1778" s="19"/>
      <c r="D1778" s="19"/>
      <c r="E1778" s="19"/>
    </row>
    <row r="1779" spans="2:5" x14ac:dyDescent="0.25">
      <c r="B1779" s="19"/>
      <c r="C1779" s="19"/>
      <c r="D1779" s="19"/>
      <c r="E1779" s="19"/>
    </row>
    <row r="1780" spans="2:5" x14ac:dyDescent="0.25">
      <c r="B1780" s="19"/>
      <c r="C1780" s="19"/>
      <c r="D1780" s="19"/>
      <c r="E1780" s="19"/>
    </row>
    <row r="1781" spans="2:5" x14ac:dyDescent="0.25">
      <c r="B1781" s="19"/>
      <c r="C1781" s="19"/>
      <c r="D1781" s="19"/>
      <c r="E1781" s="19"/>
    </row>
    <row r="1782" spans="2:5" x14ac:dyDescent="0.25">
      <c r="B1782" s="19"/>
      <c r="C1782" s="19"/>
      <c r="D1782" s="19"/>
      <c r="E1782" s="19"/>
    </row>
    <row r="1783" spans="2:5" x14ac:dyDescent="0.25">
      <c r="B1783" s="19"/>
      <c r="C1783" s="19"/>
      <c r="D1783" s="19"/>
      <c r="E1783" s="19"/>
    </row>
    <row r="1784" spans="2:5" x14ac:dyDescent="0.25">
      <c r="B1784" s="19"/>
      <c r="C1784" s="19"/>
      <c r="D1784" s="19"/>
      <c r="E1784" s="19"/>
    </row>
    <row r="1785" spans="2:5" x14ac:dyDescent="0.25">
      <c r="B1785" s="19"/>
      <c r="C1785" s="19"/>
      <c r="D1785" s="19"/>
      <c r="E1785" s="19"/>
    </row>
    <row r="1786" spans="2:5" x14ac:dyDescent="0.25">
      <c r="B1786" s="19"/>
      <c r="C1786" s="19"/>
      <c r="D1786" s="19"/>
      <c r="E1786" s="19"/>
    </row>
    <row r="1787" spans="2:5" x14ac:dyDescent="0.25">
      <c r="B1787" s="19"/>
      <c r="C1787" s="19"/>
      <c r="D1787" s="19"/>
      <c r="E1787" s="19"/>
    </row>
    <row r="1788" spans="2:5" x14ac:dyDescent="0.25">
      <c r="B1788" s="19"/>
      <c r="C1788" s="19"/>
      <c r="D1788" s="19"/>
      <c r="E1788" s="19"/>
    </row>
    <row r="1789" spans="2:5" x14ac:dyDescent="0.25">
      <c r="B1789" s="19"/>
      <c r="C1789" s="19"/>
      <c r="D1789" s="19"/>
      <c r="E1789" s="19"/>
    </row>
    <row r="1790" spans="2:5" x14ac:dyDescent="0.25">
      <c r="B1790" s="19"/>
      <c r="C1790" s="19"/>
      <c r="D1790" s="19"/>
      <c r="E1790" s="19"/>
    </row>
    <row r="1791" spans="2:5" x14ac:dyDescent="0.25">
      <c r="B1791" s="19"/>
      <c r="C1791" s="19"/>
      <c r="D1791" s="19"/>
      <c r="E1791" s="19"/>
    </row>
    <row r="1792" spans="2:5" x14ac:dyDescent="0.25">
      <c r="B1792" s="19"/>
      <c r="C1792" s="19"/>
      <c r="D1792" s="19"/>
      <c r="E1792" s="19"/>
    </row>
    <row r="1793" spans="2:5" x14ac:dyDescent="0.25">
      <c r="B1793" s="19"/>
      <c r="C1793" s="19"/>
      <c r="D1793" s="19"/>
      <c r="E1793" s="19"/>
    </row>
    <row r="1794" spans="2:5" x14ac:dyDescent="0.25">
      <c r="B1794" s="19"/>
      <c r="C1794" s="19"/>
      <c r="D1794" s="19"/>
      <c r="E1794" s="19"/>
    </row>
    <row r="1795" spans="2:5" x14ac:dyDescent="0.25">
      <c r="B1795" s="19"/>
      <c r="C1795" s="19"/>
      <c r="D1795" s="19"/>
      <c r="E1795" s="19"/>
    </row>
    <row r="1796" spans="2:5" x14ac:dyDescent="0.25">
      <c r="B1796" s="19"/>
      <c r="C1796" s="19"/>
      <c r="D1796" s="19"/>
      <c r="E1796" s="19"/>
    </row>
    <row r="1797" spans="2:5" x14ac:dyDescent="0.25">
      <c r="B1797" s="19"/>
      <c r="C1797" s="19"/>
      <c r="D1797" s="19"/>
      <c r="E1797" s="19"/>
    </row>
    <row r="1798" spans="2:5" x14ac:dyDescent="0.25">
      <c r="B1798" s="19"/>
      <c r="C1798" s="19"/>
      <c r="D1798" s="19"/>
      <c r="E1798" s="19"/>
    </row>
    <row r="1799" spans="2:5" x14ac:dyDescent="0.25">
      <c r="B1799" s="19"/>
      <c r="C1799" s="19"/>
      <c r="D1799" s="19"/>
      <c r="E1799" s="19"/>
    </row>
    <row r="1800" spans="2:5" x14ac:dyDescent="0.25">
      <c r="B1800" s="19"/>
      <c r="C1800" s="19"/>
      <c r="D1800" s="19"/>
      <c r="E1800" s="19"/>
    </row>
    <row r="1801" spans="2:5" x14ac:dyDescent="0.25">
      <c r="B1801" s="19"/>
      <c r="C1801" s="19"/>
      <c r="D1801" s="19"/>
      <c r="E1801" s="19"/>
    </row>
    <row r="1802" spans="2:5" x14ac:dyDescent="0.25">
      <c r="B1802" s="19"/>
      <c r="C1802" s="19"/>
      <c r="D1802" s="19"/>
      <c r="E1802" s="19"/>
    </row>
    <row r="1803" spans="2:5" x14ac:dyDescent="0.25">
      <c r="B1803" s="19"/>
      <c r="C1803" s="19"/>
      <c r="D1803" s="19"/>
      <c r="E1803" s="19"/>
    </row>
    <row r="1804" spans="2:5" x14ac:dyDescent="0.25">
      <c r="B1804" s="19"/>
      <c r="C1804" s="19"/>
      <c r="D1804" s="19"/>
      <c r="E1804" s="19"/>
    </row>
    <row r="1805" spans="2:5" x14ac:dyDescent="0.25">
      <c r="B1805" s="19"/>
      <c r="C1805" s="19"/>
      <c r="D1805" s="19"/>
      <c r="E1805" s="19"/>
    </row>
    <row r="1806" spans="2:5" x14ac:dyDescent="0.25">
      <c r="B1806" s="19"/>
      <c r="C1806" s="19"/>
      <c r="D1806" s="19"/>
      <c r="E1806" s="19"/>
    </row>
    <row r="1807" spans="2:5" x14ac:dyDescent="0.25">
      <c r="B1807" s="19"/>
      <c r="C1807" s="19"/>
      <c r="D1807" s="19"/>
      <c r="E1807" s="19"/>
    </row>
    <row r="1808" spans="2:5" x14ac:dyDescent="0.25">
      <c r="B1808" s="19"/>
      <c r="C1808" s="19"/>
      <c r="D1808" s="19"/>
      <c r="E1808" s="19"/>
    </row>
    <row r="1809" spans="2:5" x14ac:dyDescent="0.25">
      <c r="B1809" s="19"/>
      <c r="C1809" s="19"/>
      <c r="D1809" s="19"/>
      <c r="E1809" s="19"/>
    </row>
    <row r="1810" spans="2:5" x14ac:dyDescent="0.25">
      <c r="B1810" s="19"/>
      <c r="C1810" s="19"/>
      <c r="D1810" s="19"/>
      <c r="E1810" s="19"/>
    </row>
    <row r="1811" spans="2:5" x14ac:dyDescent="0.25">
      <c r="B1811" s="19"/>
      <c r="C1811" s="19"/>
      <c r="D1811" s="19"/>
      <c r="E1811" s="19"/>
    </row>
    <row r="1812" spans="2:5" x14ac:dyDescent="0.25">
      <c r="B1812" s="19"/>
      <c r="C1812" s="19"/>
      <c r="D1812" s="19"/>
      <c r="E1812" s="19"/>
    </row>
    <row r="1813" spans="2:5" x14ac:dyDescent="0.25">
      <c r="B1813" s="19"/>
      <c r="C1813" s="19"/>
      <c r="D1813" s="19"/>
      <c r="E1813" s="19"/>
    </row>
    <row r="1814" spans="2:5" x14ac:dyDescent="0.25">
      <c r="B1814" s="19"/>
      <c r="C1814" s="19"/>
      <c r="D1814" s="19"/>
      <c r="E1814" s="19"/>
    </row>
    <row r="1815" spans="2:5" x14ac:dyDescent="0.25">
      <c r="B1815" s="19"/>
      <c r="C1815" s="19"/>
      <c r="D1815" s="19"/>
      <c r="E1815" s="19"/>
    </row>
    <row r="1816" spans="2:5" x14ac:dyDescent="0.25">
      <c r="B1816" s="19"/>
      <c r="C1816" s="19"/>
      <c r="D1816" s="19"/>
      <c r="E1816" s="19"/>
    </row>
    <row r="1817" spans="2:5" x14ac:dyDescent="0.25">
      <c r="B1817" s="19"/>
      <c r="C1817" s="19"/>
      <c r="D1817" s="19"/>
      <c r="E1817" s="19"/>
    </row>
    <row r="1818" spans="2:5" x14ac:dyDescent="0.25">
      <c r="B1818" s="19"/>
      <c r="C1818" s="19"/>
      <c r="D1818" s="19"/>
      <c r="E1818" s="19"/>
    </row>
    <row r="1819" spans="2:5" x14ac:dyDescent="0.25">
      <c r="B1819" s="19"/>
      <c r="C1819" s="19"/>
      <c r="D1819" s="19"/>
      <c r="E1819" s="19"/>
    </row>
    <row r="1820" spans="2:5" x14ac:dyDescent="0.25">
      <c r="B1820" s="19"/>
      <c r="C1820" s="19"/>
      <c r="D1820" s="19"/>
      <c r="E1820" s="19"/>
    </row>
    <row r="1821" spans="2:5" x14ac:dyDescent="0.25">
      <c r="B1821" s="19"/>
      <c r="C1821" s="19"/>
      <c r="D1821" s="19"/>
      <c r="E1821" s="19"/>
    </row>
    <row r="1822" spans="2:5" x14ac:dyDescent="0.25">
      <c r="B1822" s="19"/>
      <c r="C1822" s="19"/>
      <c r="D1822" s="19"/>
      <c r="E1822" s="19"/>
    </row>
    <row r="1823" spans="2:5" x14ac:dyDescent="0.25">
      <c r="B1823" s="19"/>
      <c r="C1823" s="19"/>
      <c r="D1823" s="19"/>
      <c r="E1823" s="19"/>
    </row>
    <row r="1824" spans="2:5" x14ac:dyDescent="0.25">
      <c r="B1824" s="19"/>
      <c r="C1824" s="19"/>
      <c r="D1824" s="19"/>
      <c r="E1824" s="19"/>
    </row>
    <row r="1825" spans="2:5" x14ac:dyDescent="0.25">
      <c r="B1825" s="19"/>
      <c r="C1825" s="19"/>
      <c r="D1825" s="19"/>
      <c r="E1825" s="19"/>
    </row>
    <row r="1826" spans="2:5" x14ac:dyDescent="0.25">
      <c r="B1826" s="19"/>
      <c r="C1826" s="19"/>
      <c r="D1826" s="19"/>
      <c r="E1826" s="19"/>
    </row>
    <row r="1827" spans="2:5" x14ac:dyDescent="0.25">
      <c r="B1827" s="19"/>
      <c r="C1827" s="19"/>
      <c r="D1827" s="19"/>
      <c r="E1827" s="19"/>
    </row>
    <row r="1828" spans="2:5" x14ac:dyDescent="0.25">
      <c r="B1828" s="19"/>
      <c r="C1828" s="19"/>
      <c r="D1828" s="19"/>
      <c r="E1828" s="19"/>
    </row>
    <row r="1829" spans="2:5" x14ac:dyDescent="0.25">
      <c r="B1829" s="19"/>
      <c r="C1829" s="19"/>
      <c r="D1829" s="19"/>
      <c r="E1829" s="19"/>
    </row>
    <row r="1830" spans="2:5" x14ac:dyDescent="0.25">
      <c r="B1830" s="19"/>
      <c r="C1830" s="19"/>
      <c r="D1830" s="19"/>
      <c r="E1830" s="19"/>
    </row>
    <row r="1831" spans="2:5" x14ac:dyDescent="0.25">
      <c r="B1831" s="19"/>
      <c r="C1831" s="19"/>
      <c r="D1831" s="19"/>
      <c r="E1831" s="19"/>
    </row>
    <row r="1832" spans="2:5" x14ac:dyDescent="0.25">
      <c r="B1832" s="19"/>
      <c r="C1832" s="19"/>
      <c r="D1832" s="19"/>
      <c r="E1832" s="19"/>
    </row>
    <row r="1833" spans="2:5" x14ac:dyDescent="0.25">
      <c r="B1833" s="19"/>
      <c r="C1833" s="19"/>
      <c r="D1833" s="19"/>
      <c r="E1833" s="19"/>
    </row>
    <row r="1834" spans="2:5" x14ac:dyDescent="0.25">
      <c r="B1834" s="19"/>
      <c r="C1834" s="19"/>
      <c r="D1834" s="19"/>
      <c r="E1834" s="19"/>
    </row>
    <row r="1835" spans="2:5" x14ac:dyDescent="0.25">
      <c r="B1835" s="19"/>
      <c r="C1835" s="19"/>
      <c r="D1835" s="19"/>
      <c r="E1835" s="19"/>
    </row>
    <row r="1836" spans="2:5" x14ac:dyDescent="0.25">
      <c r="B1836" s="19"/>
      <c r="C1836" s="19"/>
      <c r="D1836" s="19"/>
      <c r="E1836" s="19"/>
    </row>
    <row r="1837" spans="2:5" x14ac:dyDescent="0.25">
      <c r="B1837" s="19"/>
      <c r="C1837" s="19"/>
      <c r="D1837" s="19"/>
      <c r="E1837" s="19"/>
    </row>
    <row r="1838" spans="2:5" x14ac:dyDescent="0.25">
      <c r="B1838" s="19"/>
      <c r="C1838" s="19"/>
      <c r="D1838" s="19"/>
      <c r="E1838" s="19"/>
    </row>
    <row r="1839" spans="2:5" x14ac:dyDescent="0.25">
      <c r="B1839" s="19"/>
      <c r="C1839" s="19"/>
      <c r="D1839" s="19"/>
      <c r="E1839" s="19"/>
    </row>
    <row r="1840" spans="2:5" x14ac:dyDescent="0.25">
      <c r="B1840" s="19"/>
      <c r="C1840" s="19"/>
      <c r="D1840" s="19"/>
      <c r="E1840" s="19"/>
    </row>
    <row r="1841" spans="2:5" x14ac:dyDescent="0.25">
      <c r="B1841" s="19"/>
      <c r="C1841" s="19"/>
      <c r="D1841" s="19"/>
      <c r="E1841" s="19"/>
    </row>
    <row r="1842" spans="2:5" x14ac:dyDescent="0.25">
      <c r="B1842" s="19"/>
      <c r="C1842" s="19"/>
      <c r="D1842" s="19"/>
      <c r="E1842" s="19"/>
    </row>
    <row r="1843" spans="2:5" x14ac:dyDescent="0.25">
      <c r="B1843" s="19"/>
      <c r="C1843" s="19"/>
      <c r="D1843" s="19"/>
      <c r="E1843" s="19"/>
    </row>
    <row r="1844" spans="2:5" x14ac:dyDescent="0.25">
      <c r="B1844" s="19"/>
      <c r="C1844" s="19"/>
      <c r="D1844" s="19"/>
      <c r="E1844" s="19"/>
    </row>
    <row r="1845" spans="2:5" x14ac:dyDescent="0.25">
      <c r="B1845" s="19"/>
      <c r="C1845" s="19"/>
      <c r="D1845" s="19"/>
      <c r="E1845" s="19"/>
    </row>
    <row r="1846" spans="2:5" x14ac:dyDescent="0.25">
      <c r="B1846" s="19"/>
      <c r="C1846" s="19"/>
      <c r="D1846" s="19"/>
      <c r="E1846" s="19"/>
    </row>
    <row r="1847" spans="2:5" x14ac:dyDescent="0.25">
      <c r="B1847" s="19"/>
      <c r="C1847" s="19"/>
      <c r="D1847" s="19"/>
      <c r="E1847" s="19"/>
    </row>
    <row r="1848" spans="2:5" x14ac:dyDescent="0.25">
      <c r="B1848" s="19"/>
      <c r="C1848" s="19"/>
      <c r="D1848" s="19"/>
      <c r="E1848" s="19"/>
    </row>
    <row r="1849" spans="2:5" x14ac:dyDescent="0.25">
      <c r="B1849" s="19"/>
      <c r="C1849" s="19"/>
      <c r="D1849" s="19"/>
      <c r="E1849" s="19"/>
    </row>
    <row r="1850" spans="2:5" x14ac:dyDescent="0.25">
      <c r="B1850" s="19"/>
      <c r="C1850" s="19"/>
      <c r="D1850" s="19"/>
      <c r="E1850" s="19"/>
    </row>
    <row r="1851" spans="2:5" x14ac:dyDescent="0.25">
      <c r="B1851" s="19"/>
      <c r="C1851" s="19"/>
      <c r="D1851" s="19"/>
      <c r="E1851" s="19"/>
    </row>
    <row r="1852" spans="2:5" x14ac:dyDescent="0.25">
      <c r="B1852" s="19"/>
      <c r="C1852" s="19"/>
      <c r="D1852" s="19"/>
      <c r="E1852" s="19"/>
    </row>
    <row r="1853" spans="2:5" x14ac:dyDescent="0.25">
      <c r="B1853" s="19"/>
      <c r="C1853" s="19"/>
      <c r="D1853" s="19"/>
      <c r="E1853" s="19"/>
    </row>
    <row r="1854" spans="2:5" x14ac:dyDescent="0.25">
      <c r="B1854" s="19"/>
      <c r="C1854" s="19"/>
      <c r="D1854" s="19"/>
      <c r="E1854" s="19"/>
    </row>
    <row r="1855" spans="2:5" x14ac:dyDescent="0.25">
      <c r="B1855" s="19"/>
      <c r="C1855" s="19"/>
      <c r="D1855" s="19"/>
      <c r="E1855" s="19"/>
    </row>
    <row r="1856" spans="2:5" x14ac:dyDescent="0.25">
      <c r="B1856" s="19"/>
      <c r="C1856" s="19"/>
      <c r="D1856" s="19"/>
      <c r="E1856" s="19"/>
    </row>
    <row r="1857" spans="2:5" x14ac:dyDescent="0.25">
      <c r="B1857" s="19"/>
      <c r="C1857" s="19"/>
      <c r="D1857" s="19"/>
      <c r="E1857" s="19"/>
    </row>
    <row r="1858" spans="2:5" x14ac:dyDescent="0.25">
      <c r="B1858" s="19"/>
      <c r="C1858" s="19"/>
      <c r="D1858" s="19"/>
      <c r="E1858" s="19"/>
    </row>
    <row r="1859" spans="2:5" x14ac:dyDescent="0.25">
      <c r="B1859" s="19"/>
      <c r="C1859" s="19"/>
      <c r="D1859" s="19"/>
      <c r="E1859" s="19"/>
    </row>
    <row r="1860" spans="2:5" x14ac:dyDescent="0.25">
      <c r="B1860" s="19"/>
      <c r="C1860" s="19"/>
      <c r="D1860" s="19"/>
      <c r="E1860" s="19"/>
    </row>
    <row r="1861" spans="2:5" x14ac:dyDescent="0.25">
      <c r="B1861" s="19"/>
      <c r="C1861" s="19"/>
      <c r="D1861" s="19"/>
      <c r="E1861" s="19"/>
    </row>
    <row r="1862" spans="2:5" x14ac:dyDescent="0.25">
      <c r="B1862" s="19"/>
      <c r="C1862" s="19"/>
      <c r="D1862" s="19"/>
      <c r="E1862" s="19"/>
    </row>
  </sheetData>
  <mergeCells count="12">
    <mergeCell ref="G16:H16"/>
    <mergeCell ref="G17:H17"/>
    <mergeCell ref="G18:H18"/>
    <mergeCell ref="G19:H19"/>
    <mergeCell ref="G8:H8"/>
    <mergeCell ref="G14:H14"/>
    <mergeCell ref="G15:H15"/>
    <mergeCell ref="G12:H12"/>
    <mergeCell ref="G9:H9"/>
    <mergeCell ref="G10:H10"/>
    <mergeCell ref="G11:H11"/>
    <mergeCell ref="G13:H13"/>
  </mergeCells>
  <conditionalFormatting sqref="D6:D1862">
    <cfRule type="cellIs" dxfId="3" priority="11" operator="equal">
      <formula>$Q$4</formula>
    </cfRule>
    <cfRule type="cellIs" dxfId="2" priority="12" operator="equal">
      <formula>$Q$2</formula>
    </cfRule>
    <cfRule type="cellIs" dxfId="1" priority="13" operator="equal">
      <formula>$Q$3</formula>
    </cfRule>
  </conditionalFormatting>
  <conditionalFormatting sqref="A11">
    <cfRule type="cellIs" dxfId="0" priority="4" operator="notEqual">
      <formula>$A$9</formula>
    </cfRule>
  </conditionalFormatting>
  <dataValidations count="2">
    <dataValidation type="list" allowBlank="1" showInputMessage="1" showErrorMessage="1" sqref="B3">
      <formula1>$P$2:$P$45</formula1>
    </dataValidation>
    <dataValidation type="list" allowBlank="1" showInputMessage="1" showErrorMessage="1" sqref="D6:D1862">
      <formula1>$Q$2:$Q$4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mport_data">
                <anchor moveWithCells="1" sizeWithCells="1">
                  <from>
                    <xdr:col>2</xdr:col>
                    <xdr:colOff>333375</xdr:colOff>
                    <xdr:row>0</xdr:row>
                    <xdr:rowOff>57150</xdr:rowOff>
                  </from>
                  <to>
                    <xdr:col>2</xdr:col>
                    <xdr:colOff>2047875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generate_dt">
                <anchor moveWithCells="1" sizeWithCells="1">
                  <from>
                    <xdr:col>3</xdr:col>
                    <xdr:colOff>19050</xdr:colOff>
                    <xdr:row>0</xdr:row>
                    <xdr:rowOff>47625</xdr:rowOff>
                  </from>
                  <to>
                    <xdr:col>6</xdr:col>
                    <xdr:colOff>171450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format_plot">
                <anchor moveWithCells="1" sizeWithCells="1">
                  <from>
                    <xdr:col>6</xdr:col>
                    <xdr:colOff>295275</xdr:colOff>
                    <xdr:row>0</xdr:row>
                    <xdr:rowOff>38100</xdr:rowOff>
                  </from>
                  <to>
                    <xdr:col>9</xdr:col>
                    <xdr:colOff>361950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Label 8">
              <controlPr defaultSize="0" autoFill="0" autoLine="0" autoPict="0">
                <anchor moveWithCells="1" sizeWithCells="1">
                  <from>
                    <xdr:col>8</xdr:col>
                    <xdr:colOff>9525</xdr:colOff>
                    <xdr:row>22</xdr:row>
                    <xdr:rowOff>19050</xdr:rowOff>
                  </from>
                  <to>
                    <xdr:col>9</xdr:col>
                    <xdr:colOff>657225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7" name="Label 9">
              <controlPr defaultSize="0" autoFill="0" autoLine="0" autoPict="0">
                <anchor moveWithCells="1" sizeWithCells="1">
                  <from>
                    <xdr:col>9</xdr:col>
                    <xdr:colOff>38100</xdr:colOff>
                    <xdr:row>20</xdr:row>
                    <xdr:rowOff>9525</xdr:rowOff>
                  </from>
                  <to>
                    <xdr:col>12</xdr:col>
                    <xdr:colOff>571500</xdr:colOff>
                    <xdr:row>21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Q1285"/>
  <sheetViews>
    <sheetView workbookViewId="0">
      <selection activeCell="AG8" sqref="AG8:BK200"/>
    </sheetView>
  </sheetViews>
  <sheetFormatPr defaultRowHeight="15" x14ac:dyDescent="0.25"/>
  <cols>
    <col min="1" max="1" width="15.85546875" bestFit="1" customWidth="1"/>
    <col min="2" max="2" width="9.5703125" customWidth="1"/>
  </cols>
  <sheetData>
    <row r="1" spans="1:199" ht="15.75" thickBot="1" x14ac:dyDescent="0.3">
      <c r="A1" s="12"/>
      <c r="B1" s="1" t="s">
        <v>55</v>
      </c>
      <c r="C1" s="1" t="s">
        <v>75</v>
      </c>
      <c r="D1" s="1" t="s">
        <v>78</v>
      </c>
      <c r="E1" s="1" t="s">
        <v>81</v>
      </c>
      <c r="F1" s="1" t="s">
        <v>57</v>
      </c>
      <c r="G1" s="1" t="s">
        <v>85</v>
      </c>
      <c r="H1" s="1" t="s">
        <v>88</v>
      </c>
      <c r="I1" s="1" t="s">
        <v>91</v>
      </c>
      <c r="J1" s="1" t="s">
        <v>94</v>
      </c>
      <c r="K1" s="1" t="s">
        <v>97</v>
      </c>
      <c r="L1" s="1" t="s">
        <v>100</v>
      </c>
      <c r="M1" s="1" t="s">
        <v>64</v>
      </c>
      <c r="N1" s="1" t="s">
        <v>59</v>
      </c>
      <c r="O1" s="1" t="s">
        <v>106</v>
      </c>
      <c r="P1" s="1" t="s">
        <v>109</v>
      </c>
      <c r="Q1" s="1" t="s">
        <v>65</v>
      </c>
      <c r="R1" s="1" t="s">
        <v>61</v>
      </c>
      <c r="S1" s="1" t="s">
        <v>49</v>
      </c>
      <c r="T1" s="1" t="s">
        <v>116</v>
      </c>
      <c r="U1" s="1" t="s">
        <v>119</v>
      </c>
      <c r="V1" s="1" t="s">
        <v>122</v>
      </c>
      <c r="W1" s="1" t="s">
        <v>125</v>
      </c>
      <c r="X1" s="1" t="s">
        <v>128</v>
      </c>
      <c r="Y1" s="1" t="s">
        <v>131</v>
      </c>
      <c r="Z1" s="1" t="s">
        <v>134</v>
      </c>
      <c r="AA1" s="1" t="s">
        <v>51</v>
      </c>
      <c r="AB1" s="1" t="s">
        <v>53</v>
      </c>
      <c r="AC1" s="1" t="s">
        <v>139</v>
      </c>
      <c r="AD1" s="1" t="s">
        <v>142</v>
      </c>
      <c r="AE1" s="1" t="s">
        <v>63</v>
      </c>
      <c r="AF1" s="1" t="s">
        <v>146</v>
      </c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</row>
    <row r="2" spans="1:199" x14ac:dyDescent="0.25">
      <c r="A2" s="54"/>
      <c r="B2" s="1" t="s">
        <v>13</v>
      </c>
      <c r="C2" s="1" t="s">
        <v>15</v>
      </c>
      <c r="D2" s="1" t="s">
        <v>16</v>
      </c>
      <c r="E2" s="1" t="s">
        <v>18</v>
      </c>
      <c r="F2" s="1" t="s">
        <v>42</v>
      </c>
      <c r="G2" s="1" t="s">
        <v>17</v>
      </c>
      <c r="H2" s="1" t="s">
        <v>19</v>
      </c>
      <c r="I2" s="1" t="s">
        <v>20</v>
      </c>
      <c r="J2" s="1" t="s">
        <v>21</v>
      </c>
      <c r="K2" s="1" t="s">
        <v>22</v>
      </c>
      <c r="L2" s="1" t="s">
        <v>23</v>
      </c>
      <c r="M2" s="1" t="s">
        <v>44</v>
      </c>
      <c r="N2" s="1" t="s">
        <v>24</v>
      </c>
      <c r="O2" s="1" t="s">
        <v>25</v>
      </c>
      <c r="P2" s="1" t="s">
        <v>43</v>
      </c>
      <c r="Q2" s="1" t="s">
        <v>26</v>
      </c>
      <c r="R2" s="1" t="s">
        <v>27</v>
      </c>
      <c r="S2" s="1" t="s">
        <v>29</v>
      </c>
      <c r="T2" s="1" t="s">
        <v>28</v>
      </c>
      <c r="U2" s="1" t="s">
        <v>45</v>
      </c>
      <c r="V2" s="1" t="s">
        <v>66</v>
      </c>
      <c r="W2" s="1" t="s">
        <v>33</v>
      </c>
      <c r="X2" s="1" t="s">
        <v>34</v>
      </c>
      <c r="Y2" s="1" t="s">
        <v>30</v>
      </c>
      <c r="Z2" s="1" t="s">
        <v>67</v>
      </c>
      <c r="AA2" s="1" t="s">
        <v>31</v>
      </c>
      <c r="AB2" s="1" t="s">
        <v>32</v>
      </c>
      <c r="AC2" s="1" t="s">
        <v>35</v>
      </c>
      <c r="AD2" s="1" t="s">
        <v>46</v>
      </c>
      <c r="AE2" s="1" t="s">
        <v>14</v>
      </c>
      <c r="AF2" s="1" t="s">
        <v>47</v>
      </c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</row>
    <row r="3" spans="1:199" x14ac:dyDescent="0.25">
      <c r="A3" s="55"/>
      <c r="B3" t="s">
        <v>54</v>
      </c>
      <c r="C3" t="s">
        <v>73</v>
      </c>
      <c r="D3" t="s">
        <v>76</v>
      </c>
      <c r="E3" t="s">
        <v>79</v>
      </c>
      <c r="F3" t="s">
        <v>56</v>
      </c>
      <c r="G3" t="s">
        <v>83</v>
      </c>
      <c r="H3" t="s">
        <v>86</v>
      </c>
      <c r="I3" t="s">
        <v>89</v>
      </c>
      <c r="J3" t="s">
        <v>92</v>
      </c>
      <c r="K3" t="s">
        <v>95</v>
      </c>
      <c r="L3" t="s">
        <v>98</v>
      </c>
      <c r="M3" t="s">
        <v>101</v>
      </c>
      <c r="N3" t="s">
        <v>58</v>
      </c>
      <c r="O3" t="s">
        <v>104</v>
      </c>
      <c r="P3" t="s">
        <v>107</v>
      </c>
      <c r="Q3" t="s">
        <v>110</v>
      </c>
      <c r="R3" t="s">
        <v>60</v>
      </c>
      <c r="S3" t="s">
        <v>48</v>
      </c>
      <c r="T3" t="s">
        <v>114</v>
      </c>
      <c r="U3" t="s">
        <v>117</v>
      </c>
      <c r="V3" t="s">
        <v>120</v>
      </c>
      <c r="W3" t="s">
        <v>123</v>
      </c>
      <c r="X3" t="s">
        <v>126</v>
      </c>
      <c r="Y3" t="s">
        <v>129</v>
      </c>
      <c r="Z3" t="s">
        <v>132</v>
      </c>
      <c r="AA3" t="s">
        <v>50</v>
      </c>
      <c r="AB3" t="s">
        <v>52</v>
      </c>
      <c r="AC3" t="s">
        <v>137</v>
      </c>
      <c r="AD3" t="s">
        <v>140</v>
      </c>
      <c r="AE3" t="s">
        <v>62</v>
      </c>
      <c r="AF3" t="s">
        <v>144</v>
      </c>
    </row>
    <row r="4" spans="1:199" x14ac:dyDescent="0.25">
      <c r="A4" s="55"/>
      <c r="B4" t="s">
        <v>69</v>
      </c>
      <c r="C4" t="s">
        <v>69</v>
      </c>
      <c r="D4" t="s">
        <v>69</v>
      </c>
      <c r="E4" t="s">
        <v>69</v>
      </c>
      <c r="F4" t="s">
        <v>69</v>
      </c>
      <c r="G4" t="s">
        <v>69</v>
      </c>
      <c r="H4" t="s">
        <v>69</v>
      </c>
      <c r="I4" t="s">
        <v>69</v>
      </c>
      <c r="J4" t="s">
        <v>69</v>
      </c>
      <c r="K4" t="s">
        <v>69</v>
      </c>
      <c r="L4" t="s">
        <v>69</v>
      </c>
      <c r="M4" t="s">
        <v>69</v>
      </c>
      <c r="N4" t="s">
        <v>69</v>
      </c>
      <c r="O4" t="s">
        <v>69</v>
      </c>
      <c r="P4" t="s">
        <v>69</v>
      </c>
      <c r="Q4" t="s">
        <v>69</v>
      </c>
      <c r="R4" t="s">
        <v>69</v>
      </c>
      <c r="S4" t="s">
        <v>69</v>
      </c>
      <c r="T4" t="s">
        <v>69</v>
      </c>
      <c r="U4" t="s">
        <v>69</v>
      </c>
      <c r="V4" t="s">
        <v>69</v>
      </c>
      <c r="W4" t="s">
        <v>69</v>
      </c>
      <c r="X4" t="s">
        <v>69</v>
      </c>
      <c r="Y4" t="s">
        <v>69</v>
      </c>
      <c r="Z4" t="s">
        <v>69</v>
      </c>
      <c r="AA4" t="s">
        <v>69</v>
      </c>
      <c r="AB4" t="s">
        <v>69</v>
      </c>
      <c r="AC4" t="s">
        <v>69</v>
      </c>
      <c r="AD4" t="s">
        <v>69</v>
      </c>
      <c r="AE4" t="s">
        <v>69</v>
      </c>
      <c r="AF4" t="s">
        <v>69</v>
      </c>
    </row>
    <row r="5" spans="1:199" x14ac:dyDescent="0.25">
      <c r="A5" s="55"/>
      <c r="B5" t="s">
        <v>70</v>
      </c>
      <c r="C5" t="s">
        <v>70</v>
      </c>
      <c r="D5" t="s">
        <v>70</v>
      </c>
      <c r="E5" t="s">
        <v>70</v>
      </c>
      <c r="F5" t="s">
        <v>70</v>
      </c>
      <c r="G5" t="s">
        <v>70</v>
      </c>
      <c r="H5" t="s">
        <v>70</v>
      </c>
      <c r="I5" t="s">
        <v>70</v>
      </c>
      <c r="J5" t="s">
        <v>70</v>
      </c>
      <c r="K5" t="s">
        <v>70</v>
      </c>
      <c r="L5" t="s">
        <v>70</v>
      </c>
      <c r="M5" t="s">
        <v>70</v>
      </c>
      <c r="N5" t="s">
        <v>70</v>
      </c>
      <c r="O5" t="s">
        <v>70</v>
      </c>
      <c r="P5" t="s">
        <v>70</v>
      </c>
      <c r="Q5" t="s">
        <v>70</v>
      </c>
      <c r="R5" t="s">
        <v>70</v>
      </c>
      <c r="S5" t="s">
        <v>70</v>
      </c>
      <c r="T5" t="s">
        <v>70</v>
      </c>
      <c r="U5" t="s">
        <v>70</v>
      </c>
      <c r="V5" t="s">
        <v>70</v>
      </c>
      <c r="W5" t="s">
        <v>70</v>
      </c>
      <c r="X5" t="s">
        <v>70</v>
      </c>
      <c r="Y5" t="s">
        <v>70</v>
      </c>
      <c r="Z5" t="s">
        <v>70</v>
      </c>
      <c r="AA5" t="s">
        <v>70</v>
      </c>
      <c r="AB5" t="s">
        <v>70</v>
      </c>
      <c r="AC5" t="s">
        <v>70</v>
      </c>
      <c r="AD5" t="s">
        <v>70</v>
      </c>
      <c r="AE5" t="s">
        <v>70</v>
      </c>
      <c r="AF5" t="s">
        <v>70</v>
      </c>
    </row>
    <row r="6" spans="1:199" ht="15.75" thickBot="1" x14ac:dyDescent="0.3">
      <c r="A6" s="56"/>
      <c r="B6" t="s">
        <v>71</v>
      </c>
      <c r="C6" t="s">
        <v>74</v>
      </c>
      <c r="D6" t="s">
        <v>77</v>
      </c>
      <c r="E6" t="s">
        <v>80</v>
      </c>
      <c r="F6" t="s">
        <v>82</v>
      </c>
      <c r="G6" t="s">
        <v>84</v>
      </c>
      <c r="H6" t="s">
        <v>87</v>
      </c>
      <c r="I6" t="s">
        <v>90</v>
      </c>
      <c r="J6" t="s">
        <v>93</v>
      </c>
      <c r="K6" t="s">
        <v>96</v>
      </c>
      <c r="L6" t="s">
        <v>99</v>
      </c>
      <c r="M6" t="s">
        <v>102</v>
      </c>
      <c r="N6" t="s">
        <v>103</v>
      </c>
      <c r="O6" t="s">
        <v>105</v>
      </c>
      <c r="P6" t="s">
        <v>108</v>
      </c>
      <c r="Q6" t="s">
        <v>111</v>
      </c>
      <c r="R6" t="s">
        <v>112</v>
      </c>
      <c r="S6" t="s">
        <v>113</v>
      </c>
      <c r="T6" t="s">
        <v>115</v>
      </c>
      <c r="U6" t="s">
        <v>118</v>
      </c>
      <c r="V6" t="s">
        <v>121</v>
      </c>
      <c r="W6" t="s">
        <v>124</v>
      </c>
      <c r="X6" t="s">
        <v>127</v>
      </c>
      <c r="Y6" t="s">
        <v>130</v>
      </c>
      <c r="Z6" t="s">
        <v>133</v>
      </c>
      <c r="AA6" t="s">
        <v>135</v>
      </c>
      <c r="AB6" t="s">
        <v>136</v>
      </c>
      <c r="AC6" t="s">
        <v>138</v>
      </c>
      <c r="AD6" t="s">
        <v>141</v>
      </c>
      <c r="AE6" t="s">
        <v>143</v>
      </c>
      <c r="AF6" t="s">
        <v>145</v>
      </c>
    </row>
    <row r="7" spans="1:199" s="1" customFormat="1" x14ac:dyDescent="0.25">
      <c r="A7" s="6"/>
      <c r="B7" s="1" t="s">
        <v>72</v>
      </c>
      <c r="C7" s="1" t="s">
        <v>72</v>
      </c>
      <c r="D7" s="1" t="s">
        <v>72</v>
      </c>
      <c r="E7" s="1" t="s">
        <v>72</v>
      </c>
      <c r="F7" s="1" t="s">
        <v>72</v>
      </c>
      <c r="G7" s="1" t="s">
        <v>72</v>
      </c>
      <c r="H7" s="1" t="s">
        <v>72</v>
      </c>
      <c r="I7" s="1" t="s">
        <v>72</v>
      </c>
      <c r="J7" s="1" t="s">
        <v>72</v>
      </c>
      <c r="K7" s="1" t="s">
        <v>72</v>
      </c>
      <c r="L7" s="1" t="s">
        <v>72</v>
      </c>
      <c r="M7" s="1" t="s">
        <v>72</v>
      </c>
      <c r="N7" s="1" t="s">
        <v>72</v>
      </c>
      <c r="O7" s="1" t="s">
        <v>72</v>
      </c>
      <c r="P7" s="1" t="s">
        <v>72</v>
      </c>
      <c r="Q7" s="1" t="s">
        <v>72</v>
      </c>
      <c r="R7" s="1" t="s">
        <v>72</v>
      </c>
      <c r="S7" s="1" t="s">
        <v>72</v>
      </c>
      <c r="T7" s="1" t="s">
        <v>72</v>
      </c>
      <c r="U7" s="1" t="s">
        <v>72</v>
      </c>
      <c r="V7" s="1" t="s">
        <v>72</v>
      </c>
      <c r="W7" s="1" t="s">
        <v>72</v>
      </c>
      <c r="X7" s="1" t="s">
        <v>72</v>
      </c>
      <c r="Y7" s="1" t="s">
        <v>72</v>
      </c>
      <c r="Z7" s="1" t="s">
        <v>72</v>
      </c>
      <c r="AA7" s="1" t="s">
        <v>72</v>
      </c>
      <c r="AB7" s="1" t="s">
        <v>72</v>
      </c>
      <c r="AC7" s="1" t="s">
        <v>72</v>
      </c>
      <c r="AD7" s="1" t="s">
        <v>72</v>
      </c>
      <c r="AE7" s="1" t="s">
        <v>72</v>
      </c>
      <c r="AF7" s="1" t="s">
        <v>72</v>
      </c>
    </row>
    <row r="8" spans="1:199" s="1" customFormat="1" x14ac:dyDescent="0.25">
      <c r="A8" s="6">
        <v>27053.375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</row>
    <row r="9" spans="1:199" s="1" customFormat="1" x14ac:dyDescent="0.25">
      <c r="A9" s="6">
        <v>27053.416666666668</v>
      </c>
      <c r="B9" s="1">
        <v>5.04</v>
      </c>
      <c r="C9" s="1">
        <v>0</v>
      </c>
      <c r="D9" s="1">
        <v>0</v>
      </c>
      <c r="E9" s="1">
        <v>0</v>
      </c>
      <c r="F9" s="1">
        <v>0.9</v>
      </c>
      <c r="G9" s="1">
        <v>0.5</v>
      </c>
      <c r="H9" s="1">
        <v>2</v>
      </c>
      <c r="I9" s="1">
        <v>0</v>
      </c>
      <c r="J9" s="1">
        <v>0</v>
      </c>
      <c r="K9" s="1">
        <v>1</v>
      </c>
      <c r="L9" s="1">
        <v>1.33</v>
      </c>
      <c r="M9" s="1">
        <v>2</v>
      </c>
      <c r="N9" s="1">
        <v>0</v>
      </c>
      <c r="O9" s="1">
        <v>1</v>
      </c>
      <c r="P9" s="1">
        <v>0</v>
      </c>
      <c r="Q9" s="1">
        <v>1</v>
      </c>
      <c r="R9" s="1">
        <v>0.78</v>
      </c>
      <c r="S9" s="1">
        <v>0</v>
      </c>
      <c r="T9" s="1">
        <v>0</v>
      </c>
      <c r="U9" s="1">
        <v>0.09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4.41</v>
      </c>
      <c r="AF9" s="1">
        <v>5.77</v>
      </c>
    </row>
    <row r="10" spans="1:199" s="1" customFormat="1" x14ac:dyDescent="0.25">
      <c r="A10" s="6">
        <v>27053.458333333332</v>
      </c>
      <c r="B10" s="1">
        <v>18.100000000000001</v>
      </c>
      <c r="C10" s="1">
        <v>0</v>
      </c>
      <c r="D10" s="1">
        <v>1</v>
      </c>
      <c r="E10" s="1">
        <v>0</v>
      </c>
      <c r="F10" s="1">
        <v>1.66</v>
      </c>
      <c r="G10" s="1">
        <v>1.18</v>
      </c>
      <c r="H10" s="1">
        <v>1</v>
      </c>
      <c r="I10" s="1">
        <v>0</v>
      </c>
      <c r="J10" s="1">
        <v>0</v>
      </c>
      <c r="K10" s="1">
        <v>0</v>
      </c>
      <c r="L10" s="1">
        <v>1.33</v>
      </c>
      <c r="M10" s="1">
        <v>2</v>
      </c>
      <c r="N10" s="1">
        <v>0</v>
      </c>
      <c r="O10" s="1">
        <v>0</v>
      </c>
      <c r="P10" s="1">
        <v>0</v>
      </c>
      <c r="Q10" s="1">
        <v>0</v>
      </c>
      <c r="R10" s="1">
        <v>1.02</v>
      </c>
      <c r="S10" s="1">
        <v>0</v>
      </c>
      <c r="T10" s="1">
        <v>1</v>
      </c>
      <c r="U10" s="1">
        <v>0.52</v>
      </c>
      <c r="V10" s="1">
        <v>1</v>
      </c>
      <c r="W10" s="1">
        <v>2</v>
      </c>
      <c r="X10" s="1">
        <v>1</v>
      </c>
      <c r="Y10" s="1">
        <v>0</v>
      </c>
      <c r="Z10" s="1">
        <v>0.85</v>
      </c>
      <c r="AA10" s="1">
        <v>3.22</v>
      </c>
      <c r="AB10" s="1">
        <v>2.85</v>
      </c>
      <c r="AC10" s="1">
        <v>1</v>
      </c>
      <c r="AD10" s="1">
        <v>0</v>
      </c>
      <c r="AE10" s="1">
        <v>1.38</v>
      </c>
      <c r="AF10" s="1">
        <v>2.4700000000000002</v>
      </c>
    </row>
    <row r="11" spans="1:199" s="1" customFormat="1" x14ac:dyDescent="0.25">
      <c r="A11" s="6">
        <v>27053.5</v>
      </c>
      <c r="B11" s="1">
        <v>5.34</v>
      </c>
      <c r="C11" s="1">
        <v>0</v>
      </c>
      <c r="D11" s="1">
        <v>3</v>
      </c>
      <c r="E11" s="1">
        <v>0</v>
      </c>
      <c r="F11" s="1">
        <v>2.04</v>
      </c>
      <c r="G11" s="1">
        <v>1.3</v>
      </c>
      <c r="H11" s="1">
        <v>0</v>
      </c>
      <c r="I11" s="1">
        <v>0</v>
      </c>
      <c r="J11" s="1">
        <v>0</v>
      </c>
      <c r="K11" s="1">
        <v>0</v>
      </c>
      <c r="L11" s="1">
        <v>1.33</v>
      </c>
      <c r="M11" s="1">
        <v>7</v>
      </c>
      <c r="N11" s="1">
        <v>0</v>
      </c>
      <c r="O11" s="1">
        <v>0</v>
      </c>
      <c r="P11" s="1">
        <v>1.1000000000000001</v>
      </c>
      <c r="Q11" s="1">
        <v>0</v>
      </c>
      <c r="R11" s="1">
        <v>0</v>
      </c>
      <c r="S11" s="1">
        <v>0</v>
      </c>
      <c r="T11" s="1">
        <v>5</v>
      </c>
      <c r="U11" s="1">
        <v>6.21</v>
      </c>
      <c r="V11" s="1">
        <v>5</v>
      </c>
      <c r="W11" s="1">
        <v>4</v>
      </c>
      <c r="X11" s="1">
        <v>1</v>
      </c>
      <c r="Y11" s="1">
        <v>2</v>
      </c>
      <c r="Z11" s="1">
        <v>5.22</v>
      </c>
      <c r="AA11" s="1">
        <v>6.33</v>
      </c>
      <c r="AB11" s="1">
        <v>3.67</v>
      </c>
      <c r="AC11" s="1">
        <v>4</v>
      </c>
      <c r="AD11" s="1">
        <v>0</v>
      </c>
      <c r="AE11" s="1">
        <v>0.21</v>
      </c>
      <c r="AF11" s="1">
        <v>2.37</v>
      </c>
    </row>
    <row r="12" spans="1:199" s="1" customFormat="1" x14ac:dyDescent="0.25">
      <c r="A12" s="6">
        <v>27053.541666666668</v>
      </c>
      <c r="B12" s="1">
        <v>9.5500000000000007</v>
      </c>
      <c r="C12" s="1">
        <v>0</v>
      </c>
      <c r="D12" s="1">
        <v>3</v>
      </c>
      <c r="E12" s="1">
        <v>0</v>
      </c>
      <c r="F12" s="1">
        <v>2.2000000000000002</v>
      </c>
      <c r="G12" s="1">
        <v>1.29</v>
      </c>
      <c r="H12" s="1">
        <v>2</v>
      </c>
      <c r="I12" s="1">
        <v>0</v>
      </c>
      <c r="J12" s="1">
        <v>1</v>
      </c>
      <c r="K12" s="1">
        <v>0</v>
      </c>
      <c r="L12" s="1">
        <v>1.33</v>
      </c>
      <c r="M12" s="1">
        <v>10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1.2</v>
      </c>
      <c r="T12" s="1">
        <v>6</v>
      </c>
      <c r="U12" s="1">
        <v>9.4499999999999993</v>
      </c>
      <c r="V12" s="1">
        <v>5</v>
      </c>
      <c r="W12" s="1">
        <v>5</v>
      </c>
      <c r="X12" s="1">
        <v>12</v>
      </c>
      <c r="Y12" s="1">
        <v>6</v>
      </c>
      <c r="Z12" s="1">
        <v>6.73</v>
      </c>
      <c r="AA12" s="1">
        <v>4.05</v>
      </c>
      <c r="AB12" s="1">
        <v>1.79</v>
      </c>
      <c r="AC12" s="1">
        <v>9</v>
      </c>
      <c r="AD12" s="1">
        <v>0</v>
      </c>
      <c r="AE12" s="1">
        <v>0.1</v>
      </c>
      <c r="AF12" s="1">
        <v>0.4</v>
      </c>
    </row>
    <row r="13" spans="1:199" s="1" customFormat="1" x14ac:dyDescent="0.25">
      <c r="A13" s="6">
        <v>27053.583333333332</v>
      </c>
      <c r="B13" s="1">
        <v>2.29</v>
      </c>
      <c r="C13" s="1">
        <v>0</v>
      </c>
      <c r="D13" s="1">
        <v>4</v>
      </c>
      <c r="E13" s="1">
        <v>1</v>
      </c>
      <c r="F13" s="1">
        <v>0.1</v>
      </c>
      <c r="G13" s="1">
        <v>1.79</v>
      </c>
      <c r="H13" s="1">
        <v>2</v>
      </c>
      <c r="I13" s="1">
        <v>0</v>
      </c>
      <c r="J13" s="1">
        <v>0</v>
      </c>
      <c r="K13" s="1">
        <v>1</v>
      </c>
      <c r="L13" s="1">
        <v>1.33</v>
      </c>
      <c r="M13" s="1">
        <v>8</v>
      </c>
      <c r="N13" s="1">
        <v>0</v>
      </c>
      <c r="O13" s="1">
        <v>0</v>
      </c>
      <c r="P13" s="1">
        <v>0</v>
      </c>
      <c r="Q13" s="1">
        <v>1</v>
      </c>
      <c r="R13" s="1">
        <v>0</v>
      </c>
      <c r="S13" s="1">
        <v>5.21</v>
      </c>
      <c r="T13" s="1">
        <v>5</v>
      </c>
      <c r="U13" s="1">
        <v>7.57</v>
      </c>
      <c r="V13" s="1">
        <v>10</v>
      </c>
      <c r="W13" s="1">
        <v>1</v>
      </c>
      <c r="X13" s="1">
        <v>5</v>
      </c>
      <c r="Y13" s="1">
        <v>1</v>
      </c>
      <c r="Z13" s="1">
        <v>1.1000000000000001</v>
      </c>
      <c r="AA13" s="1">
        <v>0</v>
      </c>
      <c r="AB13" s="1">
        <v>0.3</v>
      </c>
      <c r="AC13" s="1">
        <v>7</v>
      </c>
      <c r="AD13" s="1">
        <v>0</v>
      </c>
      <c r="AE13" s="1">
        <v>0.3</v>
      </c>
      <c r="AF13" s="1">
        <v>0</v>
      </c>
    </row>
    <row r="14" spans="1:199" s="1" customFormat="1" x14ac:dyDescent="0.25">
      <c r="A14" s="6">
        <v>27053.625</v>
      </c>
      <c r="B14" s="1">
        <v>6.04</v>
      </c>
      <c r="C14" s="1">
        <v>0</v>
      </c>
      <c r="D14" s="1">
        <v>1</v>
      </c>
      <c r="E14" s="1">
        <v>0</v>
      </c>
      <c r="F14" s="1">
        <v>0.54</v>
      </c>
      <c r="G14" s="1">
        <v>0.71</v>
      </c>
      <c r="H14" s="1">
        <v>3</v>
      </c>
      <c r="I14" s="1">
        <v>1.1000000000000001</v>
      </c>
      <c r="J14" s="1">
        <v>1</v>
      </c>
      <c r="K14" s="1">
        <v>3</v>
      </c>
      <c r="L14" s="1">
        <v>1.33</v>
      </c>
      <c r="M14" s="1">
        <v>9</v>
      </c>
      <c r="N14" s="1">
        <v>0.2</v>
      </c>
      <c r="O14" s="1">
        <v>1</v>
      </c>
      <c r="P14" s="1">
        <v>0</v>
      </c>
      <c r="Q14" s="1">
        <v>3</v>
      </c>
      <c r="R14" s="1">
        <v>0.6</v>
      </c>
      <c r="S14" s="1">
        <v>8.2899999999999991</v>
      </c>
      <c r="T14" s="1">
        <v>7</v>
      </c>
      <c r="U14" s="1">
        <v>1.0900000000000001</v>
      </c>
      <c r="V14" s="1">
        <v>5</v>
      </c>
      <c r="W14" s="1">
        <v>1</v>
      </c>
      <c r="X14" s="1">
        <v>2</v>
      </c>
      <c r="Y14" s="1">
        <v>0</v>
      </c>
      <c r="Z14" s="1">
        <v>0.09</v>
      </c>
      <c r="AA14" s="1">
        <v>0.9</v>
      </c>
      <c r="AB14" s="1">
        <v>0.2</v>
      </c>
      <c r="AC14" s="1">
        <v>2</v>
      </c>
      <c r="AD14" s="1">
        <v>0</v>
      </c>
      <c r="AE14" s="1">
        <v>5.17</v>
      </c>
      <c r="AF14" s="1">
        <v>4.6900000000000004</v>
      </c>
    </row>
    <row r="15" spans="1:199" s="1" customFormat="1" x14ac:dyDescent="0.25">
      <c r="A15" s="6">
        <v>27053.666666666668</v>
      </c>
      <c r="B15" s="1">
        <v>9.2899999999999991</v>
      </c>
      <c r="C15" s="1">
        <v>0</v>
      </c>
      <c r="D15" s="1">
        <v>3</v>
      </c>
      <c r="E15" s="1">
        <v>2</v>
      </c>
      <c r="F15" s="1">
        <v>4.26</v>
      </c>
      <c r="G15" s="1">
        <v>0.46</v>
      </c>
      <c r="H15" s="1">
        <v>3</v>
      </c>
      <c r="I15" s="1">
        <v>0.55000000000000004</v>
      </c>
      <c r="J15" s="1">
        <v>1</v>
      </c>
      <c r="K15" s="1">
        <v>5</v>
      </c>
      <c r="L15" s="1">
        <v>1.33</v>
      </c>
      <c r="M15" s="1">
        <v>1</v>
      </c>
      <c r="N15" s="1">
        <v>0.71</v>
      </c>
      <c r="O15" s="1">
        <v>2</v>
      </c>
      <c r="P15" s="1">
        <v>1</v>
      </c>
      <c r="Q15" s="1">
        <v>5</v>
      </c>
      <c r="R15" s="1">
        <v>0.7</v>
      </c>
      <c r="S15" s="1">
        <v>4</v>
      </c>
      <c r="T15" s="1">
        <v>5</v>
      </c>
      <c r="U15" s="1">
        <v>0.38</v>
      </c>
      <c r="V15" s="1">
        <v>4</v>
      </c>
      <c r="W15" s="1">
        <v>1</v>
      </c>
      <c r="X15" s="1">
        <v>0</v>
      </c>
      <c r="Y15" s="1">
        <v>8</v>
      </c>
      <c r="Z15" s="1">
        <v>0.61</v>
      </c>
      <c r="AA15" s="1">
        <v>0.3</v>
      </c>
      <c r="AB15" s="1">
        <v>0</v>
      </c>
      <c r="AC15" s="1">
        <v>1</v>
      </c>
      <c r="AD15" s="1">
        <v>0</v>
      </c>
      <c r="AE15" s="1">
        <v>1.64</v>
      </c>
      <c r="AF15" s="1">
        <v>2.88</v>
      </c>
    </row>
    <row r="16" spans="1:199" s="1" customFormat="1" x14ac:dyDescent="0.25">
      <c r="A16" s="6">
        <v>27053.708333333332</v>
      </c>
      <c r="B16" s="1">
        <v>1.28</v>
      </c>
      <c r="C16" s="1">
        <v>0</v>
      </c>
      <c r="D16" s="1">
        <v>5</v>
      </c>
      <c r="E16" s="1">
        <v>1</v>
      </c>
      <c r="F16" s="1">
        <v>1.3</v>
      </c>
      <c r="G16" s="1">
        <v>1.25</v>
      </c>
      <c r="H16" s="1">
        <v>6</v>
      </c>
      <c r="I16" s="1">
        <v>1.45</v>
      </c>
      <c r="J16" s="1">
        <v>1</v>
      </c>
      <c r="K16" s="1">
        <v>0</v>
      </c>
      <c r="L16" s="1">
        <v>1.33</v>
      </c>
      <c r="M16" s="1">
        <v>2</v>
      </c>
      <c r="N16" s="1">
        <v>2.56</v>
      </c>
      <c r="O16" s="1">
        <v>5</v>
      </c>
      <c r="P16" s="1">
        <v>2.67</v>
      </c>
      <c r="Q16" s="1">
        <v>0</v>
      </c>
      <c r="R16" s="1">
        <v>0.3</v>
      </c>
      <c r="S16" s="1">
        <v>7.4</v>
      </c>
      <c r="T16" s="1">
        <v>5</v>
      </c>
      <c r="U16" s="1">
        <v>1.59</v>
      </c>
      <c r="V16" s="1">
        <v>4</v>
      </c>
      <c r="W16" s="1">
        <v>2</v>
      </c>
      <c r="X16" s="1">
        <v>8</v>
      </c>
      <c r="Y16" s="1">
        <v>6</v>
      </c>
      <c r="Z16" s="1">
        <v>0.62</v>
      </c>
      <c r="AA16" s="1">
        <v>3</v>
      </c>
      <c r="AB16" s="1">
        <v>3.6</v>
      </c>
      <c r="AC16" s="1">
        <v>8</v>
      </c>
      <c r="AD16" s="1">
        <v>0</v>
      </c>
      <c r="AE16" s="1">
        <v>4.7</v>
      </c>
      <c r="AF16" s="1">
        <v>3.48</v>
      </c>
    </row>
    <row r="17" spans="1:32" s="1" customFormat="1" x14ac:dyDescent="0.25">
      <c r="A17" s="6">
        <v>27053.75</v>
      </c>
      <c r="B17" s="1">
        <v>5.01</v>
      </c>
      <c r="C17" s="1">
        <v>0</v>
      </c>
      <c r="D17" s="1">
        <v>1</v>
      </c>
      <c r="E17" s="1">
        <v>1</v>
      </c>
      <c r="F17" s="1">
        <v>1.51</v>
      </c>
      <c r="G17" s="1">
        <v>1.03</v>
      </c>
      <c r="H17" s="1">
        <v>7</v>
      </c>
      <c r="I17" s="1">
        <v>1.23</v>
      </c>
      <c r="J17" s="1">
        <v>2</v>
      </c>
      <c r="K17" s="1">
        <v>2</v>
      </c>
      <c r="L17" s="1">
        <v>1.33</v>
      </c>
      <c r="M17" s="1">
        <v>9</v>
      </c>
      <c r="N17" s="1">
        <v>2.37</v>
      </c>
      <c r="O17" s="1">
        <v>6</v>
      </c>
      <c r="P17" s="1">
        <v>4.1900000000000004</v>
      </c>
      <c r="Q17" s="1">
        <v>2</v>
      </c>
      <c r="R17" s="1">
        <v>5.08</v>
      </c>
      <c r="S17" s="1">
        <v>6.9</v>
      </c>
      <c r="T17" s="1">
        <v>7</v>
      </c>
      <c r="U17" s="1">
        <v>4.28</v>
      </c>
      <c r="V17" s="1">
        <v>11</v>
      </c>
      <c r="W17" s="1">
        <v>6</v>
      </c>
      <c r="X17" s="1">
        <v>2</v>
      </c>
      <c r="Y17" s="1">
        <v>2</v>
      </c>
      <c r="Z17" s="1">
        <v>4.92</v>
      </c>
      <c r="AA17" s="1">
        <v>3.1</v>
      </c>
      <c r="AB17" s="1">
        <v>4.2</v>
      </c>
      <c r="AC17" s="1">
        <v>1</v>
      </c>
      <c r="AD17" s="1">
        <v>1.9</v>
      </c>
      <c r="AE17" s="1">
        <v>8.9700000000000006</v>
      </c>
      <c r="AF17" s="1">
        <v>4.54</v>
      </c>
    </row>
    <row r="18" spans="1:32" s="1" customFormat="1" x14ac:dyDescent="0.25">
      <c r="A18" s="6">
        <v>27053.791666666668</v>
      </c>
      <c r="B18" s="1">
        <v>9.35</v>
      </c>
      <c r="C18" s="1">
        <v>0</v>
      </c>
      <c r="D18" s="1">
        <v>1</v>
      </c>
      <c r="E18" s="1">
        <v>1</v>
      </c>
      <c r="F18" s="1">
        <v>1.9</v>
      </c>
      <c r="G18" s="1">
        <v>0.64</v>
      </c>
      <c r="H18" s="1">
        <v>6</v>
      </c>
      <c r="I18" s="1">
        <v>2.81</v>
      </c>
      <c r="J18" s="1">
        <v>4</v>
      </c>
      <c r="K18" s="1">
        <v>2</v>
      </c>
      <c r="L18" s="1">
        <v>1.33</v>
      </c>
      <c r="M18" s="1">
        <v>0</v>
      </c>
      <c r="N18" s="1">
        <v>3.12</v>
      </c>
      <c r="O18" s="1">
        <v>7</v>
      </c>
      <c r="P18" s="1">
        <v>2.41</v>
      </c>
      <c r="Q18" s="1">
        <v>2</v>
      </c>
      <c r="R18" s="1">
        <v>6.21</v>
      </c>
      <c r="S18" s="1">
        <v>3.8</v>
      </c>
      <c r="T18" s="1">
        <v>3</v>
      </c>
      <c r="U18" s="1">
        <v>3.53</v>
      </c>
      <c r="V18" s="1">
        <v>2</v>
      </c>
      <c r="W18" s="1">
        <v>0</v>
      </c>
      <c r="X18" s="1">
        <v>0</v>
      </c>
      <c r="Y18" s="1">
        <v>0</v>
      </c>
      <c r="Z18" s="1">
        <v>0.26</v>
      </c>
      <c r="AA18" s="1">
        <v>0.3</v>
      </c>
      <c r="AB18" s="1">
        <v>0</v>
      </c>
      <c r="AC18" s="1">
        <v>1</v>
      </c>
      <c r="AD18" s="1">
        <v>0</v>
      </c>
      <c r="AE18" s="1">
        <v>11.06</v>
      </c>
      <c r="AF18" s="1">
        <v>6.29</v>
      </c>
    </row>
    <row r="19" spans="1:32" s="1" customFormat="1" x14ac:dyDescent="0.25">
      <c r="A19" s="6">
        <v>27053.833333333332</v>
      </c>
      <c r="B19" s="1">
        <v>7.52</v>
      </c>
      <c r="C19" s="1">
        <v>0</v>
      </c>
      <c r="D19" s="1">
        <v>3</v>
      </c>
      <c r="E19" s="1">
        <v>2</v>
      </c>
      <c r="F19" s="1">
        <v>3.64</v>
      </c>
      <c r="G19" s="1">
        <v>0.94</v>
      </c>
      <c r="H19" s="1">
        <v>4</v>
      </c>
      <c r="I19" s="1">
        <v>2.86</v>
      </c>
      <c r="J19" s="1">
        <v>4</v>
      </c>
      <c r="K19" s="1">
        <v>0</v>
      </c>
      <c r="L19" s="1">
        <v>1.33</v>
      </c>
      <c r="M19" s="1">
        <v>4</v>
      </c>
      <c r="N19" s="1">
        <v>2.65</v>
      </c>
      <c r="O19" s="1">
        <v>5</v>
      </c>
      <c r="P19" s="1">
        <v>2.93</v>
      </c>
      <c r="Q19" s="1">
        <v>0</v>
      </c>
      <c r="R19" s="1">
        <v>2.09</v>
      </c>
      <c r="S19" s="1">
        <v>0</v>
      </c>
      <c r="T19" s="1">
        <v>1</v>
      </c>
      <c r="U19" s="1">
        <v>1.58</v>
      </c>
      <c r="V19" s="1">
        <v>1</v>
      </c>
      <c r="W19" s="1">
        <v>3</v>
      </c>
      <c r="X19" s="1">
        <v>1</v>
      </c>
      <c r="Y19" s="1">
        <v>0</v>
      </c>
      <c r="Z19" s="1">
        <v>3.23</v>
      </c>
      <c r="AA19" s="1">
        <v>3.96</v>
      </c>
      <c r="AB19" s="1">
        <v>3.5</v>
      </c>
      <c r="AC19" s="1">
        <v>0</v>
      </c>
      <c r="AD19" s="1">
        <v>0.6</v>
      </c>
      <c r="AE19" s="1">
        <v>19.79</v>
      </c>
      <c r="AF19" s="1">
        <v>13.79</v>
      </c>
    </row>
    <row r="20" spans="1:32" s="1" customFormat="1" x14ac:dyDescent="0.25">
      <c r="A20" s="6">
        <v>27053.875</v>
      </c>
      <c r="B20" s="1">
        <v>15.58</v>
      </c>
      <c r="C20" s="1">
        <v>0</v>
      </c>
      <c r="D20" s="1">
        <v>3</v>
      </c>
      <c r="E20" s="1">
        <v>0</v>
      </c>
      <c r="F20" s="1">
        <v>5.84</v>
      </c>
      <c r="G20" s="1">
        <v>1.1599999999999999</v>
      </c>
      <c r="H20" s="1">
        <v>3</v>
      </c>
      <c r="I20" s="1">
        <v>1.33</v>
      </c>
      <c r="J20" s="1">
        <v>1</v>
      </c>
      <c r="K20" s="1">
        <v>2</v>
      </c>
      <c r="L20" s="1">
        <v>1.33</v>
      </c>
      <c r="M20" s="1">
        <v>6</v>
      </c>
      <c r="N20" s="1">
        <v>0.5</v>
      </c>
      <c r="O20" s="1">
        <v>1</v>
      </c>
      <c r="P20" s="1">
        <v>0.94</v>
      </c>
      <c r="Q20" s="1">
        <v>2</v>
      </c>
      <c r="R20" s="1">
        <v>1.82</v>
      </c>
      <c r="S20" s="1">
        <v>0.7</v>
      </c>
      <c r="T20" s="1">
        <v>5</v>
      </c>
      <c r="U20" s="1">
        <v>5.99</v>
      </c>
      <c r="V20" s="1">
        <v>8</v>
      </c>
      <c r="W20" s="1">
        <v>3</v>
      </c>
      <c r="X20" s="1">
        <v>1</v>
      </c>
      <c r="Y20" s="1">
        <v>2</v>
      </c>
      <c r="Z20" s="1">
        <v>3.25</v>
      </c>
      <c r="AA20" s="1">
        <v>3.37</v>
      </c>
      <c r="AB20" s="1">
        <v>1.3</v>
      </c>
      <c r="AC20" s="1">
        <v>5</v>
      </c>
      <c r="AD20" s="1">
        <v>3.7</v>
      </c>
      <c r="AE20" s="1">
        <v>14.98</v>
      </c>
      <c r="AF20" s="1">
        <v>12.6</v>
      </c>
    </row>
    <row r="21" spans="1:32" s="1" customFormat="1" x14ac:dyDescent="0.25">
      <c r="A21" s="6">
        <v>27053.916666666668</v>
      </c>
      <c r="B21" s="1">
        <v>15.71</v>
      </c>
      <c r="C21" s="1">
        <v>0</v>
      </c>
      <c r="D21" s="1">
        <v>3</v>
      </c>
      <c r="E21" s="1">
        <v>3</v>
      </c>
      <c r="F21" s="1">
        <v>5.72</v>
      </c>
      <c r="G21" s="1">
        <v>4.8600000000000003</v>
      </c>
      <c r="H21" s="1">
        <v>5</v>
      </c>
      <c r="I21" s="1">
        <v>0.73</v>
      </c>
      <c r="J21" s="1">
        <v>3</v>
      </c>
      <c r="K21" s="1">
        <v>5</v>
      </c>
      <c r="L21" s="1">
        <v>1.33</v>
      </c>
      <c r="M21" s="1">
        <v>8</v>
      </c>
      <c r="N21" s="1">
        <v>0.59</v>
      </c>
      <c r="O21" s="1">
        <v>1</v>
      </c>
      <c r="P21" s="1">
        <v>2.08</v>
      </c>
      <c r="Q21" s="1">
        <v>5</v>
      </c>
      <c r="R21" s="1">
        <v>1.02</v>
      </c>
      <c r="S21" s="1">
        <v>2.27</v>
      </c>
      <c r="T21" s="1">
        <v>5</v>
      </c>
      <c r="U21" s="1">
        <v>4.72</v>
      </c>
      <c r="V21" s="1">
        <v>1</v>
      </c>
      <c r="W21" s="1">
        <v>3</v>
      </c>
      <c r="X21" s="1">
        <v>5</v>
      </c>
      <c r="Y21" s="1">
        <v>6</v>
      </c>
      <c r="Z21" s="1">
        <v>3.12</v>
      </c>
      <c r="AA21" s="1">
        <v>2.4500000000000002</v>
      </c>
      <c r="AB21" s="1">
        <v>2.5</v>
      </c>
      <c r="AC21" s="1">
        <v>5</v>
      </c>
      <c r="AD21" s="1">
        <v>1.9</v>
      </c>
      <c r="AE21" s="1">
        <v>10.18</v>
      </c>
      <c r="AF21" s="1">
        <v>14.71</v>
      </c>
    </row>
    <row r="22" spans="1:32" s="1" customFormat="1" x14ac:dyDescent="0.25">
      <c r="A22" s="6">
        <v>27053.958333333332</v>
      </c>
      <c r="B22" s="1">
        <v>18.899999999999999</v>
      </c>
      <c r="C22" s="1">
        <v>0</v>
      </c>
      <c r="D22" s="1">
        <v>4</v>
      </c>
      <c r="E22" s="1">
        <v>2</v>
      </c>
      <c r="F22" s="1">
        <v>9.4499999999999993</v>
      </c>
      <c r="G22" s="1">
        <v>4.83</v>
      </c>
      <c r="H22" s="1">
        <v>3</v>
      </c>
      <c r="I22" s="1">
        <v>2.13</v>
      </c>
      <c r="J22" s="1">
        <v>3</v>
      </c>
      <c r="K22" s="1">
        <v>4</v>
      </c>
      <c r="L22" s="1">
        <v>1.33</v>
      </c>
      <c r="M22" s="1">
        <v>5</v>
      </c>
      <c r="N22" s="1">
        <v>1.01</v>
      </c>
      <c r="O22" s="1">
        <v>2</v>
      </c>
      <c r="P22" s="1">
        <v>2.99</v>
      </c>
      <c r="Q22" s="1">
        <v>4</v>
      </c>
      <c r="R22" s="1">
        <v>1.34</v>
      </c>
      <c r="S22" s="1">
        <v>1.94</v>
      </c>
      <c r="T22" s="1">
        <v>4</v>
      </c>
      <c r="U22" s="1">
        <v>2.62</v>
      </c>
      <c r="V22" s="1">
        <v>2</v>
      </c>
      <c r="W22" s="1">
        <v>2</v>
      </c>
      <c r="X22" s="1">
        <v>2</v>
      </c>
      <c r="Y22" s="1">
        <v>1</v>
      </c>
      <c r="Z22" s="1">
        <v>1.9</v>
      </c>
      <c r="AA22" s="1">
        <v>1.73</v>
      </c>
      <c r="AB22" s="1">
        <v>1.8</v>
      </c>
      <c r="AC22" s="1">
        <v>3</v>
      </c>
      <c r="AD22" s="1">
        <v>1.9</v>
      </c>
      <c r="AE22" s="1">
        <v>5.35</v>
      </c>
      <c r="AF22" s="1">
        <v>15.58</v>
      </c>
    </row>
    <row r="23" spans="1:32" s="1" customFormat="1" x14ac:dyDescent="0.25">
      <c r="A23" s="6">
        <v>27054</v>
      </c>
      <c r="B23" s="1">
        <v>18.23</v>
      </c>
      <c r="C23" s="1">
        <v>0</v>
      </c>
      <c r="D23" s="1">
        <v>3</v>
      </c>
      <c r="E23" s="1">
        <v>1</v>
      </c>
      <c r="F23" s="1">
        <v>9.65</v>
      </c>
      <c r="G23" s="1">
        <v>1.89</v>
      </c>
      <c r="H23" s="1">
        <v>3</v>
      </c>
      <c r="I23" s="1">
        <v>2.91</v>
      </c>
      <c r="J23" s="1">
        <v>1</v>
      </c>
      <c r="K23" s="1">
        <v>2</v>
      </c>
      <c r="L23" s="1">
        <v>1.33</v>
      </c>
      <c r="M23" s="1">
        <v>4</v>
      </c>
      <c r="N23" s="1">
        <v>0.2</v>
      </c>
      <c r="O23" s="1">
        <v>1</v>
      </c>
      <c r="P23" s="1">
        <v>0.8</v>
      </c>
      <c r="Q23" s="1">
        <v>2</v>
      </c>
      <c r="R23" s="1">
        <v>3.65</v>
      </c>
      <c r="S23" s="1">
        <v>0.1</v>
      </c>
      <c r="T23" s="1">
        <v>2</v>
      </c>
      <c r="U23" s="1">
        <v>2.23</v>
      </c>
      <c r="V23" s="1">
        <v>1</v>
      </c>
      <c r="W23" s="1">
        <v>3</v>
      </c>
      <c r="X23" s="1">
        <v>1</v>
      </c>
      <c r="Y23" s="1">
        <v>1</v>
      </c>
      <c r="Z23" s="1">
        <v>2.42</v>
      </c>
      <c r="AA23" s="1">
        <v>2.1</v>
      </c>
      <c r="AB23" s="1">
        <v>1</v>
      </c>
      <c r="AC23" s="1">
        <v>4</v>
      </c>
      <c r="AD23" s="1">
        <v>1.9</v>
      </c>
      <c r="AE23" s="1">
        <v>10.06</v>
      </c>
      <c r="AF23" s="1">
        <v>10.9</v>
      </c>
    </row>
    <row r="24" spans="1:32" s="1" customFormat="1" x14ac:dyDescent="0.25">
      <c r="A24" s="6">
        <v>27054.041666666668</v>
      </c>
      <c r="B24" s="1">
        <v>18.329999999999998</v>
      </c>
      <c r="C24" s="1">
        <v>0</v>
      </c>
      <c r="D24" s="1">
        <v>4</v>
      </c>
      <c r="E24" s="1">
        <v>2</v>
      </c>
      <c r="F24" s="1">
        <v>6.05</v>
      </c>
      <c r="G24" s="1">
        <v>6.27</v>
      </c>
      <c r="H24" s="1">
        <v>2</v>
      </c>
      <c r="I24" s="1">
        <v>1.07</v>
      </c>
      <c r="J24" s="1">
        <v>2</v>
      </c>
      <c r="K24" s="1">
        <v>0</v>
      </c>
      <c r="L24" s="1">
        <v>1.33</v>
      </c>
      <c r="M24" s="1">
        <v>9</v>
      </c>
      <c r="N24" s="1">
        <v>0.17</v>
      </c>
      <c r="O24" s="1">
        <v>1</v>
      </c>
      <c r="P24" s="1">
        <v>0.3</v>
      </c>
      <c r="Q24" s="1">
        <v>0</v>
      </c>
      <c r="R24" s="1">
        <v>1.72</v>
      </c>
      <c r="S24" s="1">
        <v>0.4</v>
      </c>
      <c r="T24" s="1">
        <v>2</v>
      </c>
      <c r="U24" s="1">
        <v>3.01</v>
      </c>
      <c r="V24" s="1">
        <v>1</v>
      </c>
      <c r="W24" s="1">
        <v>1</v>
      </c>
      <c r="X24" s="1">
        <v>0</v>
      </c>
      <c r="Y24" s="1">
        <v>1</v>
      </c>
      <c r="Z24" s="1">
        <v>0.66</v>
      </c>
      <c r="AA24" s="1">
        <v>0.8</v>
      </c>
      <c r="AB24" s="1">
        <v>1.2</v>
      </c>
      <c r="AC24" s="1">
        <v>2</v>
      </c>
      <c r="AD24" s="1">
        <v>0.6</v>
      </c>
      <c r="AE24" s="1">
        <v>14.44</v>
      </c>
      <c r="AF24" s="1">
        <v>6.94</v>
      </c>
    </row>
    <row r="25" spans="1:32" s="1" customFormat="1" x14ac:dyDescent="0.25">
      <c r="A25" s="6">
        <v>27054.083333333332</v>
      </c>
      <c r="B25" s="1">
        <v>14.05</v>
      </c>
      <c r="C25" s="1">
        <v>5.6</v>
      </c>
      <c r="D25" s="1">
        <v>7</v>
      </c>
      <c r="E25" s="1">
        <v>6</v>
      </c>
      <c r="F25" s="1">
        <v>5.15</v>
      </c>
      <c r="G25" s="1">
        <v>4</v>
      </c>
      <c r="H25" s="1">
        <v>9</v>
      </c>
      <c r="I25" s="1">
        <v>8.24</v>
      </c>
      <c r="J25" s="1">
        <v>5</v>
      </c>
      <c r="K25" s="1">
        <v>7</v>
      </c>
      <c r="L25" s="1">
        <v>1.33</v>
      </c>
      <c r="M25" s="1">
        <v>9</v>
      </c>
      <c r="N25" s="1">
        <v>0.63</v>
      </c>
      <c r="O25" s="1">
        <v>2</v>
      </c>
      <c r="P25" s="1">
        <v>0.8</v>
      </c>
      <c r="Q25" s="1">
        <v>7</v>
      </c>
      <c r="R25" s="1">
        <v>2.08</v>
      </c>
      <c r="S25" s="1">
        <v>0.2</v>
      </c>
      <c r="T25" s="1">
        <v>1</v>
      </c>
      <c r="U25" s="1">
        <v>6.1</v>
      </c>
      <c r="V25" s="1">
        <v>0</v>
      </c>
      <c r="W25" s="1">
        <v>4</v>
      </c>
      <c r="X25" s="1">
        <v>0</v>
      </c>
      <c r="Y25" s="1">
        <v>0</v>
      </c>
      <c r="Z25" s="1">
        <v>2.0699999999999998</v>
      </c>
      <c r="AA25" s="1">
        <v>3.88</v>
      </c>
      <c r="AB25" s="1">
        <v>4.12</v>
      </c>
      <c r="AC25" s="1">
        <v>1</v>
      </c>
      <c r="AD25" s="1">
        <v>5</v>
      </c>
      <c r="AE25" s="1">
        <v>12.81</v>
      </c>
      <c r="AF25" s="1">
        <v>12.48</v>
      </c>
    </row>
    <row r="26" spans="1:32" s="1" customFormat="1" x14ac:dyDescent="0.25">
      <c r="A26" s="6">
        <v>27054.125</v>
      </c>
      <c r="B26" s="1">
        <v>21.99</v>
      </c>
      <c r="C26" s="1">
        <v>33.299999999999997</v>
      </c>
      <c r="D26" s="1">
        <v>5</v>
      </c>
      <c r="E26" s="1">
        <v>7</v>
      </c>
      <c r="F26" s="1">
        <v>6.37</v>
      </c>
      <c r="G26" s="1">
        <v>2.23</v>
      </c>
      <c r="H26" s="1">
        <v>9</v>
      </c>
      <c r="I26" s="1">
        <v>2.94</v>
      </c>
      <c r="J26" s="1">
        <v>4</v>
      </c>
      <c r="K26" s="1">
        <v>6</v>
      </c>
      <c r="L26" s="1">
        <v>1.33</v>
      </c>
      <c r="M26" s="1">
        <v>18</v>
      </c>
      <c r="N26" s="1">
        <v>2.25</v>
      </c>
      <c r="O26" s="1">
        <v>4</v>
      </c>
      <c r="P26" s="1">
        <v>0</v>
      </c>
      <c r="Q26" s="1">
        <v>6</v>
      </c>
      <c r="R26" s="1">
        <v>0</v>
      </c>
      <c r="S26" s="1">
        <v>1.88</v>
      </c>
      <c r="T26" s="1">
        <v>1</v>
      </c>
      <c r="U26" s="1">
        <v>8.77</v>
      </c>
      <c r="V26" s="1">
        <v>1</v>
      </c>
      <c r="W26" s="1">
        <v>7</v>
      </c>
      <c r="X26" s="1">
        <v>5</v>
      </c>
      <c r="Y26" s="1">
        <v>3</v>
      </c>
      <c r="Z26" s="1">
        <v>7.37</v>
      </c>
      <c r="AA26" s="1">
        <v>6.07</v>
      </c>
      <c r="AB26" s="1">
        <v>2.4500000000000002</v>
      </c>
      <c r="AC26" s="1">
        <v>5</v>
      </c>
      <c r="AD26" s="1">
        <v>9.4</v>
      </c>
      <c r="AE26" s="1">
        <v>12.88</v>
      </c>
      <c r="AF26" s="1">
        <v>12.19</v>
      </c>
    </row>
    <row r="27" spans="1:32" s="1" customFormat="1" x14ac:dyDescent="0.25">
      <c r="A27" s="6">
        <v>27054.166666666668</v>
      </c>
      <c r="B27" s="1">
        <v>21.13</v>
      </c>
      <c r="C27" s="1">
        <v>14.9</v>
      </c>
      <c r="D27" s="1">
        <v>6</v>
      </c>
      <c r="E27" s="1">
        <v>4</v>
      </c>
      <c r="F27" s="1">
        <v>2.72</v>
      </c>
      <c r="G27" s="1">
        <v>3.87</v>
      </c>
      <c r="H27" s="1">
        <v>2</v>
      </c>
      <c r="I27" s="1">
        <v>0.86</v>
      </c>
      <c r="J27" s="1">
        <v>1</v>
      </c>
      <c r="K27" s="1">
        <v>0</v>
      </c>
      <c r="L27" s="1">
        <v>1.33</v>
      </c>
      <c r="M27" s="1">
        <v>18</v>
      </c>
      <c r="N27" s="1">
        <v>1.1499999999999999</v>
      </c>
      <c r="O27" s="1">
        <v>2</v>
      </c>
      <c r="P27" s="1">
        <v>0.28000000000000003</v>
      </c>
      <c r="Q27" s="1">
        <v>0</v>
      </c>
      <c r="R27" s="1">
        <v>1</v>
      </c>
      <c r="S27" s="1">
        <v>1.75</v>
      </c>
      <c r="T27" s="1">
        <v>6</v>
      </c>
      <c r="U27" s="1">
        <v>13.79</v>
      </c>
      <c r="V27" s="1">
        <v>1</v>
      </c>
      <c r="W27" s="1">
        <v>8</v>
      </c>
      <c r="X27" s="1">
        <v>6</v>
      </c>
      <c r="Y27" s="1">
        <v>6</v>
      </c>
      <c r="Z27" s="1">
        <v>5.86</v>
      </c>
      <c r="AA27" s="1">
        <v>6.52</v>
      </c>
      <c r="AB27" s="1">
        <v>6.55</v>
      </c>
      <c r="AC27" s="1">
        <v>5</v>
      </c>
      <c r="AD27" s="1">
        <v>8.6999999999999993</v>
      </c>
      <c r="AE27" s="1">
        <v>17.16</v>
      </c>
      <c r="AF27" s="1">
        <v>8.39</v>
      </c>
    </row>
    <row r="28" spans="1:32" s="1" customFormat="1" x14ac:dyDescent="0.25">
      <c r="A28" s="6">
        <v>27054.208333333332</v>
      </c>
      <c r="B28" s="1">
        <v>10.18</v>
      </c>
      <c r="C28" s="1">
        <v>4.3</v>
      </c>
      <c r="D28" s="1">
        <v>4</v>
      </c>
      <c r="E28" s="1">
        <v>0</v>
      </c>
      <c r="F28" s="1">
        <v>2.09</v>
      </c>
      <c r="G28" s="1">
        <v>1.68</v>
      </c>
      <c r="H28" s="1">
        <v>2</v>
      </c>
      <c r="I28" s="1">
        <v>1.01</v>
      </c>
      <c r="J28" s="1">
        <v>2</v>
      </c>
      <c r="K28" s="1">
        <v>1</v>
      </c>
      <c r="L28" s="1">
        <v>1.33</v>
      </c>
      <c r="M28" s="1">
        <v>20</v>
      </c>
      <c r="N28" s="1">
        <v>1.4</v>
      </c>
      <c r="O28" s="1">
        <v>4</v>
      </c>
      <c r="P28" s="1">
        <v>3.02</v>
      </c>
      <c r="Q28" s="1">
        <v>1</v>
      </c>
      <c r="R28" s="1">
        <v>0.5</v>
      </c>
      <c r="S28" s="1">
        <v>2.86</v>
      </c>
      <c r="T28" s="1">
        <v>11</v>
      </c>
      <c r="U28" s="1">
        <v>15.59</v>
      </c>
      <c r="V28" s="1">
        <v>1</v>
      </c>
      <c r="W28" s="1">
        <v>17</v>
      </c>
      <c r="X28" s="1">
        <v>8</v>
      </c>
      <c r="Y28" s="1">
        <v>5</v>
      </c>
      <c r="Z28" s="1">
        <v>13.91</v>
      </c>
      <c r="AA28" s="1">
        <v>10.09</v>
      </c>
      <c r="AB28" s="1">
        <v>11.18</v>
      </c>
      <c r="AC28" s="1">
        <v>14</v>
      </c>
      <c r="AD28" s="1">
        <v>8.8000000000000007</v>
      </c>
      <c r="AE28" s="1">
        <v>21.98</v>
      </c>
      <c r="AF28" s="1">
        <v>22.18</v>
      </c>
    </row>
    <row r="29" spans="1:32" s="1" customFormat="1" x14ac:dyDescent="0.25">
      <c r="A29" s="6">
        <v>27054.25</v>
      </c>
      <c r="B29" s="1">
        <v>10.66</v>
      </c>
      <c r="C29" s="1">
        <v>35.799999999999997</v>
      </c>
      <c r="D29" s="1">
        <v>3</v>
      </c>
      <c r="E29" s="1">
        <v>4</v>
      </c>
      <c r="F29" s="1">
        <v>3.39</v>
      </c>
      <c r="G29" s="1">
        <v>1.1399999999999999</v>
      </c>
      <c r="H29" s="1">
        <v>2</v>
      </c>
      <c r="I29" s="1">
        <v>0.79</v>
      </c>
      <c r="J29" s="1">
        <v>3</v>
      </c>
      <c r="K29" s="1">
        <v>6</v>
      </c>
      <c r="L29" s="1">
        <v>1.33</v>
      </c>
      <c r="M29" s="1">
        <v>19</v>
      </c>
      <c r="N29" s="1">
        <v>2.2999999999999998</v>
      </c>
      <c r="O29" s="1">
        <v>5</v>
      </c>
      <c r="P29" s="1">
        <v>4.92</v>
      </c>
      <c r="Q29" s="1">
        <v>6</v>
      </c>
      <c r="R29" s="1">
        <v>0</v>
      </c>
      <c r="S29" s="1">
        <v>4.72</v>
      </c>
      <c r="T29" s="1">
        <v>10</v>
      </c>
      <c r="U29" s="1">
        <v>13.37</v>
      </c>
      <c r="V29" s="1">
        <v>3</v>
      </c>
      <c r="W29" s="1">
        <v>10</v>
      </c>
      <c r="X29" s="1">
        <v>5</v>
      </c>
      <c r="Y29" s="1">
        <v>5</v>
      </c>
      <c r="Z29" s="1">
        <v>8.41</v>
      </c>
      <c r="AA29" s="1">
        <v>11.89</v>
      </c>
      <c r="AB29" s="1">
        <v>15.7</v>
      </c>
      <c r="AC29" s="1">
        <v>8</v>
      </c>
      <c r="AD29" s="1">
        <v>13.1</v>
      </c>
      <c r="AE29" s="1">
        <v>24.02</v>
      </c>
      <c r="AF29" s="1">
        <v>11.36</v>
      </c>
    </row>
    <row r="30" spans="1:32" s="1" customFormat="1" x14ac:dyDescent="0.25">
      <c r="A30" s="6">
        <v>27054.291666666668</v>
      </c>
      <c r="B30" s="1">
        <v>6.42</v>
      </c>
      <c r="C30" s="1">
        <v>42.7</v>
      </c>
      <c r="D30" s="1">
        <v>3</v>
      </c>
      <c r="E30" s="1">
        <v>3</v>
      </c>
      <c r="F30" s="1">
        <v>0.62</v>
      </c>
      <c r="G30" s="1">
        <v>1.0900000000000001</v>
      </c>
      <c r="H30" s="1">
        <v>4</v>
      </c>
      <c r="I30" s="1">
        <v>0</v>
      </c>
      <c r="J30" s="1">
        <v>2</v>
      </c>
      <c r="K30" s="1">
        <v>5</v>
      </c>
      <c r="L30" s="1">
        <v>1.33</v>
      </c>
      <c r="M30" s="1">
        <v>50</v>
      </c>
      <c r="N30" s="1">
        <v>0.4</v>
      </c>
      <c r="O30" s="1">
        <v>1</v>
      </c>
      <c r="P30" s="1">
        <v>3.67</v>
      </c>
      <c r="Q30" s="1">
        <v>5</v>
      </c>
      <c r="R30" s="1">
        <v>0.22</v>
      </c>
      <c r="S30" s="1">
        <v>2.67</v>
      </c>
      <c r="T30" s="1">
        <v>6</v>
      </c>
      <c r="U30" s="1">
        <v>14.55</v>
      </c>
      <c r="V30" s="1">
        <v>7</v>
      </c>
      <c r="W30" s="1">
        <v>20</v>
      </c>
      <c r="X30" s="1">
        <v>9</v>
      </c>
      <c r="Y30" s="1">
        <v>7</v>
      </c>
      <c r="Z30" s="1">
        <v>15.77</v>
      </c>
      <c r="AA30" s="1">
        <v>13.61</v>
      </c>
      <c r="AB30" s="1">
        <v>18.29</v>
      </c>
      <c r="AC30" s="1">
        <v>7</v>
      </c>
      <c r="AD30" s="1">
        <v>15</v>
      </c>
      <c r="AE30" s="1">
        <v>11.9</v>
      </c>
      <c r="AF30" s="1">
        <v>4.03</v>
      </c>
    </row>
    <row r="31" spans="1:32" s="1" customFormat="1" x14ac:dyDescent="0.25">
      <c r="A31" s="6">
        <v>27054.333333333332</v>
      </c>
      <c r="B31" s="1">
        <v>14.47</v>
      </c>
      <c r="C31" s="1">
        <v>51.3</v>
      </c>
      <c r="D31" s="1">
        <v>4</v>
      </c>
      <c r="E31" s="1">
        <v>1</v>
      </c>
      <c r="F31" s="1">
        <v>0</v>
      </c>
      <c r="G31" s="1">
        <v>0</v>
      </c>
      <c r="H31" s="1">
        <v>5</v>
      </c>
      <c r="I31" s="1">
        <v>0</v>
      </c>
      <c r="J31" s="1">
        <v>2</v>
      </c>
      <c r="K31" s="1">
        <v>9</v>
      </c>
      <c r="L31" s="1">
        <v>1.33</v>
      </c>
      <c r="M31" s="1">
        <v>32</v>
      </c>
      <c r="N31" s="1">
        <v>2.4</v>
      </c>
      <c r="O31" s="1">
        <v>5</v>
      </c>
      <c r="P31" s="1">
        <v>1.81</v>
      </c>
      <c r="Q31" s="1">
        <v>9</v>
      </c>
      <c r="R31" s="1">
        <v>2.67</v>
      </c>
      <c r="S31" s="1">
        <v>6.51</v>
      </c>
      <c r="T31" s="1">
        <v>10</v>
      </c>
      <c r="U31" s="1">
        <v>26.21</v>
      </c>
      <c r="V31" s="1">
        <v>5</v>
      </c>
      <c r="W31" s="1">
        <v>15</v>
      </c>
      <c r="X31" s="1">
        <v>6</v>
      </c>
      <c r="Y31" s="1">
        <v>7</v>
      </c>
      <c r="Z31" s="1">
        <v>13.24</v>
      </c>
      <c r="AA31" s="1">
        <v>10.49</v>
      </c>
      <c r="AB31" s="1">
        <v>15.3</v>
      </c>
      <c r="AC31" s="1">
        <v>7</v>
      </c>
      <c r="AD31" s="1">
        <v>17.5</v>
      </c>
      <c r="AE31" s="1">
        <v>2.54</v>
      </c>
      <c r="AF31" s="1">
        <v>0</v>
      </c>
    </row>
    <row r="32" spans="1:32" s="1" customFormat="1" x14ac:dyDescent="0.25">
      <c r="A32" s="6">
        <v>27054.375</v>
      </c>
      <c r="B32" s="1">
        <v>26.1</v>
      </c>
      <c r="C32" s="1">
        <v>1.2</v>
      </c>
      <c r="D32" s="1">
        <v>2</v>
      </c>
      <c r="E32" s="1">
        <v>5</v>
      </c>
      <c r="F32" s="1">
        <v>0</v>
      </c>
      <c r="G32" s="1">
        <v>0.1</v>
      </c>
      <c r="H32" s="1">
        <v>7</v>
      </c>
      <c r="I32" s="1">
        <v>0</v>
      </c>
      <c r="J32" s="1">
        <v>2</v>
      </c>
      <c r="K32" s="1">
        <v>15</v>
      </c>
      <c r="L32" s="1">
        <v>1.33</v>
      </c>
      <c r="M32" s="1">
        <v>27</v>
      </c>
      <c r="N32" s="1">
        <v>2.6</v>
      </c>
      <c r="O32" s="1">
        <v>6</v>
      </c>
      <c r="P32" s="1">
        <v>0</v>
      </c>
      <c r="Q32" s="1">
        <v>15</v>
      </c>
      <c r="R32" s="1">
        <v>2.97</v>
      </c>
      <c r="S32" s="1">
        <v>2.63</v>
      </c>
      <c r="T32" s="1">
        <v>2</v>
      </c>
      <c r="U32" s="1">
        <v>16.350000000000001</v>
      </c>
      <c r="V32" s="1">
        <v>20</v>
      </c>
      <c r="W32" s="1">
        <v>13</v>
      </c>
      <c r="X32" s="1">
        <v>4</v>
      </c>
      <c r="Y32" s="1">
        <v>3</v>
      </c>
      <c r="Z32" s="1">
        <v>8.39</v>
      </c>
      <c r="AA32" s="1">
        <v>8.85</v>
      </c>
      <c r="AB32" s="1">
        <v>10.71</v>
      </c>
      <c r="AC32" s="1">
        <v>7</v>
      </c>
      <c r="AD32" s="1">
        <v>9.4</v>
      </c>
      <c r="AE32" s="1">
        <v>0</v>
      </c>
      <c r="AF32" s="1">
        <v>0</v>
      </c>
    </row>
    <row r="33" spans="1:32" s="1" customFormat="1" x14ac:dyDescent="0.25">
      <c r="A33" s="6">
        <v>27054.416666666668</v>
      </c>
      <c r="B33" s="1">
        <v>9.07</v>
      </c>
      <c r="C33" s="1">
        <v>0</v>
      </c>
      <c r="D33" s="1">
        <v>0</v>
      </c>
      <c r="E33" s="1">
        <v>3</v>
      </c>
      <c r="F33" s="1">
        <v>0</v>
      </c>
      <c r="G33" s="1">
        <v>0.3</v>
      </c>
      <c r="H33" s="1">
        <v>5</v>
      </c>
      <c r="I33" s="1">
        <v>2.7</v>
      </c>
      <c r="J33" s="1">
        <v>3</v>
      </c>
      <c r="K33" s="1">
        <v>13</v>
      </c>
      <c r="L33" s="1">
        <v>3.79</v>
      </c>
      <c r="M33" s="1">
        <v>15</v>
      </c>
      <c r="N33" s="1">
        <v>0</v>
      </c>
      <c r="O33" s="1">
        <v>2</v>
      </c>
      <c r="P33" s="1">
        <v>3.12</v>
      </c>
      <c r="Q33" s="1">
        <v>13</v>
      </c>
      <c r="R33" s="1">
        <v>0.63</v>
      </c>
      <c r="S33" s="1">
        <v>7.99</v>
      </c>
      <c r="T33" s="1">
        <v>11</v>
      </c>
      <c r="U33" s="1">
        <v>17.920000000000002</v>
      </c>
      <c r="V33" s="1">
        <v>6</v>
      </c>
      <c r="W33" s="1">
        <v>37</v>
      </c>
      <c r="X33" s="1">
        <v>23</v>
      </c>
      <c r="Y33" s="1">
        <v>12</v>
      </c>
      <c r="Z33" s="1">
        <v>29.04</v>
      </c>
      <c r="AA33" s="1">
        <v>27.28</v>
      </c>
      <c r="AB33" s="1">
        <v>25.82</v>
      </c>
      <c r="AC33" s="1">
        <v>6</v>
      </c>
      <c r="AD33" s="1">
        <v>46.8</v>
      </c>
      <c r="AE33" s="1">
        <v>0</v>
      </c>
      <c r="AF33" s="1">
        <v>0</v>
      </c>
    </row>
    <row r="34" spans="1:32" s="1" customFormat="1" x14ac:dyDescent="0.25">
      <c r="A34" s="6">
        <v>27054.458333333332</v>
      </c>
      <c r="B34" s="1">
        <v>0.44</v>
      </c>
      <c r="C34" s="1">
        <v>0.6</v>
      </c>
      <c r="D34" s="1">
        <v>0</v>
      </c>
      <c r="E34" s="1">
        <v>2</v>
      </c>
      <c r="F34" s="1">
        <v>0</v>
      </c>
      <c r="G34" s="1">
        <v>0</v>
      </c>
      <c r="H34" s="1">
        <v>10</v>
      </c>
      <c r="I34" s="1">
        <v>1.91</v>
      </c>
      <c r="J34" s="1">
        <v>3</v>
      </c>
      <c r="K34" s="1">
        <v>8</v>
      </c>
      <c r="L34" s="1">
        <v>3.79</v>
      </c>
      <c r="M34" s="1">
        <v>18</v>
      </c>
      <c r="N34" s="1">
        <v>0</v>
      </c>
      <c r="O34" s="1">
        <v>6</v>
      </c>
      <c r="P34" s="1">
        <v>1.6</v>
      </c>
      <c r="Q34" s="1">
        <v>8</v>
      </c>
      <c r="R34" s="1">
        <v>1.1599999999999999</v>
      </c>
      <c r="S34" s="1">
        <v>14.75</v>
      </c>
      <c r="T34" s="1">
        <v>13</v>
      </c>
      <c r="U34" s="1">
        <v>25.04</v>
      </c>
      <c r="V34" s="1">
        <v>16</v>
      </c>
      <c r="W34" s="1">
        <v>27</v>
      </c>
      <c r="X34" s="1">
        <v>25</v>
      </c>
      <c r="Y34" s="1">
        <v>25</v>
      </c>
      <c r="Z34" s="1">
        <v>32.07</v>
      </c>
      <c r="AA34" s="1">
        <v>28.53</v>
      </c>
      <c r="AB34" s="1">
        <v>26.34</v>
      </c>
      <c r="AC34" s="1">
        <v>16</v>
      </c>
      <c r="AD34" s="1">
        <v>40</v>
      </c>
      <c r="AE34" s="1">
        <v>0</v>
      </c>
      <c r="AF34" s="1">
        <v>0</v>
      </c>
    </row>
    <row r="35" spans="1:32" s="1" customFormat="1" x14ac:dyDescent="0.25">
      <c r="A35" s="6">
        <v>27054.5</v>
      </c>
      <c r="B35" s="1">
        <v>0.46</v>
      </c>
      <c r="C35" s="1">
        <v>0</v>
      </c>
      <c r="D35" s="1">
        <v>0</v>
      </c>
      <c r="E35" s="1">
        <v>1</v>
      </c>
      <c r="F35" s="1">
        <v>0</v>
      </c>
      <c r="G35" s="1">
        <v>0</v>
      </c>
      <c r="H35" s="1">
        <v>9</v>
      </c>
      <c r="I35" s="1">
        <v>0.99</v>
      </c>
      <c r="J35" s="1">
        <v>0</v>
      </c>
      <c r="K35" s="1">
        <v>3</v>
      </c>
      <c r="L35" s="1">
        <v>3.79</v>
      </c>
      <c r="M35" s="1">
        <v>24</v>
      </c>
      <c r="N35" s="1">
        <v>0</v>
      </c>
      <c r="O35" s="1">
        <v>9</v>
      </c>
      <c r="P35" s="1">
        <v>2.39</v>
      </c>
      <c r="Q35" s="1">
        <v>3</v>
      </c>
      <c r="R35" s="1">
        <v>3.37</v>
      </c>
      <c r="S35" s="1">
        <v>6.57</v>
      </c>
      <c r="T35" s="1">
        <v>9</v>
      </c>
      <c r="U35" s="1">
        <v>19.8</v>
      </c>
      <c r="V35" s="1">
        <v>9</v>
      </c>
      <c r="W35" s="1">
        <v>28</v>
      </c>
      <c r="X35" s="1">
        <v>22</v>
      </c>
      <c r="Y35" s="1">
        <v>16</v>
      </c>
      <c r="Z35" s="1">
        <v>28.58</v>
      </c>
      <c r="AA35" s="1">
        <v>37.880000000000003</v>
      </c>
      <c r="AB35" s="1">
        <v>41.47</v>
      </c>
      <c r="AC35" s="1">
        <v>27</v>
      </c>
      <c r="AD35" s="1">
        <v>33.200000000000003</v>
      </c>
      <c r="AE35" s="1">
        <v>0</v>
      </c>
      <c r="AF35" s="1">
        <v>0</v>
      </c>
    </row>
    <row r="36" spans="1:32" s="1" customFormat="1" x14ac:dyDescent="0.25">
      <c r="A36" s="6">
        <v>27054.541666666668</v>
      </c>
      <c r="B36" s="1">
        <v>0</v>
      </c>
      <c r="C36" s="1">
        <v>2.5</v>
      </c>
      <c r="D36" s="1">
        <v>0</v>
      </c>
      <c r="E36" s="1">
        <v>1</v>
      </c>
      <c r="F36" s="1">
        <v>0</v>
      </c>
      <c r="G36" s="1">
        <v>0.1</v>
      </c>
      <c r="H36" s="1">
        <v>6</v>
      </c>
      <c r="I36" s="1">
        <v>0.49</v>
      </c>
      <c r="J36" s="1">
        <v>0</v>
      </c>
      <c r="K36" s="1">
        <v>4</v>
      </c>
      <c r="L36" s="1">
        <v>3.79</v>
      </c>
      <c r="M36" s="1">
        <v>59</v>
      </c>
      <c r="N36" s="1">
        <v>0</v>
      </c>
      <c r="O36" s="1">
        <v>9</v>
      </c>
      <c r="P36" s="1">
        <v>4.5999999999999996</v>
      </c>
      <c r="Q36" s="1">
        <v>4</v>
      </c>
      <c r="R36" s="1">
        <v>4.37</v>
      </c>
      <c r="S36" s="1">
        <v>6.3</v>
      </c>
      <c r="T36" s="1">
        <v>7</v>
      </c>
      <c r="U36" s="1">
        <v>21.91</v>
      </c>
      <c r="V36" s="1">
        <v>22</v>
      </c>
      <c r="W36" s="1">
        <v>40</v>
      </c>
      <c r="X36" s="1">
        <v>11</v>
      </c>
      <c r="Y36" s="1">
        <v>12</v>
      </c>
      <c r="Z36" s="1">
        <v>24.17</v>
      </c>
      <c r="AA36" s="1">
        <v>19.53</v>
      </c>
      <c r="AB36" s="1">
        <v>20.05</v>
      </c>
      <c r="AC36" s="1">
        <v>16</v>
      </c>
      <c r="AD36" s="1">
        <v>18.7</v>
      </c>
      <c r="AE36" s="1">
        <v>0.41</v>
      </c>
      <c r="AF36" s="1">
        <v>0</v>
      </c>
    </row>
    <row r="37" spans="1:32" s="1" customFormat="1" x14ac:dyDescent="0.25">
      <c r="A37" s="6">
        <v>27054.583333333332</v>
      </c>
      <c r="B37" s="1">
        <v>0.57999999999999996</v>
      </c>
      <c r="C37" s="1">
        <v>8.6999999999999993</v>
      </c>
      <c r="D37" s="1">
        <v>0</v>
      </c>
      <c r="E37" s="1">
        <v>5</v>
      </c>
      <c r="F37" s="1">
        <v>0</v>
      </c>
      <c r="G37" s="1">
        <v>0.1</v>
      </c>
      <c r="H37" s="1">
        <v>5</v>
      </c>
      <c r="I37" s="1">
        <v>2.33</v>
      </c>
      <c r="J37" s="1">
        <v>3</v>
      </c>
      <c r="K37" s="1">
        <v>6</v>
      </c>
      <c r="L37" s="1">
        <v>3.79</v>
      </c>
      <c r="M37" s="1">
        <v>36</v>
      </c>
      <c r="N37" s="1">
        <v>0</v>
      </c>
      <c r="O37" s="1">
        <v>10</v>
      </c>
      <c r="P37" s="1">
        <v>2.1</v>
      </c>
      <c r="Q37" s="1">
        <v>6</v>
      </c>
      <c r="R37" s="1">
        <v>0.99</v>
      </c>
      <c r="S37" s="1">
        <v>1.49</v>
      </c>
      <c r="T37" s="1">
        <v>25</v>
      </c>
      <c r="U37" s="1">
        <v>66.42</v>
      </c>
      <c r="V37" s="1">
        <v>28</v>
      </c>
      <c r="W37" s="1">
        <v>12</v>
      </c>
      <c r="X37" s="1">
        <v>5</v>
      </c>
      <c r="Y37" s="1">
        <v>3</v>
      </c>
      <c r="Z37" s="1">
        <v>9.49</v>
      </c>
      <c r="AA37" s="1">
        <v>4.49</v>
      </c>
      <c r="AB37" s="1">
        <v>4.17</v>
      </c>
      <c r="AC37" s="1">
        <v>7</v>
      </c>
      <c r="AD37" s="1">
        <v>3.8</v>
      </c>
      <c r="AE37" s="1">
        <v>3.29</v>
      </c>
      <c r="AF37" s="1">
        <v>11.29</v>
      </c>
    </row>
    <row r="38" spans="1:32" s="1" customFormat="1" x14ac:dyDescent="0.25">
      <c r="A38" s="6">
        <v>27054.625</v>
      </c>
      <c r="B38" s="1">
        <v>3.3</v>
      </c>
      <c r="C38" s="1">
        <v>1.2</v>
      </c>
      <c r="D38" s="1">
        <v>0</v>
      </c>
      <c r="E38" s="1">
        <v>4</v>
      </c>
      <c r="F38" s="1">
        <v>4.3</v>
      </c>
      <c r="G38" s="1">
        <v>0.3</v>
      </c>
      <c r="H38" s="1">
        <v>4</v>
      </c>
      <c r="I38" s="1">
        <v>2.4300000000000002</v>
      </c>
      <c r="J38" s="1">
        <v>2</v>
      </c>
      <c r="K38" s="1">
        <v>6</v>
      </c>
      <c r="L38" s="1">
        <v>3.79</v>
      </c>
      <c r="M38" s="1">
        <v>24</v>
      </c>
      <c r="N38" s="1">
        <v>0</v>
      </c>
      <c r="O38" s="1">
        <v>10</v>
      </c>
      <c r="P38" s="1">
        <v>3.01</v>
      </c>
      <c r="Q38" s="1">
        <v>6</v>
      </c>
      <c r="R38" s="1">
        <v>0.3</v>
      </c>
      <c r="S38" s="1">
        <v>3.53</v>
      </c>
      <c r="T38" s="1">
        <v>27</v>
      </c>
      <c r="U38" s="1">
        <v>8.52</v>
      </c>
      <c r="V38" s="1">
        <v>40</v>
      </c>
      <c r="W38" s="1">
        <v>7</v>
      </c>
      <c r="X38" s="1">
        <v>1</v>
      </c>
      <c r="Y38" s="1">
        <v>1</v>
      </c>
      <c r="Z38" s="1">
        <v>8.26</v>
      </c>
      <c r="AA38" s="1">
        <v>2.34</v>
      </c>
      <c r="AB38" s="1">
        <v>0.84</v>
      </c>
      <c r="AC38" s="1">
        <v>7</v>
      </c>
      <c r="AD38" s="1">
        <v>3.7</v>
      </c>
      <c r="AE38" s="1">
        <v>2.39</v>
      </c>
      <c r="AF38" s="1">
        <v>3.91</v>
      </c>
    </row>
    <row r="39" spans="1:32" s="1" customFormat="1" x14ac:dyDescent="0.25">
      <c r="A39" s="6">
        <v>27054.666666666668</v>
      </c>
      <c r="B39" s="1">
        <v>3.58</v>
      </c>
      <c r="C39" s="1">
        <v>13.6</v>
      </c>
      <c r="D39" s="1">
        <v>0</v>
      </c>
      <c r="E39" s="1">
        <v>0</v>
      </c>
      <c r="F39" s="1">
        <v>1.23</v>
      </c>
      <c r="G39" s="1">
        <v>0.4</v>
      </c>
      <c r="H39" s="1">
        <v>2</v>
      </c>
      <c r="I39" s="1">
        <v>2.44</v>
      </c>
      <c r="J39" s="1">
        <v>2</v>
      </c>
      <c r="K39" s="1">
        <v>3</v>
      </c>
      <c r="L39" s="1">
        <v>3.79</v>
      </c>
      <c r="M39" s="1">
        <v>9</v>
      </c>
      <c r="N39" s="1">
        <v>0</v>
      </c>
      <c r="O39" s="1">
        <v>17</v>
      </c>
      <c r="P39" s="1">
        <v>7.81</v>
      </c>
      <c r="Q39" s="1">
        <v>3</v>
      </c>
      <c r="R39" s="1">
        <v>2.2999999999999998</v>
      </c>
      <c r="S39" s="1">
        <v>9.1</v>
      </c>
      <c r="T39" s="1">
        <v>3</v>
      </c>
      <c r="U39" s="1">
        <v>3.57</v>
      </c>
      <c r="V39" s="1">
        <v>9</v>
      </c>
      <c r="W39" s="1">
        <v>2</v>
      </c>
      <c r="X39" s="1">
        <v>2</v>
      </c>
      <c r="Y39" s="1">
        <v>3</v>
      </c>
      <c r="Z39" s="1">
        <v>0.54</v>
      </c>
      <c r="AA39" s="1">
        <v>0.86</v>
      </c>
      <c r="AB39" s="1">
        <v>0</v>
      </c>
      <c r="AC39" s="1">
        <v>0</v>
      </c>
      <c r="AD39" s="1">
        <v>3.8</v>
      </c>
      <c r="AE39" s="1">
        <v>5.65</v>
      </c>
      <c r="AF39" s="1">
        <v>6.9</v>
      </c>
    </row>
    <row r="40" spans="1:32" s="1" customFormat="1" x14ac:dyDescent="0.25">
      <c r="A40" s="6">
        <v>27054.708333333332</v>
      </c>
      <c r="B40" s="1">
        <v>8.6300000000000008</v>
      </c>
      <c r="C40" s="1">
        <v>16.7</v>
      </c>
      <c r="D40" s="1">
        <v>5</v>
      </c>
      <c r="E40" s="1">
        <v>0</v>
      </c>
      <c r="F40" s="1">
        <v>14.66</v>
      </c>
      <c r="G40" s="1">
        <v>0.3</v>
      </c>
      <c r="H40" s="1">
        <v>6</v>
      </c>
      <c r="I40" s="1">
        <v>0.2</v>
      </c>
      <c r="J40" s="1">
        <v>2</v>
      </c>
      <c r="K40" s="1">
        <v>0</v>
      </c>
      <c r="L40" s="1">
        <v>3.79</v>
      </c>
      <c r="M40" s="1">
        <v>20</v>
      </c>
      <c r="N40" s="1">
        <v>0</v>
      </c>
      <c r="O40" s="1">
        <v>13</v>
      </c>
      <c r="P40" s="1">
        <v>9.48</v>
      </c>
      <c r="Q40" s="1">
        <v>0</v>
      </c>
      <c r="R40" s="1">
        <v>3.3</v>
      </c>
      <c r="S40" s="1">
        <v>3.07</v>
      </c>
      <c r="T40" s="1">
        <v>7</v>
      </c>
      <c r="U40" s="1">
        <v>7.33</v>
      </c>
      <c r="V40" s="1">
        <v>1</v>
      </c>
      <c r="W40" s="1">
        <v>4</v>
      </c>
      <c r="X40" s="1">
        <v>1</v>
      </c>
      <c r="Y40" s="1">
        <v>0</v>
      </c>
      <c r="Z40" s="1">
        <v>2.13</v>
      </c>
      <c r="AA40" s="1">
        <v>0.16</v>
      </c>
      <c r="AB40" s="1">
        <v>1.35</v>
      </c>
      <c r="AC40" s="1">
        <v>5</v>
      </c>
      <c r="AD40" s="1">
        <v>1.2</v>
      </c>
      <c r="AE40" s="1">
        <v>2.64</v>
      </c>
      <c r="AF40" s="1">
        <v>2.2000000000000002</v>
      </c>
    </row>
    <row r="41" spans="1:32" s="1" customFormat="1" x14ac:dyDescent="0.25">
      <c r="A41" s="6">
        <v>27054.75</v>
      </c>
      <c r="B41" s="1">
        <v>20.74</v>
      </c>
      <c r="C41" s="1">
        <v>8</v>
      </c>
      <c r="D41" s="1">
        <v>0</v>
      </c>
      <c r="E41" s="1">
        <v>0</v>
      </c>
      <c r="F41" s="1">
        <v>5.1100000000000003</v>
      </c>
      <c r="G41" s="1">
        <v>0.41</v>
      </c>
      <c r="H41" s="1">
        <v>4</v>
      </c>
      <c r="I41" s="1">
        <v>0</v>
      </c>
      <c r="J41" s="1">
        <v>0</v>
      </c>
      <c r="K41" s="1">
        <v>0</v>
      </c>
      <c r="L41" s="1">
        <v>3.79</v>
      </c>
      <c r="M41" s="1">
        <v>7</v>
      </c>
      <c r="N41" s="1">
        <v>0</v>
      </c>
      <c r="O41" s="1">
        <v>10</v>
      </c>
      <c r="P41" s="1">
        <v>5.61</v>
      </c>
      <c r="Q41" s="1">
        <v>0</v>
      </c>
      <c r="R41" s="1">
        <v>1.8</v>
      </c>
      <c r="S41" s="1">
        <v>1.4</v>
      </c>
      <c r="T41" s="1">
        <v>0</v>
      </c>
      <c r="U41" s="1">
        <v>3.63</v>
      </c>
      <c r="V41" s="1">
        <v>11</v>
      </c>
      <c r="W41" s="1">
        <v>2</v>
      </c>
      <c r="X41" s="1">
        <v>7</v>
      </c>
      <c r="Y41" s="1">
        <v>4</v>
      </c>
      <c r="Z41" s="1">
        <v>3.27</v>
      </c>
      <c r="AA41" s="1">
        <v>1.69</v>
      </c>
      <c r="AB41" s="1">
        <v>0.65</v>
      </c>
      <c r="AC41" s="1">
        <v>4</v>
      </c>
      <c r="AD41" s="1">
        <v>3.8</v>
      </c>
      <c r="AE41" s="1">
        <v>4.9800000000000004</v>
      </c>
      <c r="AF41" s="1">
        <v>0.64</v>
      </c>
    </row>
    <row r="42" spans="1:32" s="1" customFormat="1" x14ac:dyDescent="0.25">
      <c r="A42" s="6">
        <v>27054.791666666668</v>
      </c>
      <c r="B42" s="1">
        <v>19.28</v>
      </c>
      <c r="C42" s="1">
        <v>1.2</v>
      </c>
      <c r="D42" s="1">
        <v>3</v>
      </c>
      <c r="E42" s="1">
        <v>0</v>
      </c>
      <c r="F42" s="1">
        <v>0.2</v>
      </c>
      <c r="G42" s="1">
        <v>0.49</v>
      </c>
      <c r="H42" s="1">
        <v>1</v>
      </c>
      <c r="I42" s="1">
        <v>0.2</v>
      </c>
      <c r="J42" s="1">
        <v>0</v>
      </c>
      <c r="K42" s="1">
        <v>0</v>
      </c>
      <c r="L42" s="1">
        <v>3.79</v>
      </c>
      <c r="M42" s="1">
        <v>6</v>
      </c>
      <c r="N42" s="1">
        <v>0</v>
      </c>
      <c r="O42" s="1">
        <v>3</v>
      </c>
      <c r="P42" s="1">
        <v>1.58</v>
      </c>
      <c r="Q42" s="1">
        <v>0</v>
      </c>
      <c r="R42" s="1">
        <v>0.8</v>
      </c>
      <c r="S42" s="1">
        <v>0.35</v>
      </c>
      <c r="T42" s="1">
        <v>0</v>
      </c>
      <c r="U42" s="1">
        <v>6.83</v>
      </c>
      <c r="V42" s="1">
        <v>11</v>
      </c>
      <c r="W42" s="1">
        <v>7</v>
      </c>
      <c r="X42" s="1">
        <v>2</v>
      </c>
      <c r="Y42" s="1">
        <v>1</v>
      </c>
      <c r="Z42" s="1">
        <v>5.53</v>
      </c>
      <c r="AA42" s="1">
        <v>6.71</v>
      </c>
      <c r="AB42" s="1">
        <v>7.8</v>
      </c>
      <c r="AC42" s="1">
        <v>6</v>
      </c>
      <c r="AD42" s="1">
        <v>8.1</v>
      </c>
      <c r="AE42" s="1">
        <v>13.74</v>
      </c>
      <c r="AF42" s="1">
        <v>4.3600000000000003</v>
      </c>
    </row>
    <row r="43" spans="1:32" s="1" customFormat="1" x14ac:dyDescent="0.25">
      <c r="A43" s="6">
        <v>27054.833333333332</v>
      </c>
      <c r="B43" s="1">
        <v>3.1</v>
      </c>
      <c r="C43" s="1">
        <v>1.3</v>
      </c>
      <c r="D43" s="1">
        <v>5</v>
      </c>
      <c r="E43" s="1">
        <v>0</v>
      </c>
      <c r="F43" s="1">
        <v>0</v>
      </c>
      <c r="G43" s="1">
        <v>0.1</v>
      </c>
      <c r="H43" s="1">
        <v>5</v>
      </c>
      <c r="I43" s="1">
        <v>0.3</v>
      </c>
      <c r="J43" s="1">
        <v>0</v>
      </c>
      <c r="K43" s="1">
        <v>0</v>
      </c>
      <c r="L43" s="1">
        <v>3.79</v>
      </c>
      <c r="M43" s="1">
        <v>11</v>
      </c>
      <c r="N43" s="1">
        <v>0</v>
      </c>
      <c r="O43" s="1">
        <v>5</v>
      </c>
      <c r="P43" s="1">
        <v>0</v>
      </c>
      <c r="Q43" s="1">
        <v>0</v>
      </c>
      <c r="R43" s="1">
        <v>2.57</v>
      </c>
      <c r="S43" s="1">
        <v>0.75</v>
      </c>
      <c r="T43" s="1">
        <v>1</v>
      </c>
      <c r="U43" s="1">
        <v>24.27</v>
      </c>
      <c r="V43" s="1">
        <v>26</v>
      </c>
      <c r="W43" s="1">
        <v>12</v>
      </c>
      <c r="X43" s="1">
        <v>14</v>
      </c>
      <c r="Y43" s="1">
        <v>12</v>
      </c>
      <c r="Z43" s="1">
        <v>14.86</v>
      </c>
      <c r="AA43" s="1">
        <v>9.16</v>
      </c>
      <c r="AB43" s="1">
        <v>11.25</v>
      </c>
      <c r="AC43" s="1">
        <v>18</v>
      </c>
      <c r="AD43" s="1">
        <v>9.4</v>
      </c>
      <c r="AE43" s="1">
        <v>3.8</v>
      </c>
      <c r="AF43" s="1">
        <v>1.02</v>
      </c>
    </row>
    <row r="44" spans="1:32" s="1" customFormat="1" x14ac:dyDescent="0.25">
      <c r="A44" s="6">
        <v>27054.875</v>
      </c>
      <c r="B44" s="1">
        <v>2.02</v>
      </c>
      <c r="C44" s="1">
        <v>1.8</v>
      </c>
      <c r="D44" s="1">
        <v>11</v>
      </c>
      <c r="E44" s="1">
        <v>0</v>
      </c>
      <c r="F44" s="1">
        <v>0.6</v>
      </c>
      <c r="G44" s="1">
        <v>0.3</v>
      </c>
      <c r="H44" s="1">
        <v>1</v>
      </c>
      <c r="I44" s="1">
        <v>0</v>
      </c>
      <c r="J44" s="1">
        <v>1</v>
      </c>
      <c r="K44" s="1">
        <v>1</v>
      </c>
      <c r="L44" s="1">
        <v>3.79</v>
      </c>
      <c r="M44" s="1">
        <v>13</v>
      </c>
      <c r="N44" s="1">
        <v>0</v>
      </c>
      <c r="O44" s="1">
        <v>6</v>
      </c>
      <c r="P44" s="1">
        <v>1.7</v>
      </c>
      <c r="Q44" s="1">
        <v>1</v>
      </c>
      <c r="R44" s="1">
        <v>2.23</v>
      </c>
      <c r="S44" s="1">
        <v>8.1300000000000008</v>
      </c>
      <c r="T44" s="1">
        <v>3</v>
      </c>
      <c r="U44" s="1">
        <v>14.15</v>
      </c>
      <c r="V44" s="1">
        <v>25</v>
      </c>
      <c r="W44" s="1">
        <v>23</v>
      </c>
      <c r="X44" s="1">
        <v>25</v>
      </c>
      <c r="Y44" s="1">
        <v>18</v>
      </c>
      <c r="Z44" s="1">
        <v>18.02</v>
      </c>
      <c r="AA44" s="1">
        <v>17.89</v>
      </c>
      <c r="AB44" s="1">
        <v>9.02</v>
      </c>
      <c r="AC44" s="1">
        <v>28</v>
      </c>
      <c r="AD44" s="1">
        <v>8.6999999999999993</v>
      </c>
      <c r="AE44" s="1">
        <v>1.8</v>
      </c>
      <c r="AF44" s="1">
        <v>0.68</v>
      </c>
    </row>
    <row r="45" spans="1:32" s="1" customFormat="1" x14ac:dyDescent="0.25">
      <c r="A45" s="6">
        <v>27054.916666666668</v>
      </c>
      <c r="B45" s="1">
        <v>0.79</v>
      </c>
      <c r="C45" s="1">
        <v>1.3</v>
      </c>
      <c r="D45" s="1">
        <v>10</v>
      </c>
      <c r="E45" s="1">
        <v>0</v>
      </c>
      <c r="F45" s="1">
        <v>0.3</v>
      </c>
      <c r="G45" s="1">
        <v>0.37</v>
      </c>
      <c r="H45" s="1">
        <v>2</v>
      </c>
      <c r="I45" s="1">
        <v>0.18</v>
      </c>
      <c r="J45" s="1">
        <v>0</v>
      </c>
      <c r="K45" s="1">
        <v>0</v>
      </c>
      <c r="L45" s="1">
        <v>3.79</v>
      </c>
      <c r="M45" s="1">
        <v>36</v>
      </c>
      <c r="N45" s="1">
        <v>0</v>
      </c>
      <c r="O45" s="1">
        <v>11</v>
      </c>
      <c r="P45" s="1">
        <v>2.11</v>
      </c>
      <c r="Q45" s="1">
        <v>0</v>
      </c>
      <c r="R45" s="1">
        <v>3.83</v>
      </c>
      <c r="S45" s="1">
        <v>10.24</v>
      </c>
      <c r="T45" s="1">
        <v>29</v>
      </c>
      <c r="U45" s="1">
        <v>14.66</v>
      </c>
      <c r="V45" s="1">
        <v>26</v>
      </c>
      <c r="W45" s="1">
        <v>48</v>
      </c>
      <c r="X45" s="1">
        <v>27</v>
      </c>
      <c r="Y45" s="1">
        <v>20</v>
      </c>
      <c r="Z45" s="1">
        <v>38.43</v>
      </c>
      <c r="AA45" s="1">
        <v>18.100000000000001</v>
      </c>
      <c r="AB45" s="1">
        <v>16.16</v>
      </c>
      <c r="AC45" s="1">
        <v>17</v>
      </c>
      <c r="AD45" s="1">
        <v>9.4</v>
      </c>
      <c r="AE45" s="1">
        <v>0</v>
      </c>
      <c r="AF45" s="1">
        <v>0.6</v>
      </c>
    </row>
    <row r="46" spans="1:32" s="1" customFormat="1" x14ac:dyDescent="0.25">
      <c r="A46" s="6">
        <v>27054.958333333332</v>
      </c>
      <c r="B46" s="1">
        <v>1.48</v>
      </c>
      <c r="C46" s="1">
        <v>0.6</v>
      </c>
      <c r="D46" s="1">
        <v>22</v>
      </c>
      <c r="E46" s="1">
        <v>1</v>
      </c>
      <c r="F46" s="1">
        <v>0</v>
      </c>
      <c r="G46" s="1">
        <v>0.33</v>
      </c>
      <c r="H46" s="1">
        <v>3</v>
      </c>
      <c r="I46" s="1">
        <v>0.22</v>
      </c>
      <c r="J46" s="1">
        <v>1</v>
      </c>
      <c r="K46" s="1">
        <v>1</v>
      </c>
      <c r="L46" s="1">
        <v>3.79</v>
      </c>
      <c r="M46" s="1">
        <v>31</v>
      </c>
      <c r="N46" s="1">
        <v>0</v>
      </c>
      <c r="O46" s="1">
        <v>16</v>
      </c>
      <c r="P46" s="1">
        <v>2.09</v>
      </c>
      <c r="Q46" s="1">
        <v>1</v>
      </c>
      <c r="R46" s="1">
        <v>5.37</v>
      </c>
      <c r="S46" s="1">
        <v>6.83</v>
      </c>
      <c r="T46" s="1">
        <v>20</v>
      </c>
      <c r="U46" s="1">
        <v>17.62</v>
      </c>
      <c r="V46" s="1">
        <v>5</v>
      </c>
      <c r="W46" s="1">
        <v>58</v>
      </c>
      <c r="X46" s="1">
        <v>19</v>
      </c>
      <c r="Y46" s="1">
        <v>15</v>
      </c>
      <c r="Z46" s="1">
        <v>45.15</v>
      </c>
      <c r="AA46" s="1">
        <v>18.89</v>
      </c>
      <c r="AB46" s="1">
        <v>18.48</v>
      </c>
      <c r="AC46" s="1">
        <v>14</v>
      </c>
      <c r="AD46" s="1">
        <v>25</v>
      </c>
      <c r="AE46" s="1">
        <v>0</v>
      </c>
      <c r="AF46" s="1">
        <v>0</v>
      </c>
    </row>
    <row r="47" spans="1:32" s="1" customFormat="1" x14ac:dyDescent="0.25">
      <c r="A47" s="6">
        <v>27055</v>
      </c>
      <c r="B47" s="1">
        <v>0.75</v>
      </c>
      <c r="C47" s="1">
        <v>0.6</v>
      </c>
      <c r="D47" s="1">
        <v>9</v>
      </c>
      <c r="E47" s="1">
        <v>3</v>
      </c>
      <c r="F47" s="1">
        <v>0</v>
      </c>
      <c r="G47" s="1">
        <v>0</v>
      </c>
      <c r="H47" s="1">
        <v>4</v>
      </c>
      <c r="I47" s="1">
        <v>1.77</v>
      </c>
      <c r="J47" s="1">
        <v>0</v>
      </c>
      <c r="K47" s="1">
        <v>2</v>
      </c>
      <c r="L47" s="1">
        <v>3.79</v>
      </c>
      <c r="M47" s="1">
        <v>8</v>
      </c>
      <c r="N47" s="1">
        <v>0</v>
      </c>
      <c r="O47" s="1">
        <v>9</v>
      </c>
      <c r="P47" s="1">
        <v>1.3</v>
      </c>
      <c r="Q47" s="1">
        <v>2</v>
      </c>
      <c r="R47" s="1">
        <v>8.92</v>
      </c>
      <c r="S47" s="1">
        <v>3.98</v>
      </c>
      <c r="T47" s="1">
        <v>6</v>
      </c>
      <c r="U47" s="1">
        <v>36.39</v>
      </c>
      <c r="V47" s="1">
        <v>4</v>
      </c>
      <c r="W47" s="1">
        <v>93</v>
      </c>
      <c r="X47" s="1">
        <v>57</v>
      </c>
      <c r="Y47" s="1">
        <v>20</v>
      </c>
      <c r="Z47" s="1">
        <v>53.68</v>
      </c>
      <c r="AA47" s="1">
        <v>36.32</v>
      </c>
      <c r="AB47" s="1">
        <v>32.61</v>
      </c>
      <c r="AC47" s="1">
        <v>34</v>
      </c>
      <c r="AD47" s="1">
        <v>33.700000000000003</v>
      </c>
      <c r="AE47" s="1">
        <v>0</v>
      </c>
      <c r="AF47" s="1">
        <v>0</v>
      </c>
    </row>
    <row r="48" spans="1:32" s="1" customFormat="1" x14ac:dyDescent="0.25">
      <c r="A48" s="6">
        <v>27055.041666666668</v>
      </c>
      <c r="B48" s="1">
        <v>0.77</v>
      </c>
      <c r="C48" s="1">
        <v>0</v>
      </c>
      <c r="D48" s="1">
        <v>12</v>
      </c>
      <c r="E48" s="1">
        <v>9</v>
      </c>
      <c r="F48" s="1">
        <v>0</v>
      </c>
      <c r="G48" s="1">
        <v>0</v>
      </c>
      <c r="H48" s="1">
        <v>4</v>
      </c>
      <c r="I48" s="1">
        <v>1.28</v>
      </c>
      <c r="J48" s="1">
        <v>2</v>
      </c>
      <c r="K48" s="1">
        <v>2</v>
      </c>
      <c r="L48" s="1">
        <v>3.79</v>
      </c>
      <c r="M48" s="1">
        <v>2</v>
      </c>
      <c r="N48" s="1">
        <v>0</v>
      </c>
      <c r="O48" s="1">
        <v>6</v>
      </c>
      <c r="P48" s="1">
        <v>1.1000000000000001</v>
      </c>
      <c r="Q48" s="1">
        <v>2</v>
      </c>
      <c r="R48" s="1">
        <v>10.17</v>
      </c>
      <c r="S48" s="1">
        <v>5.42</v>
      </c>
      <c r="T48" s="1">
        <v>4</v>
      </c>
      <c r="U48" s="1">
        <v>7</v>
      </c>
      <c r="V48" s="1">
        <v>15</v>
      </c>
      <c r="W48" s="1">
        <v>9</v>
      </c>
      <c r="X48" s="1">
        <v>47</v>
      </c>
      <c r="Y48" s="1">
        <v>38</v>
      </c>
      <c r="Z48" s="1">
        <v>55.29</v>
      </c>
      <c r="AA48" s="1">
        <v>16.79</v>
      </c>
      <c r="AB48" s="1">
        <v>32.93</v>
      </c>
      <c r="AC48" s="1">
        <v>46</v>
      </c>
      <c r="AD48" s="1">
        <v>16.899999999999999</v>
      </c>
      <c r="AE48" s="1">
        <v>0</v>
      </c>
      <c r="AF48" s="1">
        <v>1.1000000000000001</v>
      </c>
    </row>
    <row r="49" spans="1:32" s="1" customFormat="1" x14ac:dyDescent="0.25">
      <c r="A49" s="6">
        <v>27055.083333333332</v>
      </c>
      <c r="B49" s="1">
        <v>0</v>
      </c>
      <c r="C49" s="1">
        <v>0</v>
      </c>
      <c r="D49" s="1">
        <v>12</v>
      </c>
      <c r="E49" s="1">
        <v>9</v>
      </c>
      <c r="F49" s="1">
        <v>0</v>
      </c>
      <c r="G49" s="1">
        <v>0</v>
      </c>
      <c r="H49" s="1">
        <v>2</v>
      </c>
      <c r="I49" s="1">
        <v>0.76</v>
      </c>
      <c r="J49" s="1">
        <v>0</v>
      </c>
      <c r="K49" s="1">
        <v>1</v>
      </c>
      <c r="L49" s="1">
        <v>3.79</v>
      </c>
      <c r="M49" s="1">
        <v>7</v>
      </c>
      <c r="N49" s="1">
        <v>0</v>
      </c>
      <c r="O49" s="1">
        <v>5</v>
      </c>
      <c r="P49" s="1">
        <v>3.49</v>
      </c>
      <c r="Q49" s="1">
        <v>1</v>
      </c>
      <c r="R49" s="1">
        <v>12.95</v>
      </c>
      <c r="S49" s="1">
        <v>5.86</v>
      </c>
      <c r="T49" s="1">
        <v>10</v>
      </c>
      <c r="U49" s="1">
        <v>10.73</v>
      </c>
      <c r="V49" s="1">
        <v>7</v>
      </c>
      <c r="W49" s="1">
        <v>24</v>
      </c>
      <c r="X49" s="1">
        <v>40</v>
      </c>
      <c r="Y49" s="1">
        <v>29</v>
      </c>
      <c r="Z49" s="1">
        <v>25.47</v>
      </c>
      <c r="AA49" s="1">
        <v>10.17</v>
      </c>
      <c r="AB49" s="1">
        <v>13.97</v>
      </c>
      <c r="AC49" s="1">
        <v>15</v>
      </c>
      <c r="AD49" s="1">
        <v>21.9</v>
      </c>
      <c r="AE49" s="1">
        <v>0.8</v>
      </c>
      <c r="AF49" s="1">
        <v>0.2</v>
      </c>
    </row>
    <row r="50" spans="1:32" s="1" customFormat="1" x14ac:dyDescent="0.25">
      <c r="A50" s="6">
        <v>27055.125</v>
      </c>
      <c r="B50" s="1">
        <v>0.4</v>
      </c>
      <c r="C50" s="1">
        <v>0</v>
      </c>
      <c r="D50" s="1">
        <v>13</v>
      </c>
      <c r="E50" s="1">
        <v>26</v>
      </c>
      <c r="F50" s="1">
        <v>0</v>
      </c>
      <c r="G50" s="1">
        <v>0</v>
      </c>
      <c r="H50" s="1">
        <v>2</v>
      </c>
      <c r="I50" s="1">
        <v>1.2</v>
      </c>
      <c r="J50" s="1">
        <v>1</v>
      </c>
      <c r="K50" s="1">
        <v>8</v>
      </c>
      <c r="L50" s="1">
        <v>3.79</v>
      </c>
      <c r="M50" s="1">
        <v>7</v>
      </c>
      <c r="N50" s="1">
        <v>0</v>
      </c>
      <c r="O50" s="1">
        <v>3</v>
      </c>
      <c r="P50" s="1">
        <v>2.8</v>
      </c>
      <c r="Q50" s="1">
        <v>8</v>
      </c>
      <c r="R50" s="1">
        <v>8.68</v>
      </c>
      <c r="S50" s="1">
        <v>3.59</v>
      </c>
      <c r="T50" s="1">
        <v>8</v>
      </c>
      <c r="U50" s="1">
        <v>4.9800000000000004</v>
      </c>
      <c r="V50" s="1">
        <v>11</v>
      </c>
      <c r="W50" s="1">
        <v>5</v>
      </c>
      <c r="X50" s="1">
        <v>38</v>
      </c>
      <c r="Y50" s="1">
        <v>29</v>
      </c>
      <c r="Z50" s="1">
        <v>4.22</v>
      </c>
      <c r="AA50" s="1">
        <v>8.75</v>
      </c>
      <c r="AB50" s="1">
        <v>7.76</v>
      </c>
      <c r="AC50" s="1">
        <v>16</v>
      </c>
      <c r="AD50" s="1">
        <v>6.2</v>
      </c>
      <c r="AE50" s="1">
        <v>0</v>
      </c>
      <c r="AF50" s="1">
        <v>0</v>
      </c>
    </row>
    <row r="51" spans="1:32" s="1" customFormat="1" x14ac:dyDescent="0.25">
      <c r="A51" s="6">
        <v>27055.166666666668</v>
      </c>
      <c r="B51" s="1">
        <v>0.1</v>
      </c>
      <c r="C51" s="1">
        <v>0</v>
      </c>
      <c r="D51" s="1">
        <v>3</v>
      </c>
      <c r="E51" s="1">
        <v>19</v>
      </c>
      <c r="F51" s="1">
        <v>0</v>
      </c>
      <c r="G51" s="1">
        <v>0</v>
      </c>
      <c r="H51" s="1">
        <v>0</v>
      </c>
      <c r="I51" s="1">
        <v>2.85</v>
      </c>
      <c r="J51" s="1">
        <v>4</v>
      </c>
      <c r="K51" s="1">
        <v>8</v>
      </c>
      <c r="L51" s="1">
        <v>3.79</v>
      </c>
      <c r="M51" s="1">
        <v>7</v>
      </c>
      <c r="N51" s="1">
        <v>0</v>
      </c>
      <c r="O51" s="1">
        <v>4</v>
      </c>
      <c r="P51" s="1">
        <v>2.89</v>
      </c>
      <c r="Q51" s="1">
        <v>8</v>
      </c>
      <c r="R51" s="1">
        <v>9.7200000000000006</v>
      </c>
      <c r="S51" s="1">
        <v>14.57</v>
      </c>
      <c r="T51" s="1">
        <v>5</v>
      </c>
      <c r="U51" s="1">
        <v>7.27</v>
      </c>
      <c r="V51" s="1">
        <v>8</v>
      </c>
      <c r="W51" s="1">
        <v>7</v>
      </c>
      <c r="X51" s="1">
        <v>5</v>
      </c>
      <c r="Y51" s="1">
        <v>14</v>
      </c>
      <c r="Z51" s="1">
        <v>6.55</v>
      </c>
      <c r="AA51" s="1">
        <v>3.78</v>
      </c>
      <c r="AB51" s="1">
        <v>1.97</v>
      </c>
      <c r="AC51" s="1">
        <v>7</v>
      </c>
      <c r="AD51" s="1">
        <v>3.8</v>
      </c>
      <c r="AE51" s="1">
        <v>0</v>
      </c>
      <c r="AF51" s="1">
        <v>1.8</v>
      </c>
    </row>
    <row r="52" spans="1:32" s="1" customFormat="1" x14ac:dyDescent="0.25">
      <c r="A52" s="6">
        <v>27055.208333333332</v>
      </c>
      <c r="B52" s="1">
        <v>1.2</v>
      </c>
      <c r="C52" s="1">
        <v>1.2</v>
      </c>
      <c r="D52" s="1">
        <v>0</v>
      </c>
      <c r="E52" s="1">
        <v>8</v>
      </c>
      <c r="F52" s="1">
        <v>0</v>
      </c>
      <c r="G52" s="1">
        <v>0</v>
      </c>
      <c r="H52" s="1">
        <v>3</v>
      </c>
      <c r="I52" s="1">
        <v>20.48</v>
      </c>
      <c r="J52" s="1">
        <v>4</v>
      </c>
      <c r="K52" s="1">
        <v>8</v>
      </c>
      <c r="L52" s="1">
        <v>3.79</v>
      </c>
      <c r="M52" s="1">
        <v>13</v>
      </c>
      <c r="N52" s="1">
        <v>0</v>
      </c>
      <c r="O52" s="1">
        <v>5</v>
      </c>
      <c r="P52" s="1">
        <v>2</v>
      </c>
      <c r="Q52" s="1">
        <v>8</v>
      </c>
      <c r="R52" s="1">
        <v>16.52</v>
      </c>
      <c r="S52" s="1">
        <v>6.54</v>
      </c>
      <c r="T52" s="1">
        <v>10</v>
      </c>
      <c r="U52" s="1">
        <v>8.26</v>
      </c>
      <c r="V52" s="1">
        <v>11</v>
      </c>
      <c r="W52" s="1">
        <v>4</v>
      </c>
      <c r="X52" s="1">
        <v>5</v>
      </c>
      <c r="Y52" s="1">
        <v>6</v>
      </c>
      <c r="Z52" s="1">
        <v>3.38</v>
      </c>
      <c r="AA52" s="1">
        <v>5.95</v>
      </c>
      <c r="AB52" s="1">
        <v>4.7300000000000004</v>
      </c>
      <c r="AC52" s="1">
        <v>9</v>
      </c>
      <c r="AD52" s="1">
        <v>6.2</v>
      </c>
      <c r="AE52" s="1">
        <v>3.03</v>
      </c>
      <c r="AF52" s="1">
        <v>0.7</v>
      </c>
    </row>
    <row r="53" spans="1:32" s="1" customFormat="1" x14ac:dyDescent="0.25">
      <c r="A53" s="6">
        <v>27055.25</v>
      </c>
      <c r="B53" s="1">
        <v>0</v>
      </c>
      <c r="C53" s="1">
        <v>0</v>
      </c>
      <c r="D53" s="1">
        <v>1</v>
      </c>
      <c r="E53" s="1">
        <v>2</v>
      </c>
      <c r="F53" s="1">
        <v>0</v>
      </c>
      <c r="G53" s="1">
        <v>0</v>
      </c>
      <c r="H53" s="1">
        <v>10</v>
      </c>
      <c r="I53" s="1">
        <v>6.33</v>
      </c>
      <c r="J53" s="1">
        <v>5</v>
      </c>
      <c r="K53" s="1">
        <v>8</v>
      </c>
      <c r="L53" s="1">
        <v>3.79</v>
      </c>
      <c r="M53" s="1">
        <v>11</v>
      </c>
      <c r="N53" s="1">
        <v>0</v>
      </c>
      <c r="O53" s="1">
        <v>15</v>
      </c>
      <c r="P53" s="1">
        <v>5.31</v>
      </c>
      <c r="Q53" s="1">
        <v>8</v>
      </c>
      <c r="R53" s="1">
        <v>14.94</v>
      </c>
      <c r="S53" s="1">
        <v>6.45</v>
      </c>
      <c r="T53" s="1">
        <v>6</v>
      </c>
      <c r="U53" s="1">
        <v>10.92</v>
      </c>
      <c r="V53" s="1">
        <v>5</v>
      </c>
      <c r="W53" s="1">
        <v>12</v>
      </c>
      <c r="X53" s="1">
        <v>11</v>
      </c>
      <c r="Y53" s="1">
        <v>10</v>
      </c>
      <c r="Z53" s="1">
        <v>10.57</v>
      </c>
      <c r="AA53" s="1">
        <v>7.7</v>
      </c>
      <c r="AB53" s="1">
        <v>5.88</v>
      </c>
      <c r="AC53" s="1">
        <v>13</v>
      </c>
      <c r="AD53" s="1">
        <v>12.5</v>
      </c>
      <c r="AE53" s="1">
        <v>1.77</v>
      </c>
      <c r="AF53" s="1">
        <v>0</v>
      </c>
    </row>
    <row r="54" spans="1:32" s="1" customFormat="1" x14ac:dyDescent="0.25">
      <c r="A54" s="6">
        <v>27055.291666666668</v>
      </c>
      <c r="B54" s="1">
        <v>0</v>
      </c>
      <c r="C54" s="1">
        <v>0</v>
      </c>
      <c r="D54" s="1">
        <v>0</v>
      </c>
      <c r="E54" s="1">
        <v>0</v>
      </c>
      <c r="F54" s="1">
        <v>0</v>
      </c>
      <c r="G54" s="1">
        <v>0.1</v>
      </c>
      <c r="H54" s="1">
        <v>8</v>
      </c>
      <c r="I54" s="1">
        <v>0.54</v>
      </c>
      <c r="J54" s="1">
        <v>3</v>
      </c>
      <c r="K54" s="1">
        <v>5</v>
      </c>
      <c r="L54" s="1">
        <v>3.79</v>
      </c>
      <c r="M54" s="1">
        <v>3</v>
      </c>
      <c r="N54" s="1">
        <v>0</v>
      </c>
      <c r="O54" s="1">
        <v>8</v>
      </c>
      <c r="P54" s="1">
        <v>15.55</v>
      </c>
      <c r="Q54" s="1">
        <v>5</v>
      </c>
      <c r="R54" s="1">
        <v>10.47</v>
      </c>
      <c r="S54" s="1">
        <v>5.28</v>
      </c>
      <c r="T54" s="1">
        <v>3</v>
      </c>
      <c r="U54" s="1">
        <v>13.32</v>
      </c>
      <c r="V54" s="1">
        <v>12</v>
      </c>
      <c r="W54" s="1">
        <v>13</v>
      </c>
      <c r="X54" s="1">
        <v>11</v>
      </c>
      <c r="Y54" s="1">
        <v>10</v>
      </c>
      <c r="Z54" s="1">
        <v>15.26</v>
      </c>
      <c r="AA54" s="1">
        <v>23.55</v>
      </c>
      <c r="AB54" s="1">
        <v>9.75</v>
      </c>
      <c r="AC54" s="1">
        <v>17</v>
      </c>
      <c r="AD54" s="1">
        <v>9.4</v>
      </c>
      <c r="AE54" s="1">
        <v>0.86</v>
      </c>
      <c r="AF54" s="1">
        <v>0.23</v>
      </c>
    </row>
    <row r="55" spans="1:32" s="1" customFormat="1" x14ac:dyDescent="0.25">
      <c r="A55" s="6">
        <v>27055.333333333332</v>
      </c>
      <c r="B55" s="1">
        <v>0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4</v>
      </c>
      <c r="I55" s="1">
        <v>0.33</v>
      </c>
      <c r="J55" s="1">
        <v>0</v>
      </c>
      <c r="K55" s="1">
        <v>0</v>
      </c>
      <c r="L55" s="1">
        <v>3.79</v>
      </c>
      <c r="M55" s="1">
        <v>3</v>
      </c>
      <c r="N55" s="1">
        <v>0</v>
      </c>
      <c r="O55" s="1">
        <v>5</v>
      </c>
      <c r="P55" s="1">
        <v>3.06</v>
      </c>
      <c r="Q55" s="1">
        <v>0</v>
      </c>
      <c r="R55" s="1">
        <v>15.41</v>
      </c>
      <c r="S55" s="1">
        <v>3.59</v>
      </c>
      <c r="T55" s="1">
        <v>7</v>
      </c>
      <c r="U55" s="1">
        <v>3.53</v>
      </c>
      <c r="V55" s="1">
        <v>3</v>
      </c>
      <c r="W55" s="1">
        <v>2</v>
      </c>
      <c r="X55" s="1">
        <v>3</v>
      </c>
      <c r="Y55" s="1">
        <v>2</v>
      </c>
      <c r="Z55" s="1">
        <v>3.87</v>
      </c>
      <c r="AA55" s="1">
        <v>4.08</v>
      </c>
      <c r="AB55" s="1">
        <v>6.1</v>
      </c>
      <c r="AC55" s="1">
        <v>9</v>
      </c>
      <c r="AD55" s="1">
        <v>3.8</v>
      </c>
      <c r="AE55" s="1">
        <v>2.2999999999999998</v>
      </c>
      <c r="AF55" s="1">
        <v>1.97</v>
      </c>
    </row>
    <row r="56" spans="1:32" s="1" customFormat="1" x14ac:dyDescent="0.25">
      <c r="A56" s="6">
        <v>27055.375</v>
      </c>
      <c r="B56" s="1">
        <v>0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0.67</v>
      </c>
      <c r="J56" s="1">
        <v>1</v>
      </c>
      <c r="K56" s="1">
        <v>1</v>
      </c>
      <c r="L56" s="1">
        <v>3.79</v>
      </c>
      <c r="M56" s="1">
        <v>5</v>
      </c>
      <c r="N56" s="1">
        <v>0</v>
      </c>
      <c r="O56" s="1">
        <v>13</v>
      </c>
      <c r="P56" s="1">
        <v>3.06</v>
      </c>
      <c r="Q56" s="1">
        <v>1</v>
      </c>
      <c r="R56" s="1">
        <v>5.0999999999999996</v>
      </c>
      <c r="S56" s="1">
        <v>4.3099999999999996</v>
      </c>
      <c r="T56" s="1">
        <v>6</v>
      </c>
      <c r="U56" s="1">
        <v>1.32</v>
      </c>
      <c r="V56" s="1">
        <v>1</v>
      </c>
      <c r="W56" s="1">
        <v>8</v>
      </c>
      <c r="X56" s="1">
        <v>10</v>
      </c>
      <c r="Y56" s="1">
        <v>12</v>
      </c>
      <c r="Z56" s="1">
        <v>8.14</v>
      </c>
      <c r="AA56" s="1">
        <v>3.5</v>
      </c>
      <c r="AB56" s="1">
        <v>2.4900000000000002</v>
      </c>
      <c r="AC56" s="1">
        <v>3</v>
      </c>
      <c r="AD56" s="1">
        <v>6.2</v>
      </c>
      <c r="AE56" s="1">
        <v>4.84</v>
      </c>
      <c r="AF56" s="1">
        <v>0.4</v>
      </c>
    </row>
    <row r="57" spans="1:32" s="1" customFormat="1" x14ac:dyDescent="0.25">
      <c r="A57" s="6">
        <v>27055.416666666668</v>
      </c>
      <c r="B57" s="1">
        <v>0.7</v>
      </c>
      <c r="C57" s="1">
        <v>0.7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0.56000000000000005</v>
      </c>
      <c r="J57" s="1">
        <v>0</v>
      </c>
      <c r="K57" s="1">
        <v>1</v>
      </c>
      <c r="L57" s="1">
        <v>9.7100000000000009</v>
      </c>
      <c r="M57" s="1">
        <v>2</v>
      </c>
      <c r="N57" s="1">
        <v>0</v>
      </c>
      <c r="O57" s="1">
        <v>9</v>
      </c>
      <c r="P57" s="1">
        <v>5.0199999999999996</v>
      </c>
      <c r="Q57" s="1">
        <v>1</v>
      </c>
      <c r="R57" s="1">
        <v>6.94</v>
      </c>
      <c r="S57" s="1">
        <v>5.78</v>
      </c>
      <c r="T57" s="1">
        <v>1</v>
      </c>
      <c r="U57" s="1">
        <v>0</v>
      </c>
      <c r="V57" s="1">
        <v>2</v>
      </c>
      <c r="W57" s="1">
        <v>2</v>
      </c>
      <c r="X57" s="1">
        <v>3</v>
      </c>
      <c r="Y57" s="1">
        <v>4</v>
      </c>
      <c r="Z57" s="1">
        <v>1.78</v>
      </c>
      <c r="AA57" s="1">
        <v>7.53</v>
      </c>
      <c r="AB57" s="1">
        <v>9.61</v>
      </c>
      <c r="AC57" s="1">
        <v>10</v>
      </c>
      <c r="AD57" s="1">
        <v>4.4000000000000004</v>
      </c>
      <c r="AE57" s="1">
        <v>5.2</v>
      </c>
      <c r="AF57" s="1">
        <v>10.49</v>
      </c>
    </row>
    <row r="58" spans="1:32" s="1" customFormat="1" x14ac:dyDescent="0.25">
      <c r="A58" s="6">
        <v>27055.458333333332</v>
      </c>
      <c r="B58" s="1">
        <v>3.17</v>
      </c>
      <c r="C58" s="1">
        <v>0</v>
      </c>
      <c r="D58" s="1">
        <v>2</v>
      </c>
      <c r="E58" s="1">
        <v>0</v>
      </c>
      <c r="F58" s="1">
        <v>0</v>
      </c>
      <c r="G58" s="1">
        <v>0</v>
      </c>
      <c r="H58" s="1">
        <v>2</v>
      </c>
      <c r="I58" s="1">
        <v>1.24</v>
      </c>
      <c r="J58" s="1">
        <v>3</v>
      </c>
      <c r="K58" s="1">
        <v>0</v>
      </c>
      <c r="L58" s="1">
        <v>9.7100000000000009</v>
      </c>
      <c r="M58" s="1">
        <v>2</v>
      </c>
      <c r="N58" s="1">
        <v>0</v>
      </c>
      <c r="O58" s="1">
        <v>6</v>
      </c>
      <c r="P58" s="1">
        <v>1.52</v>
      </c>
      <c r="Q58" s="1">
        <v>0</v>
      </c>
      <c r="R58" s="1">
        <v>12.81</v>
      </c>
      <c r="S58" s="1">
        <v>6.82</v>
      </c>
      <c r="T58" s="1">
        <v>1</v>
      </c>
      <c r="U58" s="1">
        <v>0</v>
      </c>
      <c r="V58" s="1">
        <v>3</v>
      </c>
      <c r="W58" s="1">
        <v>1</v>
      </c>
      <c r="X58" s="1">
        <v>1</v>
      </c>
      <c r="Y58" s="1">
        <v>1</v>
      </c>
      <c r="Z58" s="1">
        <v>0.86</v>
      </c>
      <c r="AA58" s="1">
        <v>1.47</v>
      </c>
      <c r="AB58" s="1">
        <v>10.3</v>
      </c>
      <c r="AC58" s="1">
        <v>17</v>
      </c>
      <c r="AD58" s="1">
        <v>6.2</v>
      </c>
      <c r="AE58" s="1">
        <v>1.1000000000000001</v>
      </c>
      <c r="AF58" s="1">
        <v>1.31</v>
      </c>
    </row>
    <row r="59" spans="1:32" s="1" customFormat="1" x14ac:dyDescent="0.25">
      <c r="A59" s="6">
        <v>27055.5</v>
      </c>
      <c r="B59" s="1">
        <v>2.0499999999999998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1</v>
      </c>
      <c r="I59" s="1">
        <v>1.1000000000000001</v>
      </c>
      <c r="J59" s="1">
        <v>5</v>
      </c>
      <c r="K59" s="1">
        <v>0</v>
      </c>
      <c r="L59" s="1">
        <v>9.7100000000000009</v>
      </c>
      <c r="M59" s="1">
        <v>2</v>
      </c>
      <c r="N59" s="1">
        <v>1.29</v>
      </c>
      <c r="O59" s="1">
        <v>8</v>
      </c>
      <c r="P59" s="1">
        <v>0.5</v>
      </c>
      <c r="Q59" s="1">
        <v>0</v>
      </c>
      <c r="R59" s="1">
        <v>10.6</v>
      </c>
      <c r="S59" s="1">
        <v>9.58</v>
      </c>
      <c r="T59" s="1">
        <v>3</v>
      </c>
      <c r="U59" s="1">
        <v>1.76</v>
      </c>
      <c r="V59" s="1">
        <v>4</v>
      </c>
      <c r="W59" s="1">
        <v>1</v>
      </c>
      <c r="X59" s="1">
        <v>0</v>
      </c>
      <c r="Y59" s="1">
        <v>0</v>
      </c>
      <c r="Z59" s="1">
        <v>1.18</v>
      </c>
      <c r="AA59" s="1">
        <v>0.43</v>
      </c>
      <c r="AB59" s="1">
        <v>6.6</v>
      </c>
      <c r="AC59" s="1">
        <v>2</v>
      </c>
      <c r="AD59" s="1">
        <v>5.7</v>
      </c>
      <c r="AE59" s="1">
        <v>0.33</v>
      </c>
      <c r="AF59" s="1">
        <v>0.32</v>
      </c>
    </row>
    <row r="60" spans="1:32" s="1" customFormat="1" x14ac:dyDescent="0.25">
      <c r="A60" s="6">
        <v>27055.541666666668</v>
      </c>
      <c r="B60" s="1">
        <v>0.77</v>
      </c>
      <c r="C60" s="1">
        <v>0</v>
      </c>
      <c r="D60" s="1">
        <v>2</v>
      </c>
      <c r="E60" s="1">
        <v>3</v>
      </c>
      <c r="F60" s="1">
        <v>0</v>
      </c>
      <c r="G60" s="1">
        <v>1.56</v>
      </c>
      <c r="H60" s="1">
        <v>1</v>
      </c>
      <c r="I60" s="1">
        <v>10.63</v>
      </c>
      <c r="J60" s="1">
        <v>3</v>
      </c>
      <c r="K60" s="1">
        <v>0</v>
      </c>
      <c r="L60" s="1">
        <v>9.7100000000000009</v>
      </c>
      <c r="M60" s="1">
        <v>2</v>
      </c>
      <c r="N60" s="1">
        <v>3.75</v>
      </c>
      <c r="O60" s="1">
        <v>4</v>
      </c>
      <c r="P60" s="1">
        <v>4.0999999999999996</v>
      </c>
      <c r="Q60" s="1">
        <v>0</v>
      </c>
      <c r="R60" s="1">
        <v>11.49</v>
      </c>
      <c r="S60" s="1">
        <v>6.92</v>
      </c>
      <c r="T60" s="1">
        <v>5</v>
      </c>
      <c r="U60" s="1">
        <v>0.39</v>
      </c>
      <c r="V60" s="1">
        <v>7</v>
      </c>
      <c r="W60" s="1">
        <v>2</v>
      </c>
      <c r="X60" s="1">
        <v>0</v>
      </c>
      <c r="Y60" s="1">
        <v>4</v>
      </c>
      <c r="Z60" s="1">
        <v>1.81</v>
      </c>
      <c r="AA60" s="1">
        <v>0.97</v>
      </c>
      <c r="AB60" s="1">
        <v>0</v>
      </c>
      <c r="AC60" s="1">
        <v>1</v>
      </c>
      <c r="AD60" s="1">
        <v>0.6</v>
      </c>
      <c r="AE60" s="1">
        <v>1.27</v>
      </c>
      <c r="AF60" s="1">
        <v>0.98</v>
      </c>
    </row>
    <row r="61" spans="1:32" s="1" customFormat="1" x14ac:dyDescent="0.25">
      <c r="A61" s="6">
        <v>27055.583333333332</v>
      </c>
      <c r="B61" s="1">
        <v>0.41</v>
      </c>
      <c r="C61" s="1">
        <v>0</v>
      </c>
      <c r="D61" s="1">
        <v>8</v>
      </c>
      <c r="E61" s="1">
        <v>15</v>
      </c>
      <c r="F61" s="1">
        <v>0</v>
      </c>
      <c r="G61" s="1">
        <v>6.81</v>
      </c>
      <c r="H61" s="1">
        <v>3</v>
      </c>
      <c r="I61" s="1">
        <v>13.37</v>
      </c>
      <c r="J61" s="1">
        <v>6</v>
      </c>
      <c r="K61" s="1">
        <v>1</v>
      </c>
      <c r="L61" s="1">
        <v>9.7100000000000009</v>
      </c>
      <c r="M61" s="1">
        <v>6</v>
      </c>
      <c r="N61" s="1">
        <v>1.99</v>
      </c>
      <c r="O61" s="1">
        <v>9</v>
      </c>
      <c r="P61" s="1">
        <v>3.29</v>
      </c>
      <c r="Q61" s="1">
        <v>1</v>
      </c>
      <c r="R61" s="1">
        <v>17.75</v>
      </c>
      <c r="S61" s="1">
        <v>10.32</v>
      </c>
      <c r="T61" s="1">
        <v>9</v>
      </c>
      <c r="U61" s="1">
        <v>0.56000000000000005</v>
      </c>
      <c r="V61" s="1">
        <v>3</v>
      </c>
      <c r="W61" s="1">
        <v>0</v>
      </c>
      <c r="X61" s="1">
        <v>2</v>
      </c>
      <c r="Y61" s="1">
        <v>1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0.5</v>
      </c>
      <c r="AF61" s="1">
        <v>0.2</v>
      </c>
    </row>
    <row r="62" spans="1:32" s="1" customFormat="1" x14ac:dyDescent="0.25">
      <c r="A62" s="6">
        <v>27055.625</v>
      </c>
      <c r="B62" s="1">
        <v>0.8</v>
      </c>
      <c r="C62" s="1">
        <v>1.2</v>
      </c>
      <c r="D62" s="1">
        <v>1</v>
      </c>
      <c r="E62" s="1">
        <v>18</v>
      </c>
      <c r="F62" s="1">
        <v>1.56</v>
      </c>
      <c r="G62" s="1">
        <v>3.9</v>
      </c>
      <c r="H62" s="1">
        <v>5</v>
      </c>
      <c r="I62" s="1">
        <v>9.16</v>
      </c>
      <c r="J62" s="1">
        <v>9</v>
      </c>
      <c r="K62" s="1">
        <v>4</v>
      </c>
      <c r="L62" s="1">
        <v>9.7100000000000009</v>
      </c>
      <c r="M62" s="1">
        <v>7</v>
      </c>
      <c r="N62" s="1">
        <v>1.86</v>
      </c>
      <c r="O62" s="1">
        <v>11</v>
      </c>
      <c r="P62" s="1">
        <v>1.77</v>
      </c>
      <c r="Q62" s="1">
        <v>4</v>
      </c>
      <c r="R62" s="1">
        <v>16.29</v>
      </c>
      <c r="S62" s="1">
        <v>16.940000000000001</v>
      </c>
      <c r="T62" s="1">
        <v>14</v>
      </c>
      <c r="U62" s="1">
        <v>0.75</v>
      </c>
      <c r="V62" s="1">
        <v>3</v>
      </c>
      <c r="W62" s="1">
        <v>2</v>
      </c>
      <c r="X62" s="1">
        <v>0</v>
      </c>
      <c r="Y62" s="1">
        <v>3</v>
      </c>
      <c r="Z62" s="1">
        <v>2.2000000000000002</v>
      </c>
      <c r="AA62" s="1">
        <v>1.6</v>
      </c>
      <c r="AB62" s="1">
        <v>0</v>
      </c>
      <c r="AC62" s="1">
        <v>0</v>
      </c>
      <c r="AD62" s="1">
        <v>0.6</v>
      </c>
      <c r="AE62" s="1">
        <v>3.3</v>
      </c>
      <c r="AF62" s="1">
        <v>0.67</v>
      </c>
    </row>
    <row r="63" spans="1:32" s="1" customFormat="1" x14ac:dyDescent="0.25">
      <c r="A63" s="6">
        <v>27055.666666666668</v>
      </c>
      <c r="B63" s="1">
        <v>3.53</v>
      </c>
      <c r="C63" s="1">
        <v>11.1</v>
      </c>
      <c r="D63" s="1">
        <v>11</v>
      </c>
      <c r="E63" s="1">
        <v>1</v>
      </c>
      <c r="F63" s="1">
        <v>10.51</v>
      </c>
      <c r="G63" s="1">
        <v>3.73</v>
      </c>
      <c r="H63" s="1">
        <v>8</v>
      </c>
      <c r="I63" s="1">
        <v>6.57</v>
      </c>
      <c r="J63" s="1">
        <v>6</v>
      </c>
      <c r="K63" s="1">
        <v>7</v>
      </c>
      <c r="L63" s="1">
        <v>9.7100000000000009</v>
      </c>
      <c r="M63" s="1">
        <v>10</v>
      </c>
      <c r="N63" s="1">
        <v>3.68</v>
      </c>
      <c r="O63" s="1">
        <v>10</v>
      </c>
      <c r="P63" s="1">
        <v>2.64</v>
      </c>
      <c r="Q63" s="1">
        <v>7</v>
      </c>
      <c r="R63" s="1">
        <v>9.19</v>
      </c>
      <c r="S63" s="1">
        <v>12.41</v>
      </c>
      <c r="T63" s="1">
        <v>3</v>
      </c>
      <c r="U63" s="1">
        <v>1.24</v>
      </c>
      <c r="V63" s="1">
        <v>6</v>
      </c>
      <c r="W63" s="1">
        <v>1</v>
      </c>
      <c r="X63" s="1">
        <v>3</v>
      </c>
      <c r="Y63" s="1">
        <v>3</v>
      </c>
      <c r="Z63" s="1">
        <v>0.8</v>
      </c>
      <c r="AA63" s="1">
        <v>1.34</v>
      </c>
      <c r="AB63" s="1">
        <v>0</v>
      </c>
      <c r="AC63" s="1">
        <v>3</v>
      </c>
      <c r="AD63" s="1">
        <v>0.6</v>
      </c>
      <c r="AE63" s="1">
        <v>10.77</v>
      </c>
      <c r="AF63" s="1">
        <v>15.68</v>
      </c>
    </row>
    <row r="64" spans="1:32" s="1" customFormat="1" x14ac:dyDescent="0.25">
      <c r="A64" s="6">
        <v>27055.708333333332</v>
      </c>
      <c r="B64" s="1">
        <v>15.2</v>
      </c>
      <c r="C64" s="1">
        <v>19.2</v>
      </c>
      <c r="D64" s="1">
        <v>0</v>
      </c>
      <c r="E64" s="1">
        <v>6</v>
      </c>
      <c r="F64" s="1">
        <v>6.01</v>
      </c>
      <c r="G64" s="1">
        <v>0.18</v>
      </c>
      <c r="H64" s="1">
        <v>5</v>
      </c>
      <c r="I64" s="1">
        <v>2.06</v>
      </c>
      <c r="J64" s="1">
        <v>3</v>
      </c>
      <c r="K64" s="1">
        <v>8</v>
      </c>
      <c r="L64" s="1">
        <v>9.7100000000000009</v>
      </c>
      <c r="M64" s="1">
        <v>13</v>
      </c>
      <c r="N64" s="1">
        <v>3.72</v>
      </c>
      <c r="O64" s="1">
        <v>19</v>
      </c>
      <c r="P64" s="1">
        <v>5.08</v>
      </c>
      <c r="Q64" s="1">
        <v>8</v>
      </c>
      <c r="R64" s="1">
        <v>10.66</v>
      </c>
      <c r="S64" s="1">
        <v>17.98</v>
      </c>
      <c r="T64" s="1">
        <v>3</v>
      </c>
      <c r="U64" s="1">
        <v>3.08</v>
      </c>
      <c r="V64" s="1">
        <v>16</v>
      </c>
      <c r="W64" s="1">
        <v>1</v>
      </c>
      <c r="X64" s="1">
        <v>2</v>
      </c>
      <c r="Y64" s="1">
        <v>3</v>
      </c>
      <c r="Z64" s="1">
        <v>3.25</v>
      </c>
      <c r="AA64" s="1">
        <v>1.93</v>
      </c>
      <c r="AB64" s="1">
        <v>1.28</v>
      </c>
      <c r="AC64" s="1">
        <v>4</v>
      </c>
      <c r="AD64" s="1">
        <v>0</v>
      </c>
      <c r="AE64" s="1">
        <v>5.88</v>
      </c>
      <c r="AF64" s="1">
        <v>17.53</v>
      </c>
    </row>
    <row r="65" spans="1:32" s="1" customFormat="1" x14ac:dyDescent="0.25">
      <c r="A65" s="6">
        <v>27055.75</v>
      </c>
      <c r="B65" s="1">
        <v>14.93</v>
      </c>
      <c r="C65" s="1">
        <v>38.9</v>
      </c>
      <c r="D65" s="1">
        <v>3</v>
      </c>
      <c r="E65" s="1">
        <v>5</v>
      </c>
      <c r="F65" s="1">
        <v>10.210000000000001</v>
      </c>
      <c r="G65" s="1">
        <v>4.26</v>
      </c>
      <c r="H65" s="1">
        <v>2</v>
      </c>
      <c r="I65" s="1">
        <v>6.17</v>
      </c>
      <c r="J65" s="1">
        <v>4</v>
      </c>
      <c r="K65" s="1">
        <v>7</v>
      </c>
      <c r="L65" s="1">
        <v>9.7100000000000009</v>
      </c>
      <c r="M65" s="1">
        <v>23</v>
      </c>
      <c r="N65" s="1">
        <v>1.1000000000000001</v>
      </c>
      <c r="O65" s="1">
        <v>26</v>
      </c>
      <c r="P65" s="1">
        <v>8.2100000000000009</v>
      </c>
      <c r="Q65" s="1">
        <v>7</v>
      </c>
      <c r="R65" s="1">
        <v>9.67</v>
      </c>
      <c r="S65" s="1">
        <v>24.86</v>
      </c>
      <c r="T65" s="1">
        <v>9</v>
      </c>
      <c r="U65" s="1">
        <v>9.73</v>
      </c>
      <c r="V65" s="1">
        <v>28</v>
      </c>
      <c r="W65" s="1">
        <v>20</v>
      </c>
      <c r="X65" s="1">
        <v>2</v>
      </c>
      <c r="Y65" s="1">
        <v>9</v>
      </c>
      <c r="Z65" s="1">
        <v>19.920000000000002</v>
      </c>
      <c r="AA65" s="1">
        <v>11.21</v>
      </c>
      <c r="AB65" s="1">
        <v>0.32</v>
      </c>
      <c r="AC65" s="1">
        <v>4</v>
      </c>
      <c r="AD65" s="1">
        <v>2.5</v>
      </c>
      <c r="AE65" s="1">
        <v>12.2</v>
      </c>
      <c r="AF65" s="1">
        <v>11.89</v>
      </c>
    </row>
    <row r="66" spans="1:32" s="1" customFormat="1" x14ac:dyDescent="0.25">
      <c r="A66" s="6">
        <v>27055.791666666668</v>
      </c>
      <c r="B66" s="1">
        <v>8.5</v>
      </c>
      <c r="C66" s="1">
        <v>8</v>
      </c>
      <c r="D66" s="1">
        <v>6</v>
      </c>
      <c r="E66" s="1">
        <v>2</v>
      </c>
      <c r="F66" s="1">
        <v>0.4</v>
      </c>
      <c r="G66" s="1">
        <v>4.6100000000000003</v>
      </c>
      <c r="H66" s="1">
        <v>5</v>
      </c>
      <c r="I66" s="1">
        <v>7.08</v>
      </c>
      <c r="J66" s="1">
        <v>3</v>
      </c>
      <c r="K66" s="1">
        <v>9</v>
      </c>
      <c r="L66" s="1">
        <v>9.7100000000000009</v>
      </c>
      <c r="M66" s="1">
        <v>22</v>
      </c>
      <c r="N66" s="1">
        <v>0.7</v>
      </c>
      <c r="O66" s="1">
        <v>22</v>
      </c>
      <c r="P66" s="1">
        <v>11.6</v>
      </c>
      <c r="Q66" s="1">
        <v>9</v>
      </c>
      <c r="R66" s="1">
        <v>11.15</v>
      </c>
      <c r="S66" s="1">
        <v>18.39</v>
      </c>
      <c r="T66" s="1">
        <v>23</v>
      </c>
      <c r="U66" s="1">
        <v>37.54</v>
      </c>
      <c r="V66" s="1">
        <v>21</v>
      </c>
      <c r="W66" s="1">
        <v>25</v>
      </c>
      <c r="X66" s="1">
        <v>9</v>
      </c>
      <c r="Y66" s="1">
        <v>18</v>
      </c>
      <c r="Z66" s="1">
        <v>20.84</v>
      </c>
      <c r="AA66" s="1">
        <v>12.14</v>
      </c>
      <c r="AB66" s="1">
        <v>11.62</v>
      </c>
      <c r="AC66" s="1">
        <v>13</v>
      </c>
      <c r="AD66" s="1">
        <v>17.5</v>
      </c>
      <c r="AE66" s="1">
        <v>5.64</v>
      </c>
      <c r="AF66" s="1">
        <v>2.92</v>
      </c>
    </row>
    <row r="67" spans="1:32" s="1" customFormat="1" x14ac:dyDescent="0.25">
      <c r="A67" s="6">
        <v>27055.833333333332</v>
      </c>
      <c r="B67" s="1">
        <v>16.100000000000001</v>
      </c>
      <c r="C67" s="1">
        <v>27.8</v>
      </c>
      <c r="D67" s="1">
        <v>12</v>
      </c>
      <c r="E67" s="1">
        <v>6</v>
      </c>
      <c r="F67" s="1">
        <v>4.4800000000000004</v>
      </c>
      <c r="G67" s="1">
        <v>3.56</v>
      </c>
      <c r="H67" s="1">
        <v>7</v>
      </c>
      <c r="I67" s="1">
        <v>3.69</v>
      </c>
      <c r="J67" s="1">
        <v>10</v>
      </c>
      <c r="K67" s="1">
        <v>11</v>
      </c>
      <c r="L67" s="1">
        <v>9.7100000000000009</v>
      </c>
      <c r="M67" s="1">
        <v>41</v>
      </c>
      <c r="N67" s="1">
        <v>0.87</v>
      </c>
      <c r="O67" s="1">
        <v>20</v>
      </c>
      <c r="P67" s="1">
        <v>19.829999999999998</v>
      </c>
      <c r="Q67" s="1">
        <v>11</v>
      </c>
      <c r="R67" s="1">
        <v>12.9</v>
      </c>
      <c r="S67" s="1">
        <v>15.61</v>
      </c>
      <c r="T67" s="1">
        <v>13</v>
      </c>
      <c r="U67" s="1">
        <v>21.85</v>
      </c>
      <c r="V67" s="1">
        <v>27</v>
      </c>
      <c r="W67" s="1">
        <v>17</v>
      </c>
      <c r="X67" s="1">
        <v>24</v>
      </c>
      <c r="Y67" s="1">
        <v>15</v>
      </c>
      <c r="Z67" s="1">
        <v>12.21</v>
      </c>
      <c r="AA67" s="1">
        <v>6.29</v>
      </c>
      <c r="AB67" s="1">
        <v>9.2200000000000006</v>
      </c>
      <c r="AC67" s="1">
        <v>6</v>
      </c>
      <c r="AD67" s="1">
        <v>6.3</v>
      </c>
      <c r="AE67" s="1">
        <v>2.61</v>
      </c>
      <c r="AF67" s="1">
        <v>1.81</v>
      </c>
    </row>
    <row r="68" spans="1:32" s="1" customFormat="1" x14ac:dyDescent="0.25">
      <c r="A68" s="6">
        <v>27055.875</v>
      </c>
      <c r="B68" s="1">
        <v>23.78</v>
      </c>
      <c r="C68" s="1">
        <v>35.299999999999997</v>
      </c>
      <c r="D68" s="1">
        <v>4</v>
      </c>
      <c r="E68" s="1">
        <v>6</v>
      </c>
      <c r="F68" s="1">
        <v>10.210000000000001</v>
      </c>
      <c r="G68" s="1">
        <v>5.15</v>
      </c>
      <c r="H68" s="1">
        <v>11</v>
      </c>
      <c r="I68" s="1">
        <v>12.35</v>
      </c>
      <c r="J68" s="1">
        <v>13</v>
      </c>
      <c r="K68" s="1">
        <v>11</v>
      </c>
      <c r="L68" s="1">
        <v>9.7100000000000009</v>
      </c>
      <c r="M68" s="1">
        <v>61</v>
      </c>
      <c r="N68" s="1">
        <v>1.18</v>
      </c>
      <c r="O68" s="1">
        <v>12</v>
      </c>
      <c r="P68" s="1">
        <v>14.61</v>
      </c>
      <c r="Q68" s="1">
        <v>11</v>
      </c>
      <c r="R68" s="1">
        <v>8.32</v>
      </c>
      <c r="S68" s="1">
        <v>14.97</v>
      </c>
      <c r="T68" s="1">
        <v>11</v>
      </c>
      <c r="U68" s="1">
        <v>20.98</v>
      </c>
      <c r="V68" s="1">
        <v>15</v>
      </c>
      <c r="W68" s="1">
        <v>18</v>
      </c>
      <c r="X68" s="1">
        <v>12</v>
      </c>
      <c r="Y68" s="1">
        <v>13</v>
      </c>
      <c r="Z68" s="1">
        <v>22.71</v>
      </c>
      <c r="AA68" s="1">
        <v>12.22</v>
      </c>
      <c r="AB68" s="1">
        <v>4.91</v>
      </c>
      <c r="AC68" s="1">
        <v>11</v>
      </c>
      <c r="AD68" s="1">
        <v>8.1</v>
      </c>
      <c r="AE68" s="1">
        <v>5.37</v>
      </c>
      <c r="AF68" s="1">
        <v>3.34</v>
      </c>
    </row>
    <row r="69" spans="1:32" s="1" customFormat="1" x14ac:dyDescent="0.25">
      <c r="A69" s="6">
        <v>27055.916666666668</v>
      </c>
      <c r="B69" s="1">
        <v>26.85</v>
      </c>
      <c r="C69" s="1">
        <v>29</v>
      </c>
      <c r="D69" s="1">
        <v>3</v>
      </c>
      <c r="E69" s="1">
        <v>11</v>
      </c>
      <c r="F69" s="1">
        <v>21.1</v>
      </c>
      <c r="G69" s="1">
        <v>6.13</v>
      </c>
      <c r="H69" s="1">
        <v>19</v>
      </c>
      <c r="I69" s="1">
        <v>13.9</v>
      </c>
      <c r="J69" s="1">
        <v>15</v>
      </c>
      <c r="K69" s="1">
        <v>9</v>
      </c>
      <c r="L69" s="1">
        <v>9.7100000000000009</v>
      </c>
      <c r="M69" s="1">
        <v>53</v>
      </c>
      <c r="N69" s="1">
        <v>4.08</v>
      </c>
      <c r="O69" s="1">
        <v>21</v>
      </c>
      <c r="P69" s="1">
        <v>21.29</v>
      </c>
      <c r="Q69" s="1">
        <v>9</v>
      </c>
      <c r="R69" s="1">
        <v>6.49</v>
      </c>
      <c r="S69" s="1">
        <v>14.39</v>
      </c>
      <c r="T69" s="1">
        <v>16</v>
      </c>
      <c r="U69" s="1">
        <v>29.47</v>
      </c>
      <c r="V69" s="1">
        <v>16</v>
      </c>
      <c r="W69" s="1">
        <v>24</v>
      </c>
      <c r="X69" s="1">
        <v>20</v>
      </c>
      <c r="Y69" s="1">
        <v>20</v>
      </c>
      <c r="Z69" s="1">
        <v>20.350000000000001</v>
      </c>
      <c r="AA69" s="1">
        <v>17.98</v>
      </c>
      <c r="AB69" s="1">
        <v>10.95</v>
      </c>
      <c r="AC69" s="1">
        <v>11</v>
      </c>
      <c r="AD69" s="1">
        <v>14.4</v>
      </c>
      <c r="AE69" s="1">
        <v>19.62</v>
      </c>
      <c r="AF69" s="1">
        <v>11.84</v>
      </c>
    </row>
    <row r="70" spans="1:32" s="1" customFormat="1" x14ac:dyDescent="0.25">
      <c r="A70" s="6">
        <v>27055.958333333332</v>
      </c>
      <c r="B70" s="1">
        <v>13.43</v>
      </c>
      <c r="C70" s="1">
        <v>26.6</v>
      </c>
      <c r="D70" s="1">
        <v>5</v>
      </c>
      <c r="E70" s="1">
        <v>14</v>
      </c>
      <c r="F70" s="1">
        <v>15.45</v>
      </c>
      <c r="G70" s="1">
        <v>5.41</v>
      </c>
      <c r="H70" s="1">
        <v>25</v>
      </c>
      <c r="I70" s="1">
        <v>11.69</v>
      </c>
      <c r="J70" s="1">
        <v>9</v>
      </c>
      <c r="K70" s="1">
        <v>6</v>
      </c>
      <c r="L70" s="1">
        <v>9.7100000000000009</v>
      </c>
      <c r="M70" s="1">
        <v>42</v>
      </c>
      <c r="N70" s="1">
        <v>8.23</v>
      </c>
      <c r="O70" s="1">
        <v>15</v>
      </c>
      <c r="P70" s="1">
        <v>14.8</v>
      </c>
      <c r="Q70" s="1">
        <v>6</v>
      </c>
      <c r="R70" s="1">
        <v>14.07</v>
      </c>
      <c r="S70" s="1">
        <v>17.27</v>
      </c>
      <c r="T70" s="1">
        <v>13</v>
      </c>
      <c r="U70" s="1">
        <v>26.95</v>
      </c>
      <c r="V70" s="1">
        <v>10</v>
      </c>
      <c r="W70" s="1">
        <v>26</v>
      </c>
      <c r="X70" s="1">
        <v>19</v>
      </c>
      <c r="Y70" s="1">
        <v>19</v>
      </c>
      <c r="Z70" s="1">
        <v>18.48</v>
      </c>
      <c r="AA70" s="1">
        <v>18.239999999999998</v>
      </c>
      <c r="AB70" s="1">
        <v>14.26</v>
      </c>
      <c r="AC70" s="1">
        <v>13</v>
      </c>
      <c r="AD70" s="1">
        <v>11.9</v>
      </c>
      <c r="AE70" s="1">
        <v>12.6</v>
      </c>
      <c r="AF70" s="1">
        <v>16.04</v>
      </c>
    </row>
    <row r="71" spans="1:32" s="1" customFormat="1" x14ac:dyDescent="0.25">
      <c r="A71" s="6">
        <v>27056</v>
      </c>
      <c r="B71" s="1">
        <v>26</v>
      </c>
      <c r="C71" s="1">
        <v>14.8</v>
      </c>
      <c r="D71" s="1">
        <v>17</v>
      </c>
      <c r="E71" s="1">
        <v>5</v>
      </c>
      <c r="F71" s="1">
        <v>11.73</v>
      </c>
      <c r="G71" s="1">
        <v>6.08</v>
      </c>
      <c r="H71" s="1">
        <v>11</v>
      </c>
      <c r="I71" s="1">
        <v>3.7</v>
      </c>
      <c r="J71" s="1">
        <v>3</v>
      </c>
      <c r="K71" s="1">
        <v>18</v>
      </c>
      <c r="L71" s="1">
        <v>9.7100000000000009</v>
      </c>
      <c r="M71" s="1">
        <v>28</v>
      </c>
      <c r="N71" s="1">
        <v>2.94</v>
      </c>
      <c r="O71" s="1">
        <v>10</v>
      </c>
      <c r="P71" s="1">
        <v>11.44</v>
      </c>
      <c r="Q71" s="1">
        <v>18</v>
      </c>
      <c r="R71" s="1">
        <v>8.06</v>
      </c>
      <c r="S71" s="1">
        <v>9.68</v>
      </c>
      <c r="T71" s="1">
        <v>7</v>
      </c>
      <c r="U71" s="1">
        <v>18.899999999999999</v>
      </c>
      <c r="V71" s="1">
        <v>16</v>
      </c>
      <c r="W71" s="1">
        <v>21</v>
      </c>
      <c r="X71" s="1">
        <v>21</v>
      </c>
      <c r="Y71" s="1">
        <v>16</v>
      </c>
      <c r="Z71" s="1">
        <v>17.82</v>
      </c>
      <c r="AA71" s="1">
        <v>27.85</v>
      </c>
      <c r="AB71" s="1">
        <v>13.25</v>
      </c>
      <c r="AC71" s="1">
        <v>20</v>
      </c>
      <c r="AD71" s="1">
        <v>14.3</v>
      </c>
      <c r="AE71" s="1">
        <v>19.100000000000001</v>
      </c>
      <c r="AF71" s="1">
        <v>16.28</v>
      </c>
    </row>
    <row r="72" spans="1:32" s="1" customFormat="1" x14ac:dyDescent="0.25">
      <c r="A72" s="6">
        <v>27056.041666666668</v>
      </c>
      <c r="B72" s="1">
        <v>21.49</v>
      </c>
      <c r="C72" s="1">
        <v>15.5</v>
      </c>
      <c r="D72" s="1">
        <v>18</v>
      </c>
      <c r="E72" s="1">
        <v>10</v>
      </c>
      <c r="F72" s="1">
        <v>11.23</v>
      </c>
      <c r="G72" s="1">
        <v>7.43</v>
      </c>
      <c r="H72" s="1">
        <v>9</v>
      </c>
      <c r="I72" s="1">
        <v>3.5</v>
      </c>
      <c r="J72" s="1">
        <v>5</v>
      </c>
      <c r="K72" s="1">
        <v>12</v>
      </c>
      <c r="L72" s="1">
        <v>9.7100000000000009</v>
      </c>
      <c r="M72" s="1">
        <v>34</v>
      </c>
      <c r="N72" s="1">
        <v>0.1</v>
      </c>
      <c r="O72" s="1">
        <v>11</v>
      </c>
      <c r="P72" s="1">
        <v>7.52</v>
      </c>
      <c r="Q72" s="1">
        <v>12</v>
      </c>
      <c r="R72" s="1">
        <v>5.89</v>
      </c>
      <c r="S72" s="1">
        <v>4.62</v>
      </c>
      <c r="T72" s="1">
        <v>8</v>
      </c>
      <c r="U72" s="1">
        <v>18.579999999999998</v>
      </c>
      <c r="V72" s="1">
        <v>9</v>
      </c>
      <c r="W72" s="1">
        <v>19</v>
      </c>
      <c r="X72" s="1">
        <v>20</v>
      </c>
      <c r="Y72" s="1">
        <v>15</v>
      </c>
      <c r="Z72" s="1">
        <v>22.09</v>
      </c>
      <c r="AA72" s="1">
        <v>11.24</v>
      </c>
      <c r="AB72" s="1">
        <v>20.7</v>
      </c>
      <c r="AC72" s="1">
        <v>20</v>
      </c>
      <c r="AD72" s="1">
        <v>6.9</v>
      </c>
      <c r="AE72" s="1">
        <v>12.5</v>
      </c>
      <c r="AF72" s="1">
        <v>26.92</v>
      </c>
    </row>
    <row r="73" spans="1:32" s="1" customFormat="1" x14ac:dyDescent="0.25">
      <c r="A73" s="6">
        <v>27056.083333333332</v>
      </c>
      <c r="B73" s="1">
        <v>12.62</v>
      </c>
      <c r="C73" s="1">
        <v>11.7</v>
      </c>
      <c r="D73" s="1">
        <v>9</v>
      </c>
      <c r="E73" s="1">
        <v>6</v>
      </c>
      <c r="F73" s="1">
        <v>5.01</v>
      </c>
      <c r="G73" s="1">
        <v>11.39</v>
      </c>
      <c r="H73" s="1">
        <v>6</v>
      </c>
      <c r="I73" s="1">
        <v>4.84</v>
      </c>
      <c r="J73" s="1">
        <v>7</v>
      </c>
      <c r="K73" s="1">
        <v>18</v>
      </c>
      <c r="L73" s="1">
        <v>9.7100000000000009</v>
      </c>
      <c r="M73" s="1">
        <v>33</v>
      </c>
      <c r="N73" s="1">
        <v>0.4</v>
      </c>
      <c r="O73" s="1">
        <v>12</v>
      </c>
      <c r="P73" s="1">
        <v>5.48</v>
      </c>
      <c r="Q73" s="1">
        <v>18</v>
      </c>
      <c r="R73" s="1">
        <v>2.2599999999999998</v>
      </c>
      <c r="S73" s="1">
        <v>5.33</v>
      </c>
      <c r="T73" s="1">
        <v>11</v>
      </c>
      <c r="U73" s="1">
        <v>7.76</v>
      </c>
      <c r="V73" s="1">
        <v>14</v>
      </c>
      <c r="W73" s="1">
        <v>9</v>
      </c>
      <c r="X73" s="1">
        <v>22</v>
      </c>
      <c r="Y73" s="1">
        <v>14</v>
      </c>
      <c r="Z73" s="1">
        <v>8.11</v>
      </c>
      <c r="AA73" s="1">
        <v>8.27</v>
      </c>
      <c r="AB73" s="1">
        <v>10.88</v>
      </c>
      <c r="AC73" s="1">
        <v>16</v>
      </c>
      <c r="AD73" s="1">
        <v>6.9</v>
      </c>
      <c r="AE73" s="1">
        <v>17</v>
      </c>
      <c r="AF73" s="1">
        <v>36.979999999999997</v>
      </c>
    </row>
    <row r="74" spans="1:32" s="1" customFormat="1" x14ac:dyDescent="0.25">
      <c r="A74" s="6">
        <v>27056.125</v>
      </c>
      <c r="B74" s="1">
        <v>11.94</v>
      </c>
      <c r="C74" s="1">
        <v>8.1</v>
      </c>
      <c r="D74" s="1">
        <v>8</v>
      </c>
      <c r="E74" s="1">
        <v>7</v>
      </c>
      <c r="F74" s="1">
        <v>11.72</v>
      </c>
      <c r="G74" s="1">
        <v>6.76</v>
      </c>
      <c r="H74" s="1">
        <v>7</v>
      </c>
      <c r="I74" s="1">
        <v>4.8600000000000003</v>
      </c>
      <c r="J74" s="1">
        <v>6</v>
      </c>
      <c r="K74" s="1">
        <v>12</v>
      </c>
      <c r="L74" s="1">
        <v>9.7100000000000009</v>
      </c>
      <c r="M74" s="1">
        <v>16</v>
      </c>
      <c r="N74" s="1">
        <v>8.3699999999999992</v>
      </c>
      <c r="O74" s="1">
        <v>10</v>
      </c>
      <c r="P74" s="1">
        <v>3.95</v>
      </c>
      <c r="Q74" s="1">
        <v>12</v>
      </c>
      <c r="R74" s="1">
        <v>4.84</v>
      </c>
      <c r="S74" s="1">
        <v>4.5</v>
      </c>
      <c r="T74" s="1">
        <v>5</v>
      </c>
      <c r="U74" s="1">
        <v>20.72</v>
      </c>
      <c r="V74" s="1">
        <v>6</v>
      </c>
      <c r="W74" s="1">
        <v>12</v>
      </c>
      <c r="X74" s="1">
        <v>22</v>
      </c>
      <c r="Y74" s="1">
        <v>7</v>
      </c>
      <c r="Z74" s="1">
        <v>12.51</v>
      </c>
      <c r="AA74" s="1">
        <v>9.84</v>
      </c>
      <c r="AB74" s="1">
        <v>8.61</v>
      </c>
      <c r="AC74" s="1">
        <v>17</v>
      </c>
      <c r="AD74" s="1">
        <v>4.4000000000000004</v>
      </c>
      <c r="AE74" s="1">
        <v>21.57</v>
      </c>
      <c r="AF74" s="1">
        <v>21.86</v>
      </c>
    </row>
    <row r="75" spans="1:32" s="1" customFormat="1" x14ac:dyDescent="0.25">
      <c r="A75" s="6">
        <v>27056.166666666668</v>
      </c>
      <c r="B75" s="1">
        <v>14.64</v>
      </c>
      <c r="C75" s="1">
        <v>6.1</v>
      </c>
      <c r="D75" s="1">
        <v>12</v>
      </c>
      <c r="E75" s="1">
        <v>6</v>
      </c>
      <c r="F75" s="1">
        <v>13.97</v>
      </c>
      <c r="G75" s="1">
        <v>13.79</v>
      </c>
      <c r="H75" s="1">
        <v>6</v>
      </c>
      <c r="I75" s="1">
        <v>4.2699999999999996</v>
      </c>
      <c r="J75" s="1">
        <v>7</v>
      </c>
      <c r="K75" s="1">
        <v>17</v>
      </c>
      <c r="L75" s="1">
        <v>9.7100000000000009</v>
      </c>
      <c r="M75" s="1">
        <v>20</v>
      </c>
      <c r="N75" s="1">
        <v>0.03</v>
      </c>
      <c r="O75" s="1">
        <v>7</v>
      </c>
      <c r="P75" s="1">
        <v>11.86</v>
      </c>
      <c r="Q75" s="1">
        <v>17</v>
      </c>
      <c r="R75" s="1">
        <v>3.16</v>
      </c>
      <c r="S75" s="1">
        <v>3.04</v>
      </c>
      <c r="T75" s="1">
        <v>3</v>
      </c>
      <c r="U75" s="1">
        <v>10.5</v>
      </c>
      <c r="V75" s="1">
        <v>5</v>
      </c>
      <c r="W75" s="1">
        <v>11</v>
      </c>
      <c r="X75" s="1">
        <v>13</v>
      </c>
      <c r="Y75" s="1">
        <v>3</v>
      </c>
      <c r="Z75" s="1">
        <v>6.64</v>
      </c>
      <c r="AA75" s="1">
        <v>4.55</v>
      </c>
      <c r="AB75" s="1">
        <v>6.81</v>
      </c>
      <c r="AC75" s="1">
        <v>2</v>
      </c>
      <c r="AD75" s="1">
        <v>8.1</v>
      </c>
      <c r="AE75" s="1">
        <v>21.63</v>
      </c>
      <c r="AF75" s="1">
        <v>11.12</v>
      </c>
    </row>
    <row r="76" spans="1:32" s="1" customFormat="1" x14ac:dyDescent="0.25">
      <c r="A76" s="6">
        <v>27056.208333333332</v>
      </c>
      <c r="B76" s="1">
        <v>7.46</v>
      </c>
      <c r="C76" s="1">
        <v>4.4000000000000004</v>
      </c>
      <c r="D76" s="1">
        <v>7</v>
      </c>
      <c r="E76" s="1">
        <v>10</v>
      </c>
      <c r="F76" s="1">
        <v>8.5500000000000007</v>
      </c>
      <c r="G76" s="1">
        <v>9.07</v>
      </c>
      <c r="H76" s="1">
        <v>5</v>
      </c>
      <c r="I76" s="1">
        <v>7.1</v>
      </c>
      <c r="J76" s="1">
        <v>9</v>
      </c>
      <c r="K76" s="1">
        <v>12</v>
      </c>
      <c r="L76" s="1">
        <v>9.7100000000000009</v>
      </c>
      <c r="M76" s="1">
        <v>23</v>
      </c>
      <c r="N76" s="1">
        <v>0</v>
      </c>
      <c r="O76" s="1">
        <v>9</v>
      </c>
      <c r="P76" s="1">
        <v>7.54</v>
      </c>
      <c r="Q76" s="1">
        <v>12</v>
      </c>
      <c r="R76" s="1">
        <v>6.84</v>
      </c>
      <c r="S76" s="1">
        <v>3.21</v>
      </c>
      <c r="T76" s="1">
        <v>8</v>
      </c>
      <c r="U76" s="1">
        <v>8.1999999999999993</v>
      </c>
      <c r="V76" s="1">
        <v>14</v>
      </c>
      <c r="W76" s="1">
        <v>10</v>
      </c>
      <c r="X76" s="1">
        <v>9</v>
      </c>
      <c r="Y76" s="1">
        <v>2</v>
      </c>
      <c r="Z76" s="1">
        <v>6.48</v>
      </c>
      <c r="AA76" s="1">
        <v>6.25</v>
      </c>
      <c r="AB76" s="1">
        <v>2.79</v>
      </c>
      <c r="AC76" s="1">
        <v>0</v>
      </c>
      <c r="AD76" s="1">
        <v>3.7</v>
      </c>
      <c r="AE76" s="1">
        <v>8.7100000000000009</v>
      </c>
      <c r="AF76" s="1">
        <v>3.13</v>
      </c>
    </row>
    <row r="77" spans="1:32" s="1" customFormat="1" x14ac:dyDescent="0.25">
      <c r="A77" s="6">
        <v>27056.25</v>
      </c>
      <c r="B77" s="1">
        <v>6.46</v>
      </c>
      <c r="C77" s="1">
        <v>7.4</v>
      </c>
      <c r="D77" s="1">
        <v>3</v>
      </c>
      <c r="E77" s="1">
        <v>11</v>
      </c>
      <c r="F77" s="1">
        <v>5.04</v>
      </c>
      <c r="G77" s="1">
        <v>13.15</v>
      </c>
      <c r="H77" s="1">
        <v>7</v>
      </c>
      <c r="I77" s="1">
        <v>6.23</v>
      </c>
      <c r="J77" s="1">
        <v>9</v>
      </c>
      <c r="K77" s="1">
        <v>20</v>
      </c>
      <c r="L77" s="1">
        <v>9.7100000000000009</v>
      </c>
      <c r="M77" s="1">
        <v>19</v>
      </c>
      <c r="N77" s="1">
        <v>0</v>
      </c>
      <c r="O77" s="1">
        <v>9</v>
      </c>
      <c r="P77" s="1">
        <v>10.37</v>
      </c>
      <c r="Q77" s="1">
        <v>20</v>
      </c>
      <c r="R77" s="1">
        <v>5.12</v>
      </c>
      <c r="S77" s="1">
        <v>4.03</v>
      </c>
      <c r="T77" s="1">
        <v>8</v>
      </c>
      <c r="U77" s="1">
        <v>10.76</v>
      </c>
      <c r="V77" s="1">
        <v>6</v>
      </c>
      <c r="W77" s="1">
        <v>10</v>
      </c>
      <c r="X77" s="1">
        <v>3</v>
      </c>
      <c r="Y77" s="1">
        <v>4</v>
      </c>
      <c r="Z77" s="1">
        <v>5.5</v>
      </c>
      <c r="AA77" s="1">
        <v>3.51</v>
      </c>
      <c r="AB77" s="1">
        <v>0.92</v>
      </c>
      <c r="AC77" s="1">
        <v>1</v>
      </c>
      <c r="AD77" s="1">
        <v>5.7</v>
      </c>
      <c r="AE77" s="1">
        <v>15.03</v>
      </c>
      <c r="AF77" s="1">
        <v>7.62</v>
      </c>
    </row>
    <row r="78" spans="1:32" s="1" customFormat="1" x14ac:dyDescent="0.25">
      <c r="A78" s="6">
        <v>27056.291666666668</v>
      </c>
      <c r="B78" s="1">
        <v>13.33</v>
      </c>
      <c r="C78" s="1">
        <v>9.9</v>
      </c>
      <c r="D78" s="1">
        <v>6</v>
      </c>
      <c r="E78" s="1">
        <v>6</v>
      </c>
      <c r="F78" s="1">
        <v>6.53</v>
      </c>
      <c r="G78" s="1">
        <v>5.35</v>
      </c>
      <c r="H78" s="1">
        <v>10</v>
      </c>
      <c r="I78" s="1">
        <v>2.4700000000000002</v>
      </c>
      <c r="J78" s="1">
        <v>4</v>
      </c>
      <c r="K78" s="1">
        <v>8</v>
      </c>
      <c r="L78" s="1">
        <v>9.7100000000000009</v>
      </c>
      <c r="M78" s="1">
        <v>14</v>
      </c>
      <c r="N78" s="1">
        <v>0</v>
      </c>
      <c r="O78" s="1">
        <v>11</v>
      </c>
      <c r="P78" s="1">
        <v>4.63</v>
      </c>
      <c r="Q78" s="1">
        <v>8</v>
      </c>
      <c r="R78" s="1">
        <v>5.46</v>
      </c>
      <c r="S78" s="1">
        <v>6.13</v>
      </c>
      <c r="T78" s="1">
        <v>5</v>
      </c>
      <c r="U78" s="1">
        <v>7.07</v>
      </c>
      <c r="V78" s="1">
        <v>5</v>
      </c>
      <c r="W78" s="1">
        <v>5</v>
      </c>
      <c r="X78" s="1">
        <v>2</v>
      </c>
      <c r="Y78" s="1">
        <v>2</v>
      </c>
      <c r="Z78" s="1">
        <v>5.03</v>
      </c>
      <c r="AA78" s="1">
        <v>4.76</v>
      </c>
      <c r="AB78" s="1">
        <v>3.84</v>
      </c>
      <c r="AC78" s="1">
        <v>2</v>
      </c>
      <c r="AD78" s="1">
        <v>5.6</v>
      </c>
      <c r="AE78" s="1">
        <v>8.74</v>
      </c>
      <c r="AF78" s="1">
        <v>4.74</v>
      </c>
    </row>
    <row r="79" spans="1:32" s="1" customFormat="1" x14ac:dyDescent="0.25">
      <c r="A79" s="6">
        <v>27056.333333333332</v>
      </c>
      <c r="B79" s="1">
        <v>4.7699999999999996</v>
      </c>
      <c r="C79" s="1">
        <v>3.1</v>
      </c>
      <c r="D79" s="1">
        <v>2</v>
      </c>
      <c r="E79" s="1">
        <v>3</v>
      </c>
      <c r="F79" s="1">
        <v>1.47</v>
      </c>
      <c r="G79" s="1">
        <v>7.8</v>
      </c>
      <c r="H79" s="1">
        <v>2</v>
      </c>
      <c r="I79" s="1">
        <v>2.2000000000000002</v>
      </c>
      <c r="J79" s="1">
        <v>1</v>
      </c>
      <c r="K79" s="1">
        <v>18</v>
      </c>
      <c r="L79" s="1">
        <v>9.7100000000000009</v>
      </c>
      <c r="M79" s="1">
        <v>10</v>
      </c>
      <c r="N79" s="1">
        <v>0</v>
      </c>
      <c r="O79" s="1">
        <v>11</v>
      </c>
      <c r="P79" s="1">
        <v>4.01</v>
      </c>
      <c r="Q79" s="1">
        <v>18</v>
      </c>
      <c r="R79" s="1">
        <v>6.01</v>
      </c>
      <c r="S79" s="1">
        <v>4.43</v>
      </c>
      <c r="T79" s="1">
        <v>2</v>
      </c>
      <c r="U79" s="1">
        <v>8.4700000000000006</v>
      </c>
      <c r="V79" s="1">
        <v>2</v>
      </c>
      <c r="W79" s="1">
        <v>11</v>
      </c>
      <c r="X79" s="1">
        <v>6</v>
      </c>
      <c r="Y79" s="1">
        <v>9</v>
      </c>
      <c r="Z79" s="1">
        <v>9.6999999999999993</v>
      </c>
      <c r="AA79" s="1">
        <v>6.21</v>
      </c>
      <c r="AB79" s="1">
        <v>4.54</v>
      </c>
      <c r="AC79" s="1">
        <v>3</v>
      </c>
      <c r="AD79" s="1">
        <v>3.7</v>
      </c>
      <c r="AE79" s="1">
        <v>3.86</v>
      </c>
      <c r="AF79" s="1">
        <v>5.27</v>
      </c>
    </row>
    <row r="80" spans="1:32" s="1" customFormat="1" x14ac:dyDescent="0.25">
      <c r="A80" s="6">
        <v>27056.375</v>
      </c>
      <c r="B80" s="1">
        <v>3.76</v>
      </c>
      <c r="C80" s="1">
        <v>2.4</v>
      </c>
      <c r="D80" s="1">
        <v>2</v>
      </c>
      <c r="E80" s="1">
        <v>5</v>
      </c>
      <c r="F80" s="1">
        <v>2.8</v>
      </c>
      <c r="G80" s="1">
        <v>6.25</v>
      </c>
      <c r="H80" s="1">
        <v>1</v>
      </c>
      <c r="I80" s="1">
        <v>3.67</v>
      </c>
      <c r="J80" s="1">
        <v>3</v>
      </c>
      <c r="K80" s="1">
        <v>9</v>
      </c>
      <c r="L80" s="1">
        <v>9.7100000000000009</v>
      </c>
      <c r="M80" s="1">
        <v>13</v>
      </c>
      <c r="N80" s="1">
        <v>0</v>
      </c>
      <c r="O80" s="1">
        <v>11</v>
      </c>
      <c r="P80" s="1">
        <v>7.0000000000000007E-2</v>
      </c>
      <c r="Q80" s="1">
        <v>9</v>
      </c>
      <c r="R80" s="1">
        <v>5.87</v>
      </c>
      <c r="S80" s="1">
        <v>2.8</v>
      </c>
      <c r="T80" s="1">
        <v>2</v>
      </c>
      <c r="U80" s="1">
        <v>1.95</v>
      </c>
      <c r="V80" s="1">
        <v>10</v>
      </c>
      <c r="W80" s="1">
        <v>5</v>
      </c>
      <c r="X80" s="1">
        <v>6</v>
      </c>
      <c r="Y80" s="1">
        <v>5</v>
      </c>
      <c r="Z80" s="1">
        <v>3.67</v>
      </c>
      <c r="AA80" s="1">
        <v>3.57</v>
      </c>
      <c r="AB80" s="1">
        <v>3.13</v>
      </c>
      <c r="AC80" s="1">
        <v>3</v>
      </c>
      <c r="AD80" s="1">
        <v>5</v>
      </c>
      <c r="AE80" s="1">
        <v>3.86</v>
      </c>
      <c r="AF80" s="1">
        <v>8.06</v>
      </c>
    </row>
    <row r="81" spans="1:32" s="1" customFormat="1" x14ac:dyDescent="0.25">
      <c r="A81" s="6">
        <v>27056.416666666668</v>
      </c>
      <c r="B81" s="1">
        <v>6.97</v>
      </c>
      <c r="C81" s="1">
        <v>5.6</v>
      </c>
      <c r="D81" s="1">
        <v>2</v>
      </c>
      <c r="E81" s="1">
        <v>1</v>
      </c>
      <c r="F81" s="1">
        <v>0.8</v>
      </c>
      <c r="G81" s="1">
        <v>1.22</v>
      </c>
      <c r="H81" s="1">
        <v>2</v>
      </c>
      <c r="I81" s="1">
        <v>2.1800000000000002</v>
      </c>
      <c r="J81" s="1">
        <v>2</v>
      </c>
      <c r="K81" s="1">
        <v>7</v>
      </c>
      <c r="L81" s="1">
        <v>1.58</v>
      </c>
      <c r="M81" s="1">
        <v>9</v>
      </c>
      <c r="N81" s="1">
        <v>0</v>
      </c>
      <c r="O81" s="1">
        <v>4</v>
      </c>
      <c r="P81" s="1">
        <v>0</v>
      </c>
      <c r="Q81" s="1">
        <v>7</v>
      </c>
      <c r="R81" s="1">
        <v>6.92</v>
      </c>
      <c r="S81" s="1">
        <v>2.7</v>
      </c>
      <c r="T81" s="1">
        <v>2</v>
      </c>
      <c r="U81" s="1">
        <v>3.86</v>
      </c>
      <c r="V81" s="1">
        <v>2</v>
      </c>
      <c r="W81" s="1">
        <v>3</v>
      </c>
      <c r="X81" s="1">
        <v>7</v>
      </c>
      <c r="Y81" s="1">
        <v>3</v>
      </c>
      <c r="Z81" s="1">
        <v>3.5</v>
      </c>
      <c r="AA81" s="1">
        <v>3.4</v>
      </c>
      <c r="AB81" s="1">
        <v>3.17</v>
      </c>
      <c r="AC81" s="1">
        <v>4</v>
      </c>
      <c r="AD81" s="1">
        <v>1.3</v>
      </c>
      <c r="AE81" s="1">
        <v>14.15</v>
      </c>
      <c r="AF81" s="1">
        <v>1.28</v>
      </c>
    </row>
    <row r="82" spans="1:32" s="1" customFormat="1" x14ac:dyDescent="0.25">
      <c r="A82" s="6">
        <v>27056.458333333332</v>
      </c>
      <c r="B82" s="1">
        <v>9.08</v>
      </c>
      <c r="C82" s="1">
        <v>8.6</v>
      </c>
      <c r="D82" s="1">
        <v>3</v>
      </c>
      <c r="E82" s="1">
        <v>2</v>
      </c>
      <c r="F82" s="1">
        <v>1.73</v>
      </c>
      <c r="G82" s="1">
        <v>1.6</v>
      </c>
      <c r="H82" s="1">
        <v>3</v>
      </c>
      <c r="I82" s="1">
        <v>0.78</v>
      </c>
      <c r="J82" s="1">
        <v>1</v>
      </c>
      <c r="K82" s="1">
        <v>6</v>
      </c>
      <c r="L82" s="1">
        <v>1.58</v>
      </c>
      <c r="M82" s="1">
        <v>12</v>
      </c>
      <c r="N82" s="1">
        <v>1.37</v>
      </c>
      <c r="O82" s="1">
        <v>4</v>
      </c>
      <c r="P82" s="1">
        <v>0</v>
      </c>
      <c r="Q82" s="1">
        <v>6</v>
      </c>
      <c r="R82" s="1">
        <v>5.52</v>
      </c>
      <c r="S82" s="1">
        <v>0.75</v>
      </c>
      <c r="T82" s="1">
        <v>1</v>
      </c>
      <c r="U82" s="1">
        <v>3.4</v>
      </c>
      <c r="V82" s="1">
        <v>3</v>
      </c>
      <c r="W82" s="1">
        <v>4</v>
      </c>
      <c r="X82" s="1">
        <v>4</v>
      </c>
      <c r="Y82" s="1">
        <v>3</v>
      </c>
      <c r="Z82" s="1">
        <v>4.3899999999999997</v>
      </c>
      <c r="AA82" s="1">
        <v>2.66</v>
      </c>
      <c r="AB82" s="1">
        <v>2.88</v>
      </c>
      <c r="AC82" s="1">
        <v>4</v>
      </c>
      <c r="AD82" s="1">
        <v>1.9</v>
      </c>
      <c r="AE82" s="1">
        <v>11.09</v>
      </c>
      <c r="AF82" s="1">
        <v>0.82</v>
      </c>
    </row>
    <row r="83" spans="1:32" s="1" customFormat="1" x14ac:dyDescent="0.25">
      <c r="A83" s="6">
        <v>27056.5</v>
      </c>
      <c r="B83" s="1">
        <v>6.22</v>
      </c>
      <c r="C83" s="1">
        <v>8.1</v>
      </c>
      <c r="D83" s="1">
        <v>2</v>
      </c>
      <c r="E83" s="1">
        <v>4</v>
      </c>
      <c r="F83" s="1">
        <v>2.61</v>
      </c>
      <c r="G83" s="1">
        <v>0.6</v>
      </c>
      <c r="H83" s="1">
        <v>4</v>
      </c>
      <c r="I83" s="1">
        <v>2.88</v>
      </c>
      <c r="J83" s="1">
        <v>2</v>
      </c>
      <c r="K83" s="1">
        <v>4</v>
      </c>
      <c r="L83" s="1">
        <v>1.58</v>
      </c>
      <c r="M83" s="1">
        <v>7</v>
      </c>
      <c r="N83" s="1">
        <v>4.09</v>
      </c>
      <c r="O83" s="1">
        <v>7</v>
      </c>
      <c r="P83" s="1">
        <v>3.55</v>
      </c>
      <c r="Q83" s="1">
        <v>4</v>
      </c>
      <c r="R83" s="1">
        <v>4.3099999999999996</v>
      </c>
      <c r="S83" s="1">
        <v>4.16</v>
      </c>
      <c r="T83" s="1">
        <v>2</v>
      </c>
      <c r="U83" s="1">
        <v>6.5</v>
      </c>
      <c r="V83" s="1">
        <v>5</v>
      </c>
      <c r="W83" s="1">
        <v>5</v>
      </c>
      <c r="X83" s="1">
        <v>2</v>
      </c>
      <c r="Y83" s="1">
        <v>3</v>
      </c>
      <c r="Z83" s="1">
        <v>4.5599999999999996</v>
      </c>
      <c r="AA83" s="1">
        <v>3.96</v>
      </c>
      <c r="AB83" s="1">
        <v>4.49</v>
      </c>
      <c r="AC83" s="1">
        <v>3</v>
      </c>
      <c r="AD83" s="1">
        <v>5.6</v>
      </c>
      <c r="AE83" s="1">
        <v>6.66</v>
      </c>
      <c r="AF83" s="1">
        <v>1.8</v>
      </c>
    </row>
    <row r="84" spans="1:32" s="1" customFormat="1" x14ac:dyDescent="0.25">
      <c r="A84" s="6">
        <v>27056.541666666668</v>
      </c>
      <c r="B84" s="1">
        <v>7.15</v>
      </c>
      <c r="C84" s="1">
        <v>8.6</v>
      </c>
      <c r="D84" s="1">
        <v>2</v>
      </c>
      <c r="E84" s="1">
        <v>3</v>
      </c>
      <c r="F84" s="1">
        <v>3.18</v>
      </c>
      <c r="G84" s="1">
        <v>0.11</v>
      </c>
      <c r="H84" s="1">
        <v>5</v>
      </c>
      <c r="I84" s="1">
        <v>2.7</v>
      </c>
      <c r="J84" s="1">
        <v>6</v>
      </c>
      <c r="K84" s="1">
        <v>5</v>
      </c>
      <c r="L84" s="1">
        <v>1.58</v>
      </c>
      <c r="M84" s="1">
        <v>15</v>
      </c>
      <c r="N84" s="1">
        <v>4.5199999999999996</v>
      </c>
      <c r="O84" s="1">
        <v>7</v>
      </c>
      <c r="P84" s="1">
        <v>5.53</v>
      </c>
      <c r="Q84" s="1">
        <v>5</v>
      </c>
      <c r="R84" s="1">
        <v>3.83</v>
      </c>
      <c r="S84" s="1">
        <v>3.07</v>
      </c>
      <c r="T84" s="1">
        <v>2</v>
      </c>
      <c r="U84" s="1">
        <v>7.3</v>
      </c>
      <c r="V84" s="1">
        <v>4</v>
      </c>
      <c r="W84" s="1">
        <v>6</v>
      </c>
      <c r="X84" s="1">
        <v>9</v>
      </c>
      <c r="Y84" s="1">
        <v>8</v>
      </c>
      <c r="Z84" s="1">
        <v>3.24</v>
      </c>
      <c r="AA84" s="1">
        <v>1.05</v>
      </c>
      <c r="AB84" s="1">
        <v>3.83</v>
      </c>
      <c r="AC84" s="1">
        <v>5</v>
      </c>
      <c r="AD84" s="1">
        <v>4.4000000000000004</v>
      </c>
      <c r="AE84" s="1">
        <v>5.63</v>
      </c>
      <c r="AF84" s="1">
        <v>5.01</v>
      </c>
    </row>
    <row r="85" spans="1:32" s="1" customFormat="1" x14ac:dyDescent="0.25">
      <c r="A85" s="6">
        <v>27056.583333333332</v>
      </c>
      <c r="B85" s="1">
        <v>6.19</v>
      </c>
      <c r="C85" s="1">
        <v>8.6999999999999993</v>
      </c>
      <c r="D85" s="1">
        <v>2</v>
      </c>
      <c r="E85" s="1">
        <v>4</v>
      </c>
      <c r="F85" s="1">
        <v>1.0900000000000001</v>
      </c>
      <c r="G85" s="1">
        <v>0.49</v>
      </c>
      <c r="H85" s="1">
        <v>3</v>
      </c>
      <c r="I85" s="1">
        <v>3.78</v>
      </c>
      <c r="J85" s="1">
        <v>2</v>
      </c>
      <c r="K85" s="1">
        <v>6</v>
      </c>
      <c r="L85" s="1">
        <v>1.58</v>
      </c>
      <c r="M85" s="1">
        <v>10</v>
      </c>
      <c r="N85" s="1">
        <v>3.3</v>
      </c>
      <c r="O85" s="1">
        <v>7</v>
      </c>
      <c r="P85" s="1">
        <v>1.1499999999999999</v>
      </c>
      <c r="Q85" s="1">
        <v>6</v>
      </c>
      <c r="R85" s="1">
        <v>2.4300000000000002</v>
      </c>
      <c r="S85" s="1">
        <v>6.54</v>
      </c>
      <c r="T85" s="1">
        <v>2</v>
      </c>
      <c r="U85" s="1">
        <v>2.79</v>
      </c>
      <c r="V85" s="1">
        <v>1</v>
      </c>
      <c r="W85" s="1">
        <v>5</v>
      </c>
      <c r="X85" s="1">
        <v>5</v>
      </c>
      <c r="Y85" s="1">
        <v>3</v>
      </c>
      <c r="Z85" s="1">
        <v>4.6500000000000004</v>
      </c>
      <c r="AA85" s="1">
        <v>2.2400000000000002</v>
      </c>
      <c r="AB85" s="1">
        <v>2.7</v>
      </c>
      <c r="AC85" s="1">
        <v>3</v>
      </c>
      <c r="AD85" s="1">
        <v>3.1</v>
      </c>
      <c r="AE85" s="1">
        <v>5.84</v>
      </c>
      <c r="AF85" s="1">
        <v>1.99</v>
      </c>
    </row>
    <row r="86" spans="1:32" s="1" customFormat="1" x14ac:dyDescent="0.25">
      <c r="A86" s="6">
        <v>27056.625</v>
      </c>
      <c r="B86" s="1">
        <v>3.94</v>
      </c>
      <c r="C86" s="1">
        <v>7.4</v>
      </c>
      <c r="D86" s="1">
        <v>3</v>
      </c>
      <c r="E86" s="1">
        <v>3</v>
      </c>
      <c r="F86" s="1">
        <v>0.77</v>
      </c>
      <c r="G86" s="1">
        <v>0.56999999999999995</v>
      </c>
      <c r="H86" s="1">
        <v>4</v>
      </c>
      <c r="I86" s="1">
        <v>5.49</v>
      </c>
      <c r="J86" s="1">
        <v>4</v>
      </c>
      <c r="K86" s="1">
        <v>5</v>
      </c>
      <c r="L86" s="1">
        <v>1.58</v>
      </c>
      <c r="M86" s="1">
        <v>13</v>
      </c>
      <c r="N86" s="1">
        <v>2.3199999999999998</v>
      </c>
      <c r="O86" s="1">
        <v>4</v>
      </c>
      <c r="P86" s="1">
        <v>3.3</v>
      </c>
      <c r="Q86" s="1">
        <v>5</v>
      </c>
      <c r="R86" s="1">
        <v>2.1800000000000002</v>
      </c>
      <c r="S86" s="1">
        <v>2.2599999999999998</v>
      </c>
      <c r="T86" s="1">
        <v>1</v>
      </c>
      <c r="U86" s="1">
        <v>3.49</v>
      </c>
      <c r="V86" s="1">
        <v>1</v>
      </c>
      <c r="W86" s="1">
        <v>3</v>
      </c>
      <c r="X86" s="1">
        <v>7</v>
      </c>
      <c r="Y86" s="1">
        <v>6</v>
      </c>
      <c r="Z86" s="1">
        <v>2.74</v>
      </c>
      <c r="AA86" s="1">
        <v>6.07</v>
      </c>
      <c r="AB86" s="1">
        <v>1.96</v>
      </c>
      <c r="AC86" s="1">
        <v>9</v>
      </c>
      <c r="AD86" s="1">
        <v>3.7</v>
      </c>
      <c r="AE86" s="1">
        <v>5.51</v>
      </c>
      <c r="AF86" s="1">
        <v>1.1000000000000001</v>
      </c>
    </row>
    <row r="87" spans="1:32" s="1" customFormat="1" x14ac:dyDescent="0.25">
      <c r="A87" s="6">
        <v>27056.666666666668</v>
      </c>
      <c r="B87" s="1">
        <v>3.83</v>
      </c>
      <c r="C87" s="1">
        <v>5.6</v>
      </c>
      <c r="D87" s="1">
        <v>6</v>
      </c>
      <c r="E87" s="1">
        <v>2</v>
      </c>
      <c r="F87" s="1">
        <v>6.29</v>
      </c>
      <c r="G87" s="1">
        <v>0.7</v>
      </c>
      <c r="H87" s="1">
        <v>4</v>
      </c>
      <c r="I87" s="1">
        <v>1.8</v>
      </c>
      <c r="J87" s="1">
        <v>2</v>
      </c>
      <c r="K87" s="1">
        <v>3</v>
      </c>
      <c r="L87" s="1">
        <v>1.58</v>
      </c>
      <c r="M87" s="1">
        <v>8</v>
      </c>
      <c r="N87" s="1">
        <v>1.61</v>
      </c>
      <c r="O87" s="1">
        <v>9</v>
      </c>
      <c r="P87" s="1">
        <v>2.17</v>
      </c>
      <c r="Q87" s="1">
        <v>3</v>
      </c>
      <c r="R87" s="1">
        <v>2.2799999999999998</v>
      </c>
      <c r="S87" s="1">
        <v>2.42</v>
      </c>
      <c r="T87" s="1">
        <v>2</v>
      </c>
      <c r="U87" s="1">
        <v>9.2100000000000009</v>
      </c>
      <c r="V87" s="1">
        <v>0</v>
      </c>
      <c r="W87" s="1">
        <v>7</v>
      </c>
      <c r="X87" s="1">
        <v>4</v>
      </c>
      <c r="Y87" s="1">
        <v>2</v>
      </c>
      <c r="Z87" s="1">
        <v>6.32</v>
      </c>
      <c r="AA87" s="1">
        <v>7.73</v>
      </c>
      <c r="AB87" s="1">
        <v>5.1100000000000003</v>
      </c>
      <c r="AC87" s="1">
        <v>3</v>
      </c>
      <c r="AD87" s="1">
        <v>2.5</v>
      </c>
      <c r="AE87" s="1">
        <v>5.59</v>
      </c>
      <c r="AF87" s="1">
        <v>1.86</v>
      </c>
    </row>
    <row r="88" spans="1:32" s="1" customFormat="1" x14ac:dyDescent="0.25">
      <c r="A88" s="6">
        <v>27056.708333333332</v>
      </c>
      <c r="B88" s="1">
        <v>3.32</v>
      </c>
      <c r="C88" s="1">
        <v>3.7</v>
      </c>
      <c r="D88" s="1">
        <v>5</v>
      </c>
      <c r="E88" s="1">
        <v>3</v>
      </c>
      <c r="F88" s="1">
        <v>3.91</v>
      </c>
      <c r="G88" s="1">
        <v>1.61</v>
      </c>
      <c r="H88" s="1">
        <v>4</v>
      </c>
      <c r="I88" s="1">
        <v>3.82</v>
      </c>
      <c r="J88" s="1">
        <v>5</v>
      </c>
      <c r="K88" s="1">
        <v>4</v>
      </c>
      <c r="L88" s="1">
        <v>1.58</v>
      </c>
      <c r="M88" s="1">
        <v>10</v>
      </c>
      <c r="N88" s="1">
        <v>1.4</v>
      </c>
      <c r="O88" s="1">
        <v>6</v>
      </c>
      <c r="P88" s="1">
        <v>2.75</v>
      </c>
      <c r="Q88" s="1">
        <v>4</v>
      </c>
      <c r="R88" s="1">
        <v>2.2000000000000002</v>
      </c>
      <c r="S88" s="1">
        <v>3.76</v>
      </c>
      <c r="T88" s="1">
        <v>2</v>
      </c>
      <c r="U88" s="1">
        <v>5.93</v>
      </c>
      <c r="V88" s="1">
        <v>1</v>
      </c>
      <c r="W88" s="1">
        <v>5</v>
      </c>
      <c r="X88" s="1">
        <v>6</v>
      </c>
      <c r="Y88" s="1">
        <v>3</v>
      </c>
      <c r="Z88" s="1">
        <v>2.8</v>
      </c>
      <c r="AA88" s="1">
        <v>1.18</v>
      </c>
      <c r="AB88" s="1">
        <v>3.58</v>
      </c>
      <c r="AC88" s="1">
        <v>2</v>
      </c>
      <c r="AD88" s="1">
        <v>13.2</v>
      </c>
      <c r="AE88" s="1">
        <v>7.91</v>
      </c>
      <c r="AF88" s="1">
        <v>8.27</v>
      </c>
    </row>
    <row r="89" spans="1:32" s="1" customFormat="1" x14ac:dyDescent="0.25">
      <c r="A89" s="6">
        <v>27056.75</v>
      </c>
      <c r="B89" s="1">
        <v>7.39</v>
      </c>
      <c r="C89" s="1">
        <v>7.4</v>
      </c>
      <c r="D89" s="1">
        <v>6</v>
      </c>
      <c r="E89" s="1">
        <v>4</v>
      </c>
      <c r="F89" s="1">
        <v>2.94</v>
      </c>
      <c r="G89" s="1">
        <v>1.02</v>
      </c>
      <c r="H89" s="1">
        <v>7</v>
      </c>
      <c r="I89" s="1">
        <v>3.82</v>
      </c>
      <c r="J89" s="1">
        <v>3</v>
      </c>
      <c r="K89" s="1">
        <v>4</v>
      </c>
      <c r="L89" s="1">
        <v>1.58</v>
      </c>
      <c r="M89" s="1">
        <v>11</v>
      </c>
      <c r="N89" s="1">
        <v>4.9000000000000004</v>
      </c>
      <c r="O89" s="1">
        <v>8</v>
      </c>
      <c r="P89" s="1">
        <v>4.51</v>
      </c>
      <c r="Q89" s="1">
        <v>4</v>
      </c>
      <c r="R89" s="1">
        <v>2.4</v>
      </c>
      <c r="S89" s="1">
        <v>0.98</v>
      </c>
      <c r="T89" s="1">
        <v>2</v>
      </c>
      <c r="U89" s="1">
        <v>3.39</v>
      </c>
      <c r="V89" s="1">
        <v>2</v>
      </c>
      <c r="W89" s="1">
        <v>4</v>
      </c>
      <c r="X89" s="1">
        <v>2</v>
      </c>
      <c r="Y89" s="1">
        <v>1</v>
      </c>
      <c r="Z89" s="1">
        <v>2.17</v>
      </c>
      <c r="AA89" s="1">
        <v>1.5</v>
      </c>
      <c r="AB89" s="1">
        <v>1.38</v>
      </c>
      <c r="AC89" s="1">
        <v>2</v>
      </c>
      <c r="AD89" s="1">
        <v>2.5</v>
      </c>
      <c r="AE89" s="1">
        <v>5.34</v>
      </c>
      <c r="AF89" s="1">
        <v>7.69</v>
      </c>
    </row>
    <row r="90" spans="1:32" s="1" customFormat="1" x14ac:dyDescent="0.25">
      <c r="A90" s="6">
        <v>27056.791666666668</v>
      </c>
      <c r="B90" s="1">
        <v>2.87</v>
      </c>
      <c r="C90" s="1">
        <v>3.1</v>
      </c>
      <c r="D90" s="1">
        <v>5</v>
      </c>
      <c r="E90" s="1">
        <v>4</v>
      </c>
      <c r="F90" s="1">
        <v>3.93</v>
      </c>
      <c r="G90" s="1">
        <v>1.54</v>
      </c>
      <c r="H90" s="1">
        <v>5</v>
      </c>
      <c r="I90" s="1">
        <v>3.07</v>
      </c>
      <c r="J90" s="1">
        <v>3</v>
      </c>
      <c r="K90" s="1">
        <v>6</v>
      </c>
      <c r="L90" s="1">
        <v>1.58</v>
      </c>
      <c r="M90" s="1">
        <v>5</v>
      </c>
      <c r="N90" s="1">
        <v>4.74</v>
      </c>
      <c r="O90" s="1">
        <v>4</v>
      </c>
      <c r="P90" s="1">
        <v>3.14</v>
      </c>
      <c r="Q90" s="1">
        <v>6</v>
      </c>
      <c r="R90" s="1">
        <v>2.68</v>
      </c>
      <c r="S90" s="1">
        <v>1.07</v>
      </c>
      <c r="T90" s="1">
        <v>0</v>
      </c>
      <c r="U90" s="1">
        <v>1.0900000000000001</v>
      </c>
      <c r="V90" s="1">
        <v>1</v>
      </c>
      <c r="W90" s="1">
        <v>3</v>
      </c>
      <c r="X90" s="1">
        <v>1</v>
      </c>
      <c r="Y90" s="1">
        <v>1</v>
      </c>
      <c r="Z90" s="1">
        <v>1.83</v>
      </c>
      <c r="AA90" s="1">
        <v>1.1399999999999999</v>
      </c>
      <c r="AB90" s="1">
        <v>1.03</v>
      </c>
      <c r="AC90" s="1">
        <v>2</v>
      </c>
      <c r="AD90" s="1">
        <v>3.1</v>
      </c>
      <c r="AE90" s="1">
        <v>1.57</v>
      </c>
      <c r="AF90" s="1">
        <v>6.36</v>
      </c>
    </row>
    <row r="91" spans="1:32" s="1" customFormat="1" x14ac:dyDescent="0.25">
      <c r="A91" s="6">
        <v>27056.833333333332</v>
      </c>
      <c r="B91" s="1">
        <v>1.22</v>
      </c>
      <c r="C91" s="1">
        <v>1.2</v>
      </c>
      <c r="D91" s="1">
        <v>2</v>
      </c>
      <c r="E91" s="1">
        <v>2</v>
      </c>
      <c r="F91" s="1">
        <v>1.85</v>
      </c>
      <c r="G91" s="1">
        <v>1.01</v>
      </c>
      <c r="H91" s="1">
        <v>3</v>
      </c>
      <c r="I91" s="1">
        <v>2.78</v>
      </c>
      <c r="J91" s="1">
        <v>2</v>
      </c>
      <c r="K91" s="1">
        <v>1</v>
      </c>
      <c r="L91" s="1">
        <v>1.58</v>
      </c>
      <c r="M91" s="1">
        <v>4</v>
      </c>
      <c r="N91" s="1">
        <v>0.75</v>
      </c>
      <c r="O91" s="1">
        <v>2</v>
      </c>
      <c r="P91" s="1">
        <v>4.04</v>
      </c>
      <c r="Q91" s="1">
        <v>1</v>
      </c>
      <c r="R91" s="1">
        <v>1.42</v>
      </c>
      <c r="S91" s="1">
        <v>1.1000000000000001</v>
      </c>
      <c r="T91" s="1">
        <v>0</v>
      </c>
      <c r="U91" s="1">
        <v>0.45</v>
      </c>
      <c r="V91" s="1">
        <v>0</v>
      </c>
      <c r="W91" s="1">
        <v>1</v>
      </c>
      <c r="X91" s="1">
        <v>1</v>
      </c>
      <c r="Y91" s="1">
        <v>1</v>
      </c>
      <c r="Z91" s="1">
        <v>0.3</v>
      </c>
      <c r="AA91" s="1">
        <v>0.75</v>
      </c>
      <c r="AB91" s="1">
        <v>1.82</v>
      </c>
      <c r="AC91" s="1">
        <v>1</v>
      </c>
      <c r="AD91" s="1">
        <v>1.2</v>
      </c>
      <c r="AE91" s="1">
        <v>3.01</v>
      </c>
      <c r="AF91" s="1">
        <v>3.15</v>
      </c>
    </row>
    <row r="92" spans="1:32" s="1" customFormat="1" x14ac:dyDescent="0.25">
      <c r="A92" s="6">
        <v>27056.875</v>
      </c>
      <c r="B92" s="1">
        <v>3.61</v>
      </c>
      <c r="C92" s="1">
        <v>1.9</v>
      </c>
      <c r="D92" s="1">
        <v>0</v>
      </c>
      <c r="E92" s="1">
        <v>1</v>
      </c>
      <c r="F92" s="1">
        <v>0.83</v>
      </c>
      <c r="G92" s="1">
        <v>1.38</v>
      </c>
      <c r="H92" s="1">
        <v>2</v>
      </c>
      <c r="I92" s="1">
        <v>1.86</v>
      </c>
      <c r="J92" s="1">
        <v>0</v>
      </c>
      <c r="K92" s="1">
        <v>0</v>
      </c>
      <c r="L92" s="1">
        <v>1.58</v>
      </c>
      <c r="M92" s="1">
        <v>2</v>
      </c>
      <c r="N92" s="1">
        <v>0.14000000000000001</v>
      </c>
      <c r="O92" s="1">
        <v>3</v>
      </c>
      <c r="P92" s="1">
        <v>1.74</v>
      </c>
      <c r="Q92" s="1">
        <v>0</v>
      </c>
      <c r="R92" s="1">
        <v>0.1</v>
      </c>
      <c r="S92" s="1">
        <v>0.5</v>
      </c>
      <c r="T92" s="1">
        <v>0</v>
      </c>
      <c r="U92" s="1">
        <v>0.48</v>
      </c>
      <c r="V92" s="1">
        <v>1</v>
      </c>
      <c r="W92" s="1">
        <v>1</v>
      </c>
      <c r="X92" s="1">
        <v>1</v>
      </c>
      <c r="Y92" s="1">
        <v>0</v>
      </c>
      <c r="Z92" s="1">
        <v>0.6</v>
      </c>
      <c r="AA92" s="1">
        <v>0.41</v>
      </c>
      <c r="AB92" s="1">
        <v>0.72</v>
      </c>
      <c r="AC92" s="1">
        <v>0</v>
      </c>
      <c r="AD92" s="1">
        <v>0</v>
      </c>
      <c r="AE92" s="1">
        <v>6.44</v>
      </c>
      <c r="AF92" s="1">
        <v>0.56000000000000005</v>
      </c>
    </row>
    <row r="93" spans="1:32" s="1" customFormat="1" x14ac:dyDescent="0.25">
      <c r="A93" s="6">
        <v>27056.916666666668</v>
      </c>
      <c r="B93" s="1">
        <v>1.7</v>
      </c>
      <c r="C93" s="1">
        <v>3.1</v>
      </c>
      <c r="D93" s="1">
        <v>1</v>
      </c>
      <c r="E93" s="1">
        <v>1</v>
      </c>
      <c r="F93" s="1">
        <v>0.28999999999999998</v>
      </c>
      <c r="G93" s="1">
        <v>1.56</v>
      </c>
      <c r="H93" s="1">
        <v>3</v>
      </c>
      <c r="I93" s="1">
        <v>0.8</v>
      </c>
      <c r="J93" s="1">
        <v>1</v>
      </c>
      <c r="K93" s="1">
        <v>2</v>
      </c>
      <c r="L93" s="1">
        <v>1.58</v>
      </c>
      <c r="M93" s="1">
        <v>2</v>
      </c>
      <c r="N93" s="1">
        <v>1.36</v>
      </c>
      <c r="O93" s="1">
        <v>1</v>
      </c>
      <c r="P93" s="1">
        <v>3.74</v>
      </c>
      <c r="Q93" s="1">
        <v>2</v>
      </c>
      <c r="R93" s="1">
        <v>0.35</v>
      </c>
      <c r="S93" s="1">
        <v>0.73</v>
      </c>
      <c r="T93" s="1">
        <v>1</v>
      </c>
      <c r="U93" s="1">
        <v>1.97</v>
      </c>
      <c r="V93" s="1">
        <v>2</v>
      </c>
      <c r="W93" s="1">
        <v>1</v>
      </c>
      <c r="X93" s="1">
        <v>0</v>
      </c>
      <c r="Y93" s="1">
        <v>0</v>
      </c>
      <c r="Z93" s="1">
        <v>0.6</v>
      </c>
      <c r="AA93" s="1">
        <v>0.4</v>
      </c>
      <c r="AB93" s="1">
        <v>1.5</v>
      </c>
      <c r="AC93" s="1">
        <v>1</v>
      </c>
      <c r="AD93" s="1">
        <v>0</v>
      </c>
      <c r="AE93" s="1">
        <v>1.31</v>
      </c>
      <c r="AF93" s="1">
        <v>3.1</v>
      </c>
    </row>
    <row r="94" spans="1:32" s="1" customFormat="1" x14ac:dyDescent="0.25">
      <c r="A94" s="6">
        <v>27056.958333333332</v>
      </c>
      <c r="B94" s="1">
        <v>2.35</v>
      </c>
      <c r="C94" s="1">
        <v>1.2</v>
      </c>
      <c r="D94" s="1">
        <v>1</v>
      </c>
      <c r="E94" s="1">
        <v>1</v>
      </c>
      <c r="F94" s="1">
        <v>0.95</v>
      </c>
      <c r="G94" s="1">
        <v>1.9</v>
      </c>
      <c r="H94" s="1">
        <v>3</v>
      </c>
      <c r="I94" s="1">
        <v>1.3</v>
      </c>
      <c r="J94" s="1">
        <v>2</v>
      </c>
      <c r="K94" s="1">
        <v>0</v>
      </c>
      <c r="L94" s="1">
        <v>1.58</v>
      </c>
      <c r="M94" s="1">
        <v>5</v>
      </c>
      <c r="N94" s="1">
        <v>0.49</v>
      </c>
      <c r="O94" s="1">
        <v>2</v>
      </c>
      <c r="P94" s="1">
        <v>2.21</v>
      </c>
      <c r="Q94" s="1">
        <v>0</v>
      </c>
      <c r="R94" s="1">
        <v>0.15</v>
      </c>
      <c r="S94" s="1">
        <v>0.75</v>
      </c>
      <c r="T94" s="1">
        <v>1</v>
      </c>
      <c r="U94" s="1">
        <v>1.64</v>
      </c>
      <c r="V94" s="1">
        <v>5</v>
      </c>
      <c r="W94" s="1">
        <v>1</v>
      </c>
      <c r="X94" s="1">
        <v>1</v>
      </c>
      <c r="Y94" s="1">
        <v>1</v>
      </c>
      <c r="Z94" s="1">
        <v>1.5</v>
      </c>
      <c r="AA94" s="1">
        <v>0.56999999999999995</v>
      </c>
      <c r="AB94" s="1">
        <v>1</v>
      </c>
      <c r="AC94" s="1">
        <v>1</v>
      </c>
      <c r="AD94" s="1">
        <v>0.7</v>
      </c>
      <c r="AE94" s="1">
        <v>9.68</v>
      </c>
      <c r="AF94" s="1">
        <v>2.42</v>
      </c>
    </row>
    <row r="95" spans="1:32" s="1" customFormat="1" x14ac:dyDescent="0.25">
      <c r="A95" s="6">
        <v>27057</v>
      </c>
      <c r="B95" s="1">
        <v>2.25</v>
      </c>
      <c r="C95" s="1">
        <v>1.8</v>
      </c>
      <c r="D95" s="1">
        <v>1</v>
      </c>
      <c r="E95" s="1">
        <v>1</v>
      </c>
      <c r="F95" s="1">
        <v>1.01</v>
      </c>
      <c r="G95" s="1">
        <v>1.34</v>
      </c>
      <c r="H95" s="1">
        <v>2</v>
      </c>
      <c r="I95" s="1">
        <v>1.33</v>
      </c>
      <c r="J95" s="1">
        <v>1</v>
      </c>
      <c r="K95" s="1">
        <v>1</v>
      </c>
      <c r="L95" s="1">
        <v>1.58</v>
      </c>
      <c r="M95" s="1">
        <v>9</v>
      </c>
      <c r="N95" s="1">
        <v>0.5</v>
      </c>
      <c r="O95" s="1">
        <v>2</v>
      </c>
      <c r="P95" s="1">
        <v>0.66</v>
      </c>
      <c r="Q95" s="1">
        <v>1</v>
      </c>
      <c r="R95" s="1">
        <v>0.3</v>
      </c>
      <c r="S95" s="1">
        <v>1.02</v>
      </c>
      <c r="T95" s="1">
        <v>0</v>
      </c>
      <c r="U95" s="1">
        <v>1.48</v>
      </c>
      <c r="V95" s="1">
        <v>0</v>
      </c>
      <c r="W95" s="1">
        <v>1</v>
      </c>
      <c r="X95" s="1">
        <v>1</v>
      </c>
      <c r="Y95" s="1">
        <v>1</v>
      </c>
      <c r="Z95" s="1">
        <v>1.1000000000000001</v>
      </c>
      <c r="AA95" s="1">
        <v>1.03</v>
      </c>
      <c r="AB95" s="1">
        <v>0.6</v>
      </c>
      <c r="AC95" s="1">
        <v>0</v>
      </c>
      <c r="AD95" s="1">
        <v>0.6</v>
      </c>
      <c r="AE95" s="1">
        <v>5.34</v>
      </c>
      <c r="AF95" s="1">
        <v>2.38</v>
      </c>
    </row>
    <row r="96" spans="1:32" s="1" customFormat="1" x14ac:dyDescent="0.25">
      <c r="A96" s="6">
        <v>27057.041666666668</v>
      </c>
      <c r="B96" s="1">
        <v>1.06</v>
      </c>
      <c r="C96" s="1">
        <v>0.7</v>
      </c>
      <c r="D96" s="1">
        <v>2</v>
      </c>
      <c r="E96" s="1">
        <v>1</v>
      </c>
      <c r="F96" s="1">
        <v>2.2200000000000002</v>
      </c>
      <c r="G96" s="1">
        <v>2.11</v>
      </c>
      <c r="H96" s="1">
        <v>1</v>
      </c>
      <c r="I96" s="1">
        <v>0.51</v>
      </c>
      <c r="J96" s="1">
        <v>0</v>
      </c>
      <c r="K96" s="1">
        <v>1</v>
      </c>
      <c r="L96" s="1">
        <v>1.58</v>
      </c>
      <c r="M96" s="1">
        <v>2</v>
      </c>
      <c r="N96" s="1">
        <v>0.5</v>
      </c>
      <c r="O96" s="1">
        <v>2</v>
      </c>
      <c r="P96" s="1">
        <v>0.11</v>
      </c>
      <c r="Q96" s="1">
        <v>1</v>
      </c>
      <c r="R96" s="1">
        <v>0.8</v>
      </c>
      <c r="S96" s="1">
        <v>0.57999999999999996</v>
      </c>
      <c r="T96" s="1">
        <v>1</v>
      </c>
      <c r="U96" s="1">
        <v>1.83</v>
      </c>
      <c r="V96" s="1">
        <v>0</v>
      </c>
      <c r="W96" s="1">
        <v>1</v>
      </c>
      <c r="X96" s="1">
        <v>2</v>
      </c>
      <c r="Y96" s="1">
        <v>1</v>
      </c>
      <c r="Z96" s="1">
        <v>0.2</v>
      </c>
      <c r="AA96" s="1">
        <v>0.8</v>
      </c>
      <c r="AB96" s="1">
        <v>0</v>
      </c>
      <c r="AC96" s="1">
        <v>1</v>
      </c>
      <c r="AD96" s="1">
        <v>0.6</v>
      </c>
      <c r="AE96" s="1">
        <v>3.19</v>
      </c>
      <c r="AF96" s="1">
        <v>9.09</v>
      </c>
    </row>
    <row r="97" spans="1:32" s="1" customFormat="1" x14ac:dyDescent="0.25">
      <c r="A97" s="6">
        <v>27057.083333333332</v>
      </c>
      <c r="B97" s="1">
        <v>0.73</v>
      </c>
      <c r="C97" s="1">
        <v>0</v>
      </c>
      <c r="D97" s="1">
        <v>3</v>
      </c>
      <c r="E97" s="1">
        <v>0</v>
      </c>
      <c r="F97" s="1">
        <v>3.47</v>
      </c>
      <c r="G97" s="1">
        <v>1.45</v>
      </c>
      <c r="H97" s="1">
        <v>0</v>
      </c>
      <c r="I97" s="1">
        <v>0.27</v>
      </c>
      <c r="J97" s="1">
        <v>0</v>
      </c>
      <c r="K97" s="1">
        <v>1</v>
      </c>
      <c r="L97" s="1">
        <v>1.58</v>
      </c>
      <c r="M97" s="1">
        <v>1</v>
      </c>
      <c r="N97" s="1">
        <v>0.5</v>
      </c>
      <c r="O97" s="1">
        <v>1</v>
      </c>
      <c r="P97" s="1">
        <v>0</v>
      </c>
      <c r="Q97" s="1">
        <v>1</v>
      </c>
      <c r="R97" s="1">
        <v>2.81</v>
      </c>
      <c r="S97" s="1">
        <v>0.32</v>
      </c>
      <c r="T97" s="1">
        <v>0</v>
      </c>
      <c r="U97" s="1">
        <v>0.78</v>
      </c>
      <c r="V97" s="1">
        <v>1</v>
      </c>
      <c r="W97" s="1">
        <v>1</v>
      </c>
      <c r="X97" s="1">
        <v>1</v>
      </c>
      <c r="Y97" s="1">
        <v>0</v>
      </c>
      <c r="Z97" s="1">
        <v>0</v>
      </c>
      <c r="AA97" s="1">
        <v>1.53</v>
      </c>
      <c r="AB97" s="1">
        <v>1</v>
      </c>
      <c r="AC97" s="1">
        <v>0</v>
      </c>
      <c r="AD97" s="1">
        <v>0</v>
      </c>
      <c r="AE97" s="1">
        <v>0.63</v>
      </c>
      <c r="AF97" s="1">
        <v>7.67</v>
      </c>
    </row>
    <row r="98" spans="1:32" s="1" customFormat="1" x14ac:dyDescent="0.25">
      <c r="A98" s="6">
        <v>27057.125</v>
      </c>
      <c r="B98" s="1">
        <v>0.5</v>
      </c>
      <c r="C98" s="1">
        <v>0</v>
      </c>
      <c r="D98" s="1">
        <v>3</v>
      </c>
      <c r="E98" s="1">
        <v>1</v>
      </c>
      <c r="F98" s="1">
        <v>2.25</v>
      </c>
      <c r="G98" s="1">
        <v>0.21</v>
      </c>
      <c r="H98" s="1">
        <v>0</v>
      </c>
      <c r="I98" s="1">
        <v>0.43</v>
      </c>
      <c r="J98" s="1">
        <v>0</v>
      </c>
      <c r="K98" s="1">
        <v>0</v>
      </c>
      <c r="L98" s="1">
        <v>1.58</v>
      </c>
      <c r="M98" s="1">
        <v>3</v>
      </c>
      <c r="N98" s="1">
        <v>0.5</v>
      </c>
      <c r="O98" s="1">
        <v>0</v>
      </c>
      <c r="P98" s="1">
        <v>0.81</v>
      </c>
      <c r="Q98" s="1">
        <v>0</v>
      </c>
      <c r="R98" s="1">
        <v>1.49</v>
      </c>
      <c r="S98" s="1">
        <v>0.37</v>
      </c>
      <c r="T98" s="1">
        <v>0</v>
      </c>
      <c r="U98" s="1">
        <v>6.58</v>
      </c>
      <c r="V98" s="1">
        <v>3</v>
      </c>
      <c r="W98" s="1">
        <v>0</v>
      </c>
      <c r="X98" s="1">
        <v>2</v>
      </c>
      <c r="Y98" s="1">
        <v>4</v>
      </c>
      <c r="Z98" s="1">
        <v>0.95</v>
      </c>
      <c r="AA98" s="1">
        <v>3.87</v>
      </c>
      <c r="AB98" s="1">
        <v>1.5</v>
      </c>
      <c r="AC98" s="1">
        <v>0</v>
      </c>
      <c r="AD98" s="1">
        <v>0</v>
      </c>
      <c r="AE98" s="1">
        <v>0.71</v>
      </c>
      <c r="AF98" s="1">
        <v>5.9</v>
      </c>
    </row>
    <row r="99" spans="1:32" s="1" customFormat="1" x14ac:dyDescent="0.25">
      <c r="A99" s="6">
        <v>27057.166666666668</v>
      </c>
      <c r="B99" s="1">
        <v>1.44</v>
      </c>
      <c r="C99" s="1">
        <v>0.6</v>
      </c>
      <c r="D99" s="1">
        <v>1</v>
      </c>
      <c r="E99" s="1">
        <v>1</v>
      </c>
      <c r="F99" s="1">
        <v>1.7</v>
      </c>
      <c r="G99" s="1">
        <v>1.87</v>
      </c>
      <c r="H99" s="1">
        <v>1</v>
      </c>
      <c r="I99" s="1">
        <v>0.69</v>
      </c>
      <c r="J99" s="1">
        <v>2</v>
      </c>
      <c r="K99" s="1">
        <v>1</v>
      </c>
      <c r="L99" s="1">
        <v>1.58</v>
      </c>
      <c r="M99" s="1">
        <v>4</v>
      </c>
      <c r="N99" s="1">
        <v>0.5</v>
      </c>
      <c r="O99" s="1">
        <v>1</v>
      </c>
      <c r="P99" s="1">
        <v>2.69</v>
      </c>
      <c r="Q99" s="1">
        <v>1</v>
      </c>
      <c r="R99" s="1">
        <v>0.1</v>
      </c>
      <c r="S99" s="1">
        <v>1.1299999999999999</v>
      </c>
      <c r="T99" s="1">
        <v>2</v>
      </c>
      <c r="U99" s="1">
        <v>4.83</v>
      </c>
      <c r="V99" s="1">
        <v>0</v>
      </c>
      <c r="W99" s="1">
        <v>2</v>
      </c>
      <c r="X99" s="1">
        <v>11</v>
      </c>
      <c r="Y99" s="1">
        <v>2</v>
      </c>
      <c r="Z99" s="1">
        <v>4.55</v>
      </c>
      <c r="AA99" s="1">
        <v>0.7</v>
      </c>
      <c r="AB99" s="1">
        <v>2.3199999999999998</v>
      </c>
      <c r="AC99" s="1">
        <v>1</v>
      </c>
      <c r="AD99" s="1">
        <v>0</v>
      </c>
      <c r="AE99" s="1">
        <v>1.91</v>
      </c>
      <c r="AF99" s="1">
        <v>1.84</v>
      </c>
    </row>
    <row r="100" spans="1:32" s="1" customFormat="1" x14ac:dyDescent="0.25">
      <c r="A100" s="6">
        <v>27057.208333333332</v>
      </c>
      <c r="B100" s="1">
        <v>1.51</v>
      </c>
      <c r="C100" s="1">
        <v>1.8</v>
      </c>
      <c r="D100" s="1">
        <v>0</v>
      </c>
      <c r="E100" s="1">
        <v>1</v>
      </c>
      <c r="F100" s="1">
        <v>1.1200000000000001</v>
      </c>
      <c r="G100" s="1">
        <v>1.95</v>
      </c>
      <c r="H100" s="1">
        <v>2</v>
      </c>
      <c r="I100" s="1">
        <v>1.0900000000000001</v>
      </c>
      <c r="J100" s="1">
        <v>1</v>
      </c>
      <c r="K100" s="1">
        <v>1</v>
      </c>
      <c r="L100" s="1">
        <v>1.58</v>
      </c>
      <c r="M100" s="1">
        <v>10</v>
      </c>
      <c r="N100" s="1">
        <v>0.5</v>
      </c>
      <c r="O100" s="1">
        <v>3</v>
      </c>
      <c r="P100" s="1">
        <v>1.94</v>
      </c>
      <c r="Q100" s="1">
        <v>1</v>
      </c>
      <c r="R100" s="1">
        <v>0</v>
      </c>
      <c r="S100" s="1">
        <v>0</v>
      </c>
      <c r="T100" s="1">
        <v>1</v>
      </c>
      <c r="U100" s="1">
        <v>0.89</v>
      </c>
      <c r="V100" s="1">
        <v>1</v>
      </c>
      <c r="W100" s="1">
        <v>1</v>
      </c>
      <c r="X100" s="1">
        <v>3</v>
      </c>
      <c r="Y100" s="1">
        <v>0</v>
      </c>
      <c r="Z100" s="1">
        <v>0.2</v>
      </c>
      <c r="AA100" s="1">
        <v>0.8</v>
      </c>
      <c r="AB100" s="1">
        <v>0.28000000000000003</v>
      </c>
      <c r="AC100" s="1">
        <v>0</v>
      </c>
      <c r="AD100" s="1">
        <v>1.3</v>
      </c>
      <c r="AE100" s="1">
        <v>0.67</v>
      </c>
      <c r="AF100" s="1">
        <v>1.19</v>
      </c>
    </row>
    <row r="101" spans="1:32" s="1" customFormat="1" x14ac:dyDescent="0.25">
      <c r="A101" s="6">
        <v>27057.25</v>
      </c>
      <c r="B101" s="1">
        <v>1.75</v>
      </c>
      <c r="C101" s="1">
        <v>0.6</v>
      </c>
      <c r="D101" s="1">
        <v>1</v>
      </c>
      <c r="E101" s="1">
        <v>1</v>
      </c>
      <c r="F101" s="1">
        <v>3.16</v>
      </c>
      <c r="G101" s="1">
        <v>2.42</v>
      </c>
      <c r="H101" s="1">
        <v>2</v>
      </c>
      <c r="I101" s="1">
        <v>0.73</v>
      </c>
      <c r="J101" s="1">
        <v>0</v>
      </c>
      <c r="K101" s="1">
        <v>1</v>
      </c>
      <c r="L101" s="1">
        <v>1.58</v>
      </c>
      <c r="M101" s="1">
        <v>1</v>
      </c>
      <c r="N101" s="1">
        <v>0.5</v>
      </c>
      <c r="O101" s="1">
        <v>1</v>
      </c>
      <c r="P101" s="1">
        <v>2.1800000000000002</v>
      </c>
      <c r="Q101" s="1">
        <v>1</v>
      </c>
      <c r="R101" s="1">
        <v>0</v>
      </c>
      <c r="S101" s="1">
        <v>0</v>
      </c>
      <c r="T101" s="1">
        <v>1</v>
      </c>
      <c r="U101" s="1">
        <v>1.01</v>
      </c>
      <c r="V101" s="1">
        <v>2</v>
      </c>
      <c r="W101" s="1">
        <v>0</v>
      </c>
      <c r="X101" s="1">
        <v>0</v>
      </c>
      <c r="Y101" s="1">
        <v>0</v>
      </c>
      <c r="Z101" s="1">
        <v>0.34</v>
      </c>
      <c r="AA101" s="1">
        <v>0.5</v>
      </c>
      <c r="AB101" s="1">
        <v>0.8</v>
      </c>
      <c r="AC101" s="1">
        <v>1</v>
      </c>
      <c r="AD101" s="1">
        <v>0.6</v>
      </c>
      <c r="AE101" s="1">
        <v>1.52</v>
      </c>
      <c r="AF101" s="1">
        <v>1.21</v>
      </c>
    </row>
    <row r="102" spans="1:32" s="1" customFormat="1" x14ac:dyDescent="0.25">
      <c r="A102" s="6">
        <v>27057.291666666668</v>
      </c>
      <c r="B102" s="1">
        <v>1.7</v>
      </c>
      <c r="C102" s="1">
        <v>1.3</v>
      </c>
      <c r="D102" s="1">
        <v>0</v>
      </c>
      <c r="E102" s="1">
        <v>1</v>
      </c>
      <c r="F102" s="1">
        <v>2.17</v>
      </c>
      <c r="G102" s="1">
        <v>0.44</v>
      </c>
      <c r="H102" s="1">
        <v>5</v>
      </c>
      <c r="I102" s="1">
        <v>2.16</v>
      </c>
      <c r="J102" s="1">
        <v>3</v>
      </c>
      <c r="K102" s="1">
        <v>3</v>
      </c>
      <c r="L102" s="1">
        <v>1.58</v>
      </c>
      <c r="M102" s="1">
        <v>5</v>
      </c>
      <c r="N102" s="1">
        <v>0.5</v>
      </c>
      <c r="O102" s="1">
        <v>1</v>
      </c>
      <c r="P102" s="1">
        <v>2.06</v>
      </c>
      <c r="Q102" s="1">
        <v>3</v>
      </c>
      <c r="R102" s="1">
        <v>0</v>
      </c>
      <c r="S102" s="1">
        <v>0</v>
      </c>
      <c r="T102" s="1">
        <v>0</v>
      </c>
      <c r="U102" s="1">
        <v>0.28999999999999998</v>
      </c>
      <c r="V102" s="1">
        <v>1</v>
      </c>
      <c r="W102" s="1">
        <v>1</v>
      </c>
      <c r="X102" s="1">
        <v>0</v>
      </c>
      <c r="Y102" s="1">
        <v>0</v>
      </c>
      <c r="Z102" s="1">
        <v>0.16</v>
      </c>
      <c r="AA102" s="1">
        <v>0.2</v>
      </c>
      <c r="AB102" s="1">
        <v>0.2</v>
      </c>
      <c r="AC102" s="1">
        <v>0</v>
      </c>
      <c r="AD102" s="1">
        <v>0.6</v>
      </c>
      <c r="AE102" s="1">
        <v>0.28999999999999998</v>
      </c>
      <c r="AF102" s="1">
        <v>0.68</v>
      </c>
    </row>
    <row r="103" spans="1:32" s="1" customFormat="1" x14ac:dyDescent="0.25">
      <c r="A103" s="6">
        <v>27057.333333333332</v>
      </c>
      <c r="B103" s="1">
        <v>3.21</v>
      </c>
      <c r="C103" s="1">
        <v>2.5</v>
      </c>
      <c r="D103" s="1">
        <v>0</v>
      </c>
      <c r="E103" s="1">
        <v>2</v>
      </c>
      <c r="F103" s="1">
        <v>1.75</v>
      </c>
      <c r="G103" s="1">
        <v>1.1000000000000001</v>
      </c>
      <c r="H103" s="1">
        <v>6</v>
      </c>
      <c r="I103" s="1">
        <v>0.93</v>
      </c>
      <c r="J103" s="1">
        <v>1</v>
      </c>
      <c r="K103" s="1">
        <v>1</v>
      </c>
      <c r="L103" s="1">
        <v>1.58</v>
      </c>
      <c r="M103" s="1">
        <v>3</v>
      </c>
      <c r="N103" s="1">
        <v>0.5</v>
      </c>
      <c r="O103" s="1">
        <v>3</v>
      </c>
      <c r="P103" s="1">
        <v>1.72</v>
      </c>
      <c r="Q103" s="1">
        <v>1</v>
      </c>
      <c r="R103" s="1">
        <v>0</v>
      </c>
      <c r="S103" s="1">
        <v>0</v>
      </c>
      <c r="T103" s="1">
        <v>0</v>
      </c>
      <c r="U103" s="1">
        <v>1.86</v>
      </c>
      <c r="V103" s="1">
        <v>0</v>
      </c>
      <c r="W103" s="1">
        <v>2</v>
      </c>
      <c r="X103" s="1">
        <v>0</v>
      </c>
      <c r="Y103" s="1">
        <v>1</v>
      </c>
      <c r="Z103" s="1">
        <v>1.2</v>
      </c>
      <c r="AA103" s="1">
        <v>0</v>
      </c>
      <c r="AB103" s="1">
        <v>0.6</v>
      </c>
      <c r="AC103" s="1">
        <v>0</v>
      </c>
      <c r="AD103" s="1">
        <v>0</v>
      </c>
      <c r="AE103" s="1">
        <v>6.61</v>
      </c>
      <c r="AF103" s="1">
        <v>1.02</v>
      </c>
    </row>
    <row r="104" spans="1:32" s="1" customFormat="1" x14ac:dyDescent="0.25">
      <c r="A104" s="6">
        <v>27057.375</v>
      </c>
      <c r="B104" s="1">
        <v>12.29</v>
      </c>
      <c r="C104" s="1">
        <v>1.8</v>
      </c>
      <c r="D104" s="1">
        <v>1</v>
      </c>
      <c r="E104" s="1">
        <v>2</v>
      </c>
      <c r="F104" s="1">
        <v>0</v>
      </c>
      <c r="G104" s="1">
        <v>1.33</v>
      </c>
      <c r="H104" s="1">
        <v>5</v>
      </c>
      <c r="I104" s="1">
        <v>1.2</v>
      </c>
      <c r="J104" s="1">
        <v>1</v>
      </c>
      <c r="K104" s="1">
        <v>0</v>
      </c>
      <c r="L104" s="1">
        <v>1.58</v>
      </c>
      <c r="M104" s="1">
        <v>2</v>
      </c>
      <c r="N104" s="1">
        <v>0.5</v>
      </c>
      <c r="O104" s="1">
        <v>0</v>
      </c>
      <c r="P104" s="1">
        <v>0.95</v>
      </c>
      <c r="Q104" s="1">
        <v>0</v>
      </c>
      <c r="R104" s="1">
        <v>0</v>
      </c>
      <c r="S104" s="1">
        <v>0</v>
      </c>
      <c r="T104" s="1">
        <v>0</v>
      </c>
      <c r="U104" s="1">
        <v>0.35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5</v>
      </c>
      <c r="AB104" s="1">
        <v>0.2</v>
      </c>
      <c r="AC104" s="1">
        <v>0</v>
      </c>
      <c r="AD104" s="1">
        <v>0</v>
      </c>
      <c r="AE104" s="1">
        <v>4.0999999999999996</v>
      </c>
      <c r="AF104" s="1">
        <v>0.6</v>
      </c>
    </row>
    <row r="105" spans="1:32" s="1" customFormat="1" x14ac:dyDescent="0.25">
      <c r="A105" s="6">
        <v>27057.416666666668</v>
      </c>
      <c r="B105" s="1">
        <v>5.21</v>
      </c>
      <c r="C105" s="1">
        <v>0</v>
      </c>
      <c r="D105" s="1">
        <v>0</v>
      </c>
      <c r="E105" s="1">
        <v>0</v>
      </c>
      <c r="F105" s="1">
        <v>0.8</v>
      </c>
      <c r="G105" s="1">
        <v>0.57999999999999996</v>
      </c>
      <c r="H105" s="1">
        <v>0</v>
      </c>
      <c r="I105" s="1">
        <v>1.81</v>
      </c>
      <c r="J105" s="1">
        <v>0</v>
      </c>
      <c r="K105" s="1">
        <v>0</v>
      </c>
      <c r="L105" s="1">
        <v>0.14000000000000001</v>
      </c>
      <c r="M105" s="1">
        <v>0</v>
      </c>
      <c r="N105" s="1">
        <v>0.08</v>
      </c>
      <c r="O105" s="1">
        <v>0</v>
      </c>
      <c r="P105" s="1">
        <v>0.55000000000000004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0.09</v>
      </c>
      <c r="AB105" s="1">
        <v>0</v>
      </c>
      <c r="AC105" s="1">
        <v>0</v>
      </c>
      <c r="AD105" s="1">
        <v>0</v>
      </c>
      <c r="AE105" s="1">
        <v>10</v>
      </c>
      <c r="AF105" s="1">
        <v>1.5</v>
      </c>
    </row>
    <row r="106" spans="1:32" s="1" customFormat="1" x14ac:dyDescent="0.25">
      <c r="A106" s="6">
        <v>27057.458333333332</v>
      </c>
      <c r="B106" s="1">
        <v>1.68</v>
      </c>
      <c r="C106" s="1">
        <v>0</v>
      </c>
      <c r="D106" s="1">
        <v>0</v>
      </c>
      <c r="E106" s="1">
        <v>0</v>
      </c>
      <c r="F106" s="1">
        <v>1.3</v>
      </c>
      <c r="G106" s="1">
        <v>2.21</v>
      </c>
      <c r="H106" s="1">
        <v>0</v>
      </c>
      <c r="I106" s="1">
        <v>2.73</v>
      </c>
      <c r="J106" s="1">
        <v>0</v>
      </c>
      <c r="K106" s="1">
        <v>0</v>
      </c>
      <c r="L106" s="1">
        <v>0.14000000000000001</v>
      </c>
      <c r="M106" s="1">
        <v>0</v>
      </c>
      <c r="N106" s="1">
        <v>0.08</v>
      </c>
      <c r="O106" s="1">
        <v>0</v>
      </c>
      <c r="P106" s="1">
        <v>0.51</v>
      </c>
      <c r="Q106" s="1">
        <v>0</v>
      </c>
      <c r="R106" s="1">
        <v>0</v>
      </c>
      <c r="S106" s="1">
        <v>0</v>
      </c>
      <c r="T106" s="1">
        <v>0</v>
      </c>
      <c r="U106" s="1">
        <v>0.04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0.09</v>
      </c>
      <c r="AB106" s="1">
        <v>0</v>
      </c>
      <c r="AC106" s="1">
        <v>0</v>
      </c>
      <c r="AD106" s="1">
        <v>0</v>
      </c>
      <c r="AE106" s="1">
        <v>3.7</v>
      </c>
      <c r="AF106" s="1">
        <v>2.4700000000000002</v>
      </c>
    </row>
    <row r="107" spans="1:32" s="1" customFormat="1" x14ac:dyDescent="0.25">
      <c r="A107" s="6">
        <v>27057.5</v>
      </c>
      <c r="B107" s="1">
        <v>0.64</v>
      </c>
      <c r="C107" s="1">
        <v>0</v>
      </c>
      <c r="D107" s="1">
        <v>0</v>
      </c>
      <c r="E107" s="1">
        <v>0</v>
      </c>
      <c r="F107" s="1">
        <v>0.4</v>
      </c>
      <c r="G107" s="1">
        <v>0.79</v>
      </c>
      <c r="H107" s="1">
        <v>0</v>
      </c>
      <c r="I107" s="1">
        <v>0.47</v>
      </c>
      <c r="J107" s="1">
        <v>0</v>
      </c>
      <c r="K107" s="1">
        <v>0</v>
      </c>
      <c r="L107" s="1">
        <v>0.14000000000000001</v>
      </c>
      <c r="M107" s="1">
        <v>0</v>
      </c>
      <c r="N107" s="1">
        <v>0.08</v>
      </c>
      <c r="O107" s="1">
        <v>0</v>
      </c>
      <c r="P107" s="1">
        <v>0.43</v>
      </c>
      <c r="Q107" s="1">
        <v>0</v>
      </c>
      <c r="R107" s="1">
        <v>0.5</v>
      </c>
      <c r="S107" s="1">
        <v>0</v>
      </c>
      <c r="T107" s="1">
        <v>0</v>
      </c>
      <c r="U107" s="1">
        <v>0.09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0.09</v>
      </c>
      <c r="AB107" s="1">
        <v>0</v>
      </c>
      <c r="AC107" s="1">
        <v>0</v>
      </c>
      <c r="AD107" s="1">
        <v>0</v>
      </c>
      <c r="AE107" s="1">
        <v>0</v>
      </c>
      <c r="AF107" s="1">
        <v>0.42</v>
      </c>
    </row>
    <row r="108" spans="1:32" s="1" customFormat="1" x14ac:dyDescent="0.25">
      <c r="A108" s="6">
        <v>27057.541666666668</v>
      </c>
      <c r="B108" s="1">
        <v>0.27</v>
      </c>
      <c r="C108" s="1">
        <v>0</v>
      </c>
      <c r="D108" s="1">
        <v>0</v>
      </c>
      <c r="E108" s="1">
        <v>0</v>
      </c>
      <c r="F108" s="1">
        <v>0</v>
      </c>
      <c r="G108" s="1">
        <v>0.1</v>
      </c>
      <c r="H108" s="1">
        <v>0</v>
      </c>
      <c r="I108" s="1">
        <v>0</v>
      </c>
      <c r="J108" s="1">
        <v>0</v>
      </c>
      <c r="K108" s="1">
        <v>0</v>
      </c>
      <c r="L108" s="1">
        <v>0.14000000000000001</v>
      </c>
      <c r="M108" s="1">
        <v>0</v>
      </c>
      <c r="N108" s="1">
        <v>0.08</v>
      </c>
      <c r="O108" s="1">
        <v>0</v>
      </c>
      <c r="P108" s="1">
        <v>0.06</v>
      </c>
      <c r="Q108" s="1">
        <v>0</v>
      </c>
      <c r="R108" s="1">
        <v>0.2</v>
      </c>
      <c r="S108" s="1">
        <v>0.27</v>
      </c>
      <c r="T108" s="1">
        <v>0</v>
      </c>
      <c r="U108" s="1">
        <v>1.08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0.09</v>
      </c>
      <c r="AB108" s="1">
        <v>0</v>
      </c>
      <c r="AC108" s="1">
        <v>0</v>
      </c>
      <c r="AD108" s="1">
        <v>0</v>
      </c>
      <c r="AE108" s="1">
        <v>0.3</v>
      </c>
      <c r="AF108" s="1">
        <v>0.4</v>
      </c>
    </row>
    <row r="109" spans="1:32" s="1" customFormat="1" x14ac:dyDescent="0.25">
      <c r="A109" s="6">
        <v>27057.583333333332</v>
      </c>
      <c r="B109" s="1">
        <v>0.33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  <c r="K109" s="1">
        <v>0</v>
      </c>
      <c r="L109" s="1">
        <v>0.14000000000000001</v>
      </c>
      <c r="M109" s="1">
        <v>0</v>
      </c>
      <c r="N109" s="1">
        <v>0.08</v>
      </c>
      <c r="O109" s="1">
        <v>0</v>
      </c>
      <c r="P109" s="1">
        <v>0</v>
      </c>
      <c r="Q109" s="1">
        <v>0</v>
      </c>
      <c r="R109" s="1">
        <v>0.21</v>
      </c>
      <c r="S109" s="1">
        <v>0.34</v>
      </c>
      <c r="T109" s="1">
        <v>0</v>
      </c>
      <c r="U109" s="1">
        <v>0.47</v>
      </c>
      <c r="V109" s="1">
        <v>0</v>
      </c>
      <c r="W109" s="1">
        <v>0</v>
      </c>
      <c r="X109" s="1">
        <v>0</v>
      </c>
      <c r="Y109" s="1">
        <v>0</v>
      </c>
      <c r="Z109" s="1">
        <v>0.93</v>
      </c>
      <c r="AA109" s="1">
        <v>0.09</v>
      </c>
      <c r="AB109" s="1">
        <v>3.1</v>
      </c>
      <c r="AC109" s="1">
        <v>0</v>
      </c>
      <c r="AD109" s="1">
        <v>0</v>
      </c>
      <c r="AE109" s="1">
        <v>0</v>
      </c>
      <c r="AF109" s="1">
        <v>0</v>
      </c>
    </row>
    <row r="110" spans="1:32" s="1" customFormat="1" x14ac:dyDescent="0.25">
      <c r="A110" s="6">
        <v>27057.625</v>
      </c>
      <c r="B110" s="1">
        <v>1.47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  <c r="K110" s="1">
        <v>0</v>
      </c>
      <c r="L110" s="1">
        <v>0.14000000000000001</v>
      </c>
      <c r="M110" s="1">
        <v>0</v>
      </c>
      <c r="N110" s="1">
        <v>0.08</v>
      </c>
      <c r="O110" s="1">
        <v>0</v>
      </c>
      <c r="P110" s="1">
        <v>0</v>
      </c>
      <c r="Q110" s="1">
        <v>0</v>
      </c>
      <c r="R110" s="1">
        <v>0.19</v>
      </c>
      <c r="S110" s="1">
        <v>0.34</v>
      </c>
      <c r="T110" s="1">
        <v>0</v>
      </c>
      <c r="U110" s="1">
        <v>0.73</v>
      </c>
      <c r="V110" s="1">
        <v>0</v>
      </c>
      <c r="W110" s="1">
        <v>0</v>
      </c>
      <c r="X110" s="1">
        <v>0</v>
      </c>
      <c r="Y110" s="1">
        <v>0</v>
      </c>
      <c r="Z110" s="1">
        <v>0.77</v>
      </c>
      <c r="AA110" s="1">
        <v>0.09</v>
      </c>
      <c r="AB110" s="1">
        <v>0.51</v>
      </c>
      <c r="AC110" s="1">
        <v>0</v>
      </c>
      <c r="AD110" s="1">
        <v>0</v>
      </c>
      <c r="AE110" s="1">
        <v>0</v>
      </c>
      <c r="AF110" s="1">
        <v>0</v>
      </c>
    </row>
    <row r="111" spans="1:32" s="1" customFormat="1" x14ac:dyDescent="0.25">
      <c r="A111" s="6">
        <v>27057.666666666668</v>
      </c>
      <c r="B111" s="1">
        <v>2.0299999999999998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0.14000000000000001</v>
      </c>
      <c r="M111" s="1">
        <v>0</v>
      </c>
      <c r="N111" s="1">
        <v>0.08</v>
      </c>
      <c r="O111" s="1">
        <v>0</v>
      </c>
      <c r="P111" s="1">
        <v>0.3</v>
      </c>
      <c r="Q111" s="1">
        <v>0</v>
      </c>
      <c r="R111" s="1">
        <v>0</v>
      </c>
      <c r="S111" s="1">
        <v>0.34</v>
      </c>
      <c r="T111" s="1">
        <v>0</v>
      </c>
      <c r="U111" s="1">
        <v>0.56000000000000005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0.09</v>
      </c>
      <c r="AB111" s="1">
        <v>4.8899999999999997</v>
      </c>
      <c r="AC111" s="1">
        <v>0</v>
      </c>
      <c r="AD111" s="1">
        <v>0</v>
      </c>
      <c r="AE111" s="1">
        <v>0</v>
      </c>
      <c r="AF111" s="1">
        <v>0</v>
      </c>
    </row>
    <row r="112" spans="1:32" s="1" customFormat="1" x14ac:dyDescent="0.25">
      <c r="A112" s="6">
        <v>27057.708333333332</v>
      </c>
      <c r="B112" s="1">
        <v>0.56999999999999995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0.14000000000000001</v>
      </c>
      <c r="M112" s="1">
        <v>0</v>
      </c>
      <c r="N112" s="1">
        <v>0.08</v>
      </c>
      <c r="O112" s="1">
        <v>0</v>
      </c>
      <c r="P112" s="1">
        <v>0</v>
      </c>
      <c r="Q112" s="1">
        <v>0</v>
      </c>
      <c r="R112" s="1">
        <v>0</v>
      </c>
      <c r="S112" s="1">
        <v>0.34</v>
      </c>
      <c r="T112" s="1">
        <v>0</v>
      </c>
      <c r="U112" s="1">
        <v>0.53</v>
      </c>
      <c r="V112" s="1">
        <v>0</v>
      </c>
      <c r="W112" s="1">
        <v>0</v>
      </c>
      <c r="X112" s="1">
        <v>0</v>
      </c>
      <c r="Y112" s="1">
        <v>0</v>
      </c>
      <c r="Z112" s="1">
        <v>0.8</v>
      </c>
      <c r="AA112" s="1">
        <v>0.09</v>
      </c>
      <c r="AB112" s="1">
        <v>0.5</v>
      </c>
      <c r="AC112" s="1">
        <v>0</v>
      </c>
      <c r="AD112" s="1">
        <v>0</v>
      </c>
      <c r="AE112" s="1">
        <v>0.3</v>
      </c>
      <c r="AF112" s="1">
        <v>0</v>
      </c>
    </row>
    <row r="113" spans="1:32" s="1" customFormat="1" x14ac:dyDescent="0.25">
      <c r="A113" s="6">
        <v>27057.75</v>
      </c>
      <c r="B113" s="1">
        <v>1.25</v>
      </c>
      <c r="C113" s="1">
        <v>0</v>
      </c>
      <c r="D113" s="1">
        <v>0</v>
      </c>
      <c r="E113" s="1">
        <v>0</v>
      </c>
      <c r="F113" s="1">
        <v>0</v>
      </c>
      <c r="G113" s="1">
        <v>0.1</v>
      </c>
      <c r="H113" s="1">
        <v>0</v>
      </c>
      <c r="I113" s="1">
        <v>0</v>
      </c>
      <c r="J113" s="1">
        <v>0</v>
      </c>
      <c r="K113" s="1">
        <v>0</v>
      </c>
      <c r="L113" s="1">
        <v>0.14000000000000001</v>
      </c>
      <c r="M113" s="1">
        <v>0</v>
      </c>
      <c r="N113" s="1">
        <v>0.08</v>
      </c>
      <c r="O113" s="1">
        <v>0</v>
      </c>
      <c r="P113" s="1">
        <v>0.4</v>
      </c>
      <c r="Q113" s="1">
        <v>0</v>
      </c>
      <c r="R113" s="1">
        <v>0</v>
      </c>
      <c r="S113" s="1">
        <v>0.34</v>
      </c>
      <c r="T113" s="1">
        <v>0</v>
      </c>
      <c r="U113" s="1">
        <v>0.32</v>
      </c>
      <c r="V113" s="1">
        <v>0</v>
      </c>
      <c r="W113" s="1">
        <v>0</v>
      </c>
      <c r="X113" s="1">
        <v>0</v>
      </c>
      <c r="Y113" s="1">
        <v>0</v>
      </c>
      <c r="Z113" s="1">
        <v>0.5</v>
      </c>
      <c r="AA113" s="1">
        <v>0.09</v>
      </c>
      <c r="AB113" s="1">
        <v>0</v>
      </c>
      <c r="AC113" s="1">
        <v>0</v>
      </c>
      <c r="AD113" s="1">
        <v>0</v>
      </c>
      <c r="AE113" s="1">
        <v>0</v>
      </c>
      <c r="AF113" s="1">
        <v>0</v>
      </c>
    </row>
    <row r="114" spans="1:32" s="1" customFormat="1" x14ac:dyDescent="0.25">
      <c r="A114" s="6">
        <v>27057.791666666668</v>
      </c>
      <c r="B114" s="1">
        <v>0.75</v>
      </c>
      <c r="C114" s="1">
        <v>0</v>
      </c>
      <c r="D114" s="1">
        <v>0</v>
      </c>
      <c r="E114" s="1">
        <v>0</v>
      </c>
      <c r="F114" s="1">
        <v>0.8</v>
      </c>
      <c r="G114" s="1">
        <v>0.6</v>
      </c>
      <c r="H114" s="1">
        <v>0</v>
      </c>
      <c r="I114" s="1">
        <v>0</v>
      </c>
      <c r="J114" s="1">
        <v>0</v>
      </c>
      <c r="K114" s="1">
        <v>0</v>
      </c>
      <c r="L114" s="1">
        <v>0.14000000000000001</v>
      </c>
      <c r="M114" s="1">
        <v>0</v>
      </c>
      <c r="N114" s="1">
        <v>0.08</v>
      </c>
      <c r="O114" s="1">
        <v>0</v>
      </c>
      <c r="P114" s="1">
        <v>2.19</v>
      </c>
      <c r="Q114" s="1">
        <v>0</v>
      </c>
      <c r="R114" s="1">
        <v>0</v>
      </c>
      <c r="S114" s="1">
        <v>0.34</v>
      </c>
      <c r="T114" s="1">
        <v>0</v>
      </c>
      <c r="U114" s="1">
        <v>0.4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0.09</v>
      </c>
      <c r="AB114" s="1">
        <v>0</v>
      </c>
      <c r="AC114" s="1">
        <v>0</v>
      </c>
      <c r="AD114" s="1">
        <v>0</v>
      </c>
      <c r="AE114" s="1">
        <v>7.0000000000000007E-2</v>
      </c>
      <c r="AF114" s="1">
        <v>0</v>
      </c>
    </row>
    <row r="115" spans="1:32" s="1" customFormat="1" x14ac:dyDescent="0.25">
      <c r="A115" s="6">
        <v>27057.833333333332</v>
      </c>
      <c r="B115" s="1">
        <v>0.47</v>
      </c>
      <c r="C115" s="1">
        <v>0</v>
      </c>
      <c r="D115" s="1">
        <v>0</v>
      </c>
      <c r="E115" s="1">
        <v>0</v>
      </c>
      <c r="F115" s="1">
        <v>0.2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0.14000000000000001</v>
      </c>
      <c r="M115" s="1">
        <v>0</v>
      </c>
      <c r="N115" s="1">
        <v>0.08</v>
      </c>
      <c r="O115" s="1">
        <v>0</v>
      </c>
      <c r="P115" s="1">
        <v>1.8</v>
      </c>
      <c r="Q115" s="1">
        <v>0</v>
      </c>
      <c r="R115" s="1">
        <v>0</v>
      </c>
      <c r="S115" s="1">
        <v>0.34</v>
      </c>
      <c r="T115" s="1">
        <v>0</v>
      </c>
      <c r="U115" s="1">
        <v>0.03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0.09</v>
      </c>
      <c r="AB115" s="1">
        <v>0</v>
      </c>
      <c r="AC115" s="1">
        <v>0</v>
      </c>
      <c r="AD115" s="1">
        <v>0</v>
      </c>
      <c r="AE115" s="1">
        <v>0.83</v>
      </c>
      <c r="AF115" s="1">
        <v>0.23</v>
      </c>
    </row>
    <row r="116" spans="1:32" s="1" customFormat="1" x14ac:dyDescent="0.25">
      <c r="A116" s="6">
        <v>27057.875</v>
      </c>
      <c r="B116" s="1">
        <v>0.43</v>
      </c>
      <c r="C116" s="1">
        <v>0</v>
      </c>
      <c r="D116" s="1">
        <v>0</v>
      </c>
      <c r="E116" s="1">
        <v>0</v>
      </c>
      <c r="F116" s="1">
        <v>0.7</v>
      </c>
      <c r="G116" s="1">
        <v>0.1</v>
      </c>
      <c r="H116" s="1">
        <v>0</v>
      </c>
      <c r="I116" s="1">
        <v>0</v>
      </c>
      <c r="J116" s="1">
        <v>0</v>
      </c>
      <c r="K116" s="1">
        <v>0</v>
      </c>
      <c r="L116" s="1">
        <v>0.14000000000000001</v>
      </c>
      <c r="M116" s="1">
        <v>0</v>
      </c>
      <c r="N116" s="1">
        <v>0.08</v>
      </c>
      <c r="O116" s="1">
        <v>0</v>
      </c>
      <c r="P116" s="1">
        <v>0.21</v>
      </c>
      <c r="Q116" s="1">
        <v>0</v>
      </c>
      <c r="R116" s="1">
        <v>0</v>
      </c>
      <c r="S116" s="1">
        <v>0.16</v>
      </c>
      <c r="T116" s="1">
        <v>0</v>
      </c>
      <c r="U116" s="1">
        <v>0.03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0.09</v>
      </c>
      <c r="AB116" s="1">
        <v>0</v>
      </c>
      <c r="AC116" s="1">
        <v>0</v>
      </c>
      <c r="AD116" s="1">
        <v>0</v>
      </c>
      <c r="AE116" s="1">
        <v>0</v>
      </c>
      <c r="AF116" s="1">
        <v>0.37</v>
      </c>
    </row>
    <row r="117" spans="1:32" s="1" customFormat="1" x14ac:dyDescent="0.25">
      <c r="A117" s="6">
        <v>27057.916666666668</v>
      </c>
      <c r="B117" s="1">
        <v>0.3</v>
      </c>
      <c r="C117" s="1">
        <v>0</v>
      </c>
      <c r="D117" s="1">
        <v>0</v>
      </c>
      <c r="E117" s="1">
        <v>0</v>
      </c>
      <c r="F117" s="1">
        <v>0</v>
      </c>
      <c r="G117" s="1">
        <v>0.1</v>
      </c>
      <c r="H117" s="1">
        <v>0</v>
      </c>
      <c r="I117" s="1">
        <v>0</v>
      </c>
      <c r="J117" s="1">
        <v>0</v>
      </c>
      <c r="K117" s="1">
        <v>0</v>
      </c>
      <c r="L117" s="1">
        <v>0.14000000000000001</v>
      </c>
      <c r="M117" s="1">
        <v>0</v>
      </c>
      <c r="N117" s="1">
        <v>0.08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0.53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0.09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</row>
    <row r="118" spans="1:32" s="1" customFormat="1" x14ac:dyDescent="0.25">
      <c r="A118" s="6">
        <v>27057.958333333332</v>
      </c>
      <c r="B118" s="1">
        <v>0.09</v>
      </c>
      <c r="C118" s="1">
        <v>0</v>
      </c>
      <c r="D118" s="1">
        <v>0</v>
      </c>
      <c r="E118" s="1">
        <v>0</v>
      </c>
      <c r="F118" s="1">
        <v>0</v>
      </c>
      <c r="G118" s="1">
        <v>0.11</v>
      </c>
      <c r="H118" s="1">
        <v>0</v>
      </c>
      <c r="I118" s="1">
        <v>0</v>
      </c>
      <c r="J118" s="1">
        <v>0</v>
      </c>
      <c r="K118" s="1">
        <v>0</v>
      </c>
      <c r="L118" s="1">
        <v>0.14000000000000001</v>
      </c>
      <c r="M118" s="1">
        <v>0</v>
      </c>
      <c r="N118" s="1">
        <v>0.08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0.1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0.09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</row>
    <row r="119" spans="1:32" s="1" customFormat="1" x14ac:dyDescent="0.25">
      <c r="A119" s="6">
        <v>27058</v>
      </c>
      <c r="B119" s="1">
        <v>1.21</v>
      </c>
      <c r="C119" s="1">
        <v>0</v>
      </c>
      <c r="D119" s="1">
        <v>0</v>
      </c>
      <c r="E119" s="1">
        <v>0</v>
      </c>
      <c r="F119" s="1">
        <v>0</v>
      </c>
      <c r="G119" s="1">
        <v>0.09</v>
      </c>
      <c r="H119" s="1">
        <v>0</v>
      </c>
      <c r="I119" s="1">
        <v>0</v>
      </c>
      <c r="J119" s="1">
        <v>0</v>
      </c>
      <c r="K119" s="1">
        <v>0</v>
      </c>
      <c r="L119" s="1">
        <v>0.14000000000000001</v>
      </c>
      <c r="M119" s="1">
        <v>0</v>
      </c>
      <c r="N119" s="1">
        <v>0.08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0.09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</row>
    <row r="120" spans="1:32" s="1" customFormat="1" x14ac:dyDescent="0.25">
      <c r="A120" s="6">
        <v>27058.041666666668</v>
      </c>
      <c r="B120" s="1">
        <v>0</v>
      </c>
      <c r="C120" s="1">
        <v>0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0.14000000000000001</v>
      </c>
      <c r="M120" s="1">
        <v>0</v>
      </c>
      <c r="N120" s="1">
        <v>0.08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0.09</v>
      </c>
      <c r="AB120" s="1">
        <v>0</v>
      </c>
      <c r="AC120" s="1">
        <v>0</v>
      </c>
      <c r="AD120" s="1">
        <v>0</v>
      </c>
      <c r="AE120" s="1">
        <v>0</v>
      </c>
      <c r="AF120" s="1">
        <v>0</v>
      </c>
    </row>
    <row r="121" spans="1:32" s="1" customFormat="1" x14ac:dyDescent="0.25">
      <c r="A121" s="6">
        <v>27058.083333333332</v>
      </c>
      <c r="B121" s="1">
        <v>0</v>
      </c>
      <c r="C121" s="1">
        <v>0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0.14000000000000001</v>
      </c>
      <c r="M121" s="1">
        <v>0</v>
      </c>
      <c r="N121" s="1">
        <v>0.08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0.09</v>
      </c>
      <c r="AB121" s="1">
        <v>0</v>
      </c>
      <c r="AC121" s="1">
        <v>0</v>
      </c>
      <c r="AD121" s="1">
        <v>0</v>
      </c>
      <c r="AE121" s="1">
        <v>0</v>
      </c>
      <c r="AF121" s="1">
        <v>0</v>
      </c>
    </row>
    <row r="122" spans="1:32" s="1" customFormat="1" x14ac:dyDescent="0.25">
      <c r="A122" s="6">
        <v>27058.125</v>
      </c>
      <c r="B122" s="1">
        <v>0</v>
      </c>
      <c r="C122" s="1">
        <v>0</v>
      </c>
      <c r="D122" s="1">
        <v>0</v>
      </c>
      <c r="E122" s="1">
        <v>0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">
        <v>0.14000000000000001</v>
      </c>
      <c r="M122" s="1">
        <v>0</v>
      </c>
      <c r="N122" s="1">
        <v>0.08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0.09</v>
      </c>
      <c r="AB122" s="1">
        <v>0</v>
      </c>
      <c r="AC122" s="1">
        <v>0</v>
      </c>
      <c r="AD122" s="1">
        <v>0</v>
      </c>
      <c r="AE122" s="1">
        <v>0</v>
      </c>
      <c r="AF122" s="1">
        <v>0</v>
      </c>
    </row>
    <row r="123" spans="1:32" s="1" customFormat="1" x14ac:dyDescent="0.25">
      <c r="A123" s="6">
        <v>27058.166666666668</v>
      </c>
      <c r="B123" s="1">
        <v>0</v>
      </c>
      <c r="C123" s="1">
        <v>0</v>
      </c>
      <c r="D123" s="1">
        <v>0</v>
      </c>
      <c r="E123" s="1">
        <v>0</v>
      </c>
      <c r="F123" s="1">
        <v>0</v>
      </c>
      <c r="G123" s="1">
        <v>0.1</v>
      </c>
      <c r="H123" s="1">
        <v>0</v>
      </c>
      <c r="I123" s="1">
        <v>0</v>
      </c>
      <c r="J123" s="1">
        <v>0</v>
      </c>
      <c r="K123" s="1">
        <v>0</v>
      </c>
      <c r="L123" s="1">
        <v>0.14000000000000001</v>
      </c>
      <c r="M123" s="1">
        <v>0</v>
      </c>
      <c r="N123" s="1">
        <v>0.08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0.09</v>
      </c>
      <c r="AB123" s="1">
        <v>0</v>
      </c>
      <c r="AC123" s="1">
        <v>0</v>
      </c>
      <c r="AD123" s="1">
        <v>0</v>
      </c>
      <c r="AE123" s="1">
        <v>0</v>
      </c>
      <c r="AF123" s="1">
        <v>0</v>
      </c>
    </row>
    <row r="124" spans="1:32" s="1" customFormat="1" x14ac:dyDescent="0.25">
      <c r="A124" s="6">
        <v>27058.208333333332</v>
      </c>
      <c r="B124" s="1">
        <v>0</v>
      </c>
      <c r="C124" s="1">
        <v>0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0.14000000000000001</v>
      </c>
      <c r="M124" s="1">
        <v>0</v>
      </c>
      <c r="N124" s="1">
        <v>0.08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0.09</v>
      </c>
      <c r="AB124" s="1">
        <v>0</v>
      </c>
      <c r="AC124" s="1">
        <v>0</v>
      </c>
      <c r="AD124" s="1">
        <v>0</v>
      </c>
      <c r="AE124" s="1">
        <v>0</v>
      </c>
      <c r="AF124" s="1">
        <v>0</v>
      </c>
    </row>
    <row r="125" spans="1:32" s="1" customFormat="1" x14ac:dyDescent="0.25">
      <c r="A125" s="6">
        <v>27058.25</v>
      </c>
      <c r="B125" s="1">
        <v>0</v>
      </c>
      <c r="C125" s="1">
        <v>0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0.14000000000000001</v>
      </c>
      <c r="M125" s="1">
        <v>0</v>
      </c>
      <c r="N125" s="1">
        <v>0.08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0.09</v>
      </c>
      <c r="AB125" s="1">
        <v>0</v>
      </c>
      <c r="AC125" s="1">
        <v>0</v>
      </c>
      <c r="AD125" s="1">
        <v>0</v>
      </c>
      <c r="AE125" s="1">
        <v>0</v>
      </c>
      <c r="AF125" s="1">
        <v>0</v>
      </c>
    </row>
    <row r="126" spans="1:32" s="1" customFormat="1" x14ac:dyDescent="0.25">
      <c r="A126" s="6">
        <v>27058.291666666668</v>
      </c>
      <c r="B126" s="1">
        <v>0</v>
      </c>
      <c r="C126" s="1">
        <v>0</v>
      </c>
      <c r="D126" s="1">
        <v>0</v>
      </c>
      <c r="E126" s="1">
        <v>0</v>
      </c>
      <c r="F126" s="1">
        <v>0</v>
      </c>
      <c r="G126" s="1">
        <v>0</v>
      </c>
      <c r="H126" s="1">
        <v>0</v>
      </c>
      <c r="I126" s="1">
        <v>0</v>
      </c>
      <c r="J126" s="1">
        <v>0</v>
      </c>
      <c r="K126" s="1">
        <v>0</v>
      </c>
      <c r="L126" s="1">
        <v>0.14000000000000001</v>
      </c>
      <c r="M126" s="1">
        <v>0</v>
      </c>
      <c r="N126" s="1">
        <v>0.08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0.09</v>
      </c>
      <c r="AB126" s="1">
        <v>0</v>
      </c>
      <c r="AC126" s="1">
        <v>0</v>
      </c>
      <c r="AD126" s="1">
        <v>0</v>
      </c>
      <c r="AE126" s="1">
        <v>0</v>
      </c>
      <c r="AF126" s="1">
        <v>0</v>
      </c>
    </row>
    <row r="127" spans="1:32" s="1" customFormat="1" x14ac:dyDescent="0.25">
      <c r="A127" s="6">
        <v>27058.333333333332</v>
      </c>
      <c r="B127" s="1">
        <v>0</v>
      </c>
      <c r="C127" s="1">
        <v>0</v>
      </c>
      <c r="D127" s="1">
        <v>0</v>
      </c>
      <c r="E127" s="1">
        <v>0</v>
      </c>
      <c r="F127" s="1">
        <v>0</v>
      </c>
      <c r="G127" s="1">
        <v>0.3</v>
      </c>
      <c r="H127" s="1">
        <v>0</v>
      </c>
      <c r="I127" s="1">
        <v>0</v>
      </c>
      <c r="J127" s="1">
        <v>0</v>
      </c>
      <c r="K127" s="1">
        <v>0</v>
      </c>
      <c r="L127" s="1">
        <v>0.14000000000000001</v>
      </c>
      <c r="M127" s="1">
        <v>0</v>
      </c>
      <c r="N127" s="1">
        <v>0.08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0.09</v>
      </c>
      <c r="AB127" s="1">
        <v>0</v>
      </c>
      <c r="AC127" s="1">
        <v>0</v>
      </c>
      <c r="AD127" s="1">
        <v>0</v>
      </c>
      <c r="AE127" s="1">
        <v>0</v>
      </c>
      <c r="AF127" s="1">
        <v>0</v>
      </c>
    </row>
    <row r="128" spans="1:32" s="1" customFormat="1" x14ac:dyDescent="0.25">
      <c r="A128" s="6">
        <v>27058.375</v>
      </c>
      <c r="B128" s="1">
        <v>0</v>
      </c>
      <c r="C128" s="1">
        <v>0</v>
      </c>
      <c r="D128" s="1">
        <v>0</v>
      </c>
      <c r="E128" s="1">
        <v>0</v>
      </c>
      <c r="F128" s="1">
        <v>0</v>
      </c>
      <c r="G128" s="1">
        <v>0.04</v>
      </c>
      <c r="H128" s="1">
        <v>0</v>
      </c>
      <c r="I128" s="1">
        <v>0</v>
      </c>
      <c r="J128" s="1">
        <v>0</v>
      </c>
      <c r="K128" s="1">
        <v>0</v>
      </c>
      <c r="L128" s="1">
        <v>0.14000000000000001</v>
      </c>
      <c r="M128" s="1">
        <v>0</v>
      </c>
      <c r="N128" s="1">
        <v>0.08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0.14000000000000001</v>
      </c>
      <c r="AB128" s="1">
        <v>0</v>
      </c>
      <c r="AC128" s="1">
        <v>0</v>
      </c>
      <c r="AD128" s="1">
        <v>0</v>
      </c>
      <c r="AE128" s="1">
        <v>0</v>
      </c>
      <c r="AF128" s="1">
        <v>0</v>
      </c>
    </row>
    <row r="129" spans="1:32" s="1" customFormat="1" x14ac:dyDescent="0.25">
      <c r="A129" s="6">
        <v>27058.416666666668</v>
      </c>
      <c r="B129" s="1">
        <v>0</v>
      </c>
      <c r="C129" s="1">
        <v>0</v>
      </c>
      <c r="D129" s="1">
        <v>0</v>
      </c>
      <c r="E129" s="1">
        <v>0</v>
      </c>
      <c r="F129" s="1">
        <v>0</v>
      </c>
      <c r="G129" s="1">
        <v>0.06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0.03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0.84</v>
      </c>
      <c r="AB129" s="1">
        <v>0</v>
      </c>
      <c r="AC129" s="1">
        <v>0</v>
      </c>
      <c r="AD129" s="1">
        <v>0</v>
      </c>
      <c r="AE129" s="1">
        <v>0</v>
      </c>
      <c r="AF129" s="1">
        <v>0</v>
      </c>
    </row>
    <row r="130" spans="1:32" s="1" customFormat="1" x14ac:dyDescent="0.25">
      <c r="A130" s="6">
        <v>27058.458333333332</v>
      </c>
      <c r="B130" s="1">
        <v>0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0.03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0.84</v>
      </c>
      <c r="AB130" s="1">
        <v>0</v>
      </c>
      <c r="AC130" s="1">
        <v>0</v>
      </c>
      <c r="AD130" s="1">
        <v>0</v>
      </c>
      <c r="AE130" s="1">
        <v>0</v>
      </c>
      <c r="AF130" s="1">
        <v>0</v>
      </c>
    </row>
    <row r="131" spans="1:32" s="1" customFormat="1" x14ac:dyDescent="0.25">
      <c r="A131" s="6">
        <v>27058.5</v>
      </c>
      <c r="B131" s="1">
        <v>0</v>
      </c>
      <c r="C131" s="1">
        <v>0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0.03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0.84</v>
      </c>
      <c r="AB131" s="1">
        <v>0</v>
      </c>
      <c r="AC131" s="1">
        <v>0</v>
      </c>
      <c r="AD131" s="1">
        <v>0</v>
      </c>
      <c r="AE131" s="1">
        <v>0.11</v>
      </c>
      <c r="AF131" s="1">
        <v>0</v>
      </c>
    </row>
    <row r="132" spans="1:32" s="1" customFormat="1" x14ac:dyDescent="0.25">
      <c r="A132" s="6">
        <v>27058.541666666668</v>
      </c>
      <c r="B132" s="1">
        <v>0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0.03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1.1000000000000001</v>
      </c>
      <c r="AA132" s="1">
        <v>0.84</v>
      </c>
      <c r="AB132" s="1">
        <v>1.46</v>
      </c>
      <c r="AC132" s="1">
        <v>0</v>
      </c>
      <c r="AD132" s="1">
        <v>0</v>
      </c>
      <c r="AE132" s="1">
        <v>0.11</v>
      </c>
      <c r="AF132" s="1">
        <v>0</v>
      </c>
    </row>
    <row r="133" spans="1:32" s="1" customFormat="1" x14ac:dyDescent="0.25">
      <c r="A133" s="6">
        <v>27058.583333333332</v>
      </c>
      <c r="B133" s="1">
        <v>0</v>
      </c>
      <c r="C133" s="1">
        <v>0</v>
      </c>
      <c r="D133" s="1">
        <v>0</v>
      </c>
      <c r="E133" s="1">
        <v>0</v>
      </c>
      <c r="F133" s="1">
        <v>0</v>
      </c>
      <c r="G133" s="1">
        <v>0.1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0.2</v>
      </c>
      <c r="O133" s="1">
        <v>0</v>
      </c>
      <c r="P133" s="1">
        <v>0.03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0.19</v>
      </c>
      <c r="AA133" s="1">
        <v>0.84</v>
      </c>
      <c r="AB133" s="1">
        <v>0.54</v>
      </c>
      <c r="AC133" s="1">
        <v>0</v>
      </c>
      <c r="AD133" s="1">
        <v>0</v>
      </c>
      <c r="AE133" s="1">
        <v>0.11</v>
      </c>
      <c r="AF133" s="1">
        <v>0.6</v>
      </c>
    </row>
    <row r="134" spans="1:32" s="1" customFormat="1" x14ac:dyDescent="0.25">
      <c r="A134" s="6">
        <v>27058.625</v>
      </c>
      <c r="B134" s="1">
        <v>0</v>
      </c>
      <c r="C134" s="1">
        <v>0</v>
      </c>
      <c r="D134" s="1">
        <v>0</v>
      </c>
      <c r="E134" s="1">
        <v>0</v>
      </c>
      <c r="F134" s="1">
        <v>0</v>
      </c>
      <c r="G134" s="1">
        <v>0.2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0.8</v>
      </c>
      <c r="O134" s="1">
        <v>0</v>
      </c>
      <c r="P134" s="1">
        <v>0.03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0.31</v>
      </c>
      <c r="AA134" s="1">
        <v>0.84</v>
      </c>
      <c r="AB134" s="1">
        <v>0</v>
      </c>
      <c r="AC134" s="1">
        <v>0</v>
      </c>
      <c r="AD134" s="1">
        <v>0</v>
      </c>
      <c r="AE134" s="1">
        <v>0.11</v>
      </c>
      <c r="AF134" s="1">
        <v>0.3</v>
      </c>
    </row>
    <row r="135" spans="1:32" s="1" customFormat="1" x14ac:dyDescent="0.25">
      <c r="A135" s="6">
        <v>27058.666666666668</v>
      </c>
      <c r="B135" s="1">
        <v>0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0.03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0.84</v>
      </c>
      <c r="AB135" s="1">
        <v>0</v>
      </c>
      <c r="AC135" s="1">
        <v>0</v>
      </c>
      <c r="AD135" s="1">
        <v>0</v>
      </c>
      <c r="AE135" s="1">
        <v>0.11</v>
      </c>
      <c r="AF135" s="1">
        <v>0.1</v>
      </c>
    </row>
    <row r="136" spans="1:32" s="1" customFormat="1" x14ac:dyDescent="0.25">
      <c r="A136" s="6">
        <v>27058.708333333332</v>
      </c>
      <c r="B136" s="1">
        <v>0</v>
      </c>
      <c r="C136" s="1">
        <v>0</v>
      </c>
      <c r="D136" s="1">
        <v>0</v>
      </c>
      <c r="E136" s="1">
        <v>0</v>
      </c>
      <c r="F136" s="1">
        <v>0</v>
      </c>
      <c r="G136" s="1">
        <v>0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0.03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0.84</v>
      </c>
      <c r="AB136" s="1">
        <v>0</v>
      </c>
      <c r="AC136" s="1">
        <v>0</v>
      </c>
      <c r="AD136" s="1">
        <v>0</v>
      </c>
      <c r="AE136" s="1">
        <v>0.11</v>
      </c>
      <c r="AF136" s="1">
        <v>0</v>
      </c>
    </row>
    <row r="137" spans="1:32" s="1" customFormat="1" x14ac:dyDescent="0.25">
      <c r="A137" s="6">
        <v>27058.75</v>
      </c>
      <c r="B137" s="1">
        <v>0</v>
      </c>
      <c r="C137" s="1">
        <v>0</v>
      </c>
      <c r="D137" s="1">
        <v>0</v>
      </c>
      <c r="E137" s="1">
        <v>0</v>
      </c>
      <c r="F137" s="1">
        <v>0</v>
      </c>
      <c r="G137" s="1">
        <v>0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0.03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0.84</v>
      </c>
      <c r="AB137" s="1">
        <v>0</v>
      </c>
      <c r="AC137" s="1">
        <v>0</v>
      </c>
      <c r="AD137" s="1">
        <v>0</v>
      </c>
      <c r="AE137" s="1">
        <v>0.11</v>
      </c>
      <c r="AF137" s="1">
        <v>0</v>
      </c>
    </row>
    <row r="138" spans="1:32" s="1" customFormat="1" x14ac:dyDescent="0.25">
      <c r="A138" s="6">
        <v>27058.791666666668</v>
      </c>
      <c r="B138" s="1">
        <v>0</v>
      </c>
      <c r="C138" s="1">
        <v>0</v>
      </c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0.03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0.84</v>
      </c>
      <c r="AB138" s="1">
        <v>0</v>
      </c>
      <c r="AC138" s="1">
        <v>0</v>
      </c>
      <c r="AD138" s="1">
        <v>0</v>
      </c>
      <c r="AE138" s="1">
        <v>0.11</v>
      </c>
      <c r="AF138" s="1">
        <v>0</v>
      </c>
    </row>
    <row r="139" spans="1:32" s="1" customFormat="1" x14ac:dyDescent="0.25">
      <c r="A139" s="6">
        <v>27058.833333333332</v>
      </c>
      <c r="B139" s="1">
        <v>0</v>
      </c>
      <c r="C139" s="1">
        <v>0</v>
      </c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0.03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0.84</v>
      </c>
      <c r="AB139" s="1">
        <v>0</v>
      </c>
      <c r="AC139" s="1">
        <v>0</v>
      </c>
      <c r="AD139" s="1">
        <v>0</v>
      </c>
      <c r="AE139" s="1">
        <v>0.11</v>
      </c>
      <c r="AF139" s="1">
        <v>0</v>
      </c>
    </row>
    <row r="140" spans="1:32" s="1" customFormat="1" x14ac:dyDescent="0.25">
      <c r="A140" s="6">
        <v>27058.875</v>
      </c>
      <c r="B140" s="1">
        <v>0.2</v>
      </c>
      <c r="C140" s="1">
        <v>0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0.03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0.84</v>
      </c>
      <c r="AB140" s="1">
        <v>0</v>
      </c>
      <c r="AC140" s="1">
        <v>0</v>
      </c>
      <c r="AD140" s="1">
        <v>0</v>
      </c>
      <c r="AE140" s="1">
        <v>0.11</v>
      </c>
      <c r="AF140" s="1">
        <v>0.6</v>
      </c>
    </row>
    <row r="141" spans="1:32" s="1" customFormat="1" x14ac:dyDescent="0.25">
      <c r="A141" s="6">
        <v>27058.916666666668</v>
      </c>
      <c r="B141" s="1">
        <v>0.7</v>
      </c>
      <c r="C141" s="1">
        <v>0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0.03</v>
      </c>
      <c r="Q141" s="1">
        <v>0</v>
      </c>
      <c r="R141" s="1">
        <v>0</v>
      </c>
      <c r="S141" s="1">
        <v>1.1000000000000001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0.84</v>
      </c>
      <c r="AB141" s="1">
        <v>0</v>
      </c>
      <c r="AC141" s="1">
        <v>0</v>
      </c>
      <c r="AD141" s="1">
        <v>0</v>
      </c>
      <c r="AE141" s="1">
        <v>0.11</v>
      </c>
      <c r="AF141" s="1">
        <v>0</v>
      </c>
    </row>
    <row r="142" spans="1:32" s="1" customFormat="1" x14ac:dyDescent="0.25">
      <c r="A142" s="6">
        <v>27058.958333333332</v>
      </c>
      <c r="B142" s="1">
        <v>0.3</v>
      </c>
      <c r="C142" s="1">
        <v>0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0.03</v>
      </c>
      <c r="Q142" s="1">
        <v>0</v>
      </c>
      <c r="R142" s="1">
        <v>0</v>
      </c>
      <c r="S142" s="1">
        <v>0.1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0.16</v>
      </c>
      <c r="AA142" s="1">
        <v>0.84</v>
      </c>
      <c r="AB142" s="1">
        <v>0</v>
      </c>
      <c r="AC142" s="1">
        <v>0</v>
      </c>
      <c r="AD142" s="1">
        <v>0</v>
      </c>
      <c r="AE142" s="1">
        <v>0.11</v>
      </c>
      <c r="AF142" s="1">
        <v>0</v>
      </c>
    </row>
    <row r="143" spans="1:32" s="1" customFormat="1" x14ac:dyDescent="0.25">
      <c r="A143" s="6">
        <v>27059</v>
      </c>
      <c r="B143" s="1">
        <v>0</v>
      </c>
      <c r="C143" s="1">
        <v>0</v>
      </c>
      <c r="D143" s="1">
        <v>0</v>
      </c>
      <c r="E143" s="1">
        <v>0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0.03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0.34</v>
      </c>
      <c r="AA143" s="1">
        <v>0.84</v>
      </c>
      <c r="AB143" s="1">
        <v>0</v>
      </c>
      <c r="AC143" s="1">
        <v>0</v>
      </c>
      <c r="AD143" s="1">
        <v>0</v>
      </c>
      <c r="AE143" s="1">
        <v>0.11</v>
      </c>
      <c r="AF143" s="1">
        <v>0.1</v>
      </c>
    </row>
    <row r="144" spans="1:32" s="1" customFormat="1" x14ac:dyDescent="0.25">
      <c r="A144" s="6">
        <v>27059.041666666668</v>
      </c>
      <c r="B144" s="1">
        <v>0.2</v>
      </c>
      <c r="C144" s="1">
        <v>0</v>
      </c>
      <c r="D144" s="1">
        <v>0</v>
      </c>
      <c r="E144" s="1">
        <v>0</v>
      </c>
      <c r="F144" s="1">
        <v>0</v>
      </c>
      <c r="G144" s="1">
        <v>0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0.03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0.84</v>
      </c>
      <c r="AB144" s="1">
        <v>0</v>
      </c>
      <c r="AC144" s="1">
        <v>0</v>
      </c>
      <c r="AD144" s="1">
        <v>0</v>
      </c>
      <c r="AE144" s="1">
        <v>0.11</v>
      </c>
      <c r="AF144" s="1">
        <v>0</v>
      </c>
    </row>
    <row r="145" spans="1:32" s="1" customFormat="1" x14ac:dyDescent="0.25">
      <c r="A145" s="6">
        <v>27059.083333333332</v>
      </c>
      <c r="B145" s="1">
        <v>3.26</v>
      </c>
      <c r="C145" s="1">
        <v>0</v>
      </c>
      <c r="D145" s="1">
        <v>0</v>
      </c>
      <c r="E145" s="1">
        <v>0</v>
      </c>
      <c r="F145" s="1">
        <v>0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0.03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0.9</v>
      </c>
      <c r="AA145" s="1">
        <v>0.84</v>
      </c>
      <c r="AB145" s="1">
        <v>0</v>
      </c>
      <c r="AC145" s="1">
        <v>0</v>
      </c>
      <c r="AD145" s="1">
        <v>0</v>
      </c>
      <c r="AE145" s="1">
        <v>0</v>
      </c>
      <c r="AF145" s="1">
        <v>0</v>
      </c>
    </row>
    <row r="146" spans="1:32" s="1" customFormat="1" x14ac:dyDescent="0.25">
      <c r="A146" s="6">
        <v>27059.125</v>
      </c>
      <c r="B146" s="1">
        <v>1.34</v>
      </c>
      <c r="C146" s="1">
        <v>0</v>
      </c>
      <c r="D146" s="1">
        <v>0</v>
      </c>
      <c r="E146" s="1">
        <v>0</v>
      </c>
      <c r="F146" s="1">
        <v>0</v>
      </c>
      <c r="G146" s="1">
        <v>0.2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0.03</v>
      </c>
      <c r="Q146" s="1">
        <v>0</v>
      </c>
      <c r="R146" s="1">
        <v>0.4</v>
      </c>
      <c r="S146" s="1">
        <v>0</v>
      </c>
      <c r="T146" s="1">
        <v>0</v>
      </c>
      <c r="U146" s="1">
        <v>0.27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0.84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</row>
    <row r="147" spans="1:32" s="1" customFormat="1" x14ac:dyDescent="0.25">
      <c r="A147" s="6">
        <v>27059.166666666668</v>
      </c>
      <c r="B147" s="1">
        <v>0.12</v>
      </c>
      <c r="C147" s="1">
        <v>0</v>
      </c>
      <c r="D147" s="1">
        <v>0</v>
      </c>
      <c r="E147" s="1">
        <v>0</v>
      </c>
      <c r="F147" s="1">
        <v>0</v>
      </c>
      <c r="G147" s="1">
        <v>0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0.03</v>
      </c>
      <c r="Q147" s="1">
        <v>0</v>
      </c>
      <c r="R147" s="1">
        <v>2.2000000000000002</v>
      </c>
      <c r="S147" s="1">
        <v>0</v>
      </c>
      <c r="T147" s="1">
        <v>0</v>
      </c>
      <c r="U147" s="1">
        <v>2.84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0.84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</row>
    <row r="148" spans="1:32" s="1" customFormat="1" x14ac:dyDescent="0.25">
      <c r="A148" s="6">
        <v>27059.208333333332</v>
      </c>
      <c r="B148" s="1">
        <v>0.35</v>
      </c>
      <c r="C148" s="1">
        <v>0</v>
      </c>
      <c r="D148" s="1">
        <v>0</v>
      </c>
      <c r="E148" s="1">
        <v>0</v>
      </c>
      <c r="F148" s="1">
        <v>0</v>
      </c>
      <c r="G148" s="1">
        <v>0.2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0.03</v>
      </c>
      <c r="Q148" s="1">
        <v>0</v>
      </c>
      <c r="R148" s="1">
        <v>0.4</v>
      </c>
      <c r="S148" s="1">
        <v>0</v>
      </c>
      <c r="T148" s="1">
        <v>0</v>
      </c>
      <c r="U148" s="1">
        <v>0.02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0.84</v>
      </c>
      <c r="AB148" s="1">
        <v>0</v>
      </c>
      <c r="AC148" s="1">
        <v>0</v>
      </c>
      <c r="AD148" s="1">
        <v>0</v>
      </c>
      <c r="AE148" s="1">
        <v>1.9</v>
      </c>
      <c r="AF148" s="1">
        <v>1.08</v>
      </c>
    </row>
    <row r="149" spans="1:32" s="1" customFormat="1" x14ac:dyDescent="0.25">
      <c r="A149" s="6">
        <v>27059.25</v>
      </c>
      <c r="B149" s="1">
        <v>0.73</v>
      </c>
      <c r="C149" s="1">
        <v>0</v>
      </c>
      <c r="D149" s="1">
        <v>0</v>
      </c>
      <c r="E149" s="1">
        <v>0</v>
      </c>
      <c r="F149" s="1">
        <v>1.3</v>
      </c>
      <c r="G149" s="1">
        <v>0.2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0.03</v>
      </c>
      <c r="Q149" s="1">
        <v>0</v>
      </c>
      <c r="R149" s="1">
        <v>0</v>
      </c>
      <c r="S149" s="1">
        <v>0</v>
      </c>
      <c r="T149" s="1">
        <v>0</v>
      </c>
      <c r="U149" s="1">
        <v>0.02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0.84</v>
      </c>
      <c r="AB149" s="1">
        <v>0</v>
      </c>
      <c r="AC149" s="1">
        <v>0</v>
      </c>
      <c r="AD149" s="1">
        <v>0</v>
      </c>
      <c r="AE149" s="1">
        <v>0</v>
      </c>
      <c r="AF149" s="1">
        <v>0.22</v>
      </c>
    </row>
    <row r="150" spans="1:32" s="1" customFormat="1" x14ac:dyDescent="0.25">
      <c r="A150" s="6">
        <v>27059.291666666668</v>
      </c>
      <c r="B150" s="1">
        <v>0.14000000000000001</v>
      </c>
      <c r="C150" s="1">
        <v>0</v>
      </c>
      <c r="D150" s="1">
        <v>0</v>
      </c>
      <c r="E150" s="1">
        <v>0</v>
      </c>
      <c r="F150" s="1">
        <v>0</v>
      </c>
      <c r="G150" s="1">
        <v>0.33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0.03</v>
      </c>
      <c r="Q150" s="1">
        <v>0</v>
      </c>
      <c r="R150" s="1">
        <v>0</v>
      </c>
      <c r="S150" s="1">
        <v>0</v>
      </c>
      <c r="T150" s="1">
        <v>0</v>
      </c>
      <c r="U150" s="1">
        <v>0.02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0.84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</row>
    <row r="151" spans="1:32" s="1" customFormat="1" x14ac:dyDescent="0.25">
      <c r="A151" s="6">
        <v>27059.333333333332</v>
      </c>
      <c r="B151" s="1">
        <v>0.36</v>
      </c>
      <c r="C151" s="1">
        <v>0</v>
      </c>
      <c r="D151" s="1">
        <v>0</v>
      </c>
      <c r="E151" s="1">
        <v>0</v>
      </c>
      <c r="F151" s="1">
        <v>0</v>
      </c>
      <c r="G151" s="1">
        <v>0.28000000000000003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0.03</v>
      </c>
      <c r="Q151" s="1">
        <v>0</v>
      </c>
      <c r="R151" s="1">
        <v>0</v>
      </c>
      <c r="S151" s="1">
        <v>0</v>
      </c>
      <c r="T151" s="1">
        <v>0</v>
      </c>
      <c r="U151" s="1">
        <v>0.02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0.84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</row>
    <row r="152" spans="1:32" s="1" customFormat="1" x14ac:dyDescent="0.25">
      <c r="A152" s="6">
        <v>27059.375</v>
      </c>
      <c r="B152" s="1">
        <v>3.3</v>
      </c>
      <c r="C152" s="1">
        <v>0</v>
      </c>
      <c r="D152" s="1">
        <v>0</v>
      </c>
      <c r="E152" s="1">
        <v>0</v>
      </c>
      <c r="F152" s="1">
        <v>0</v>
      </c>
      <c r="G152" s="1">
        <v>0.56999999999999995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0.03</v>
      </c>
      <c r="Q152" s="1">
        <v>0</v>
      </c>
      <c r="R152" s="1">
        <v>0</v>
      </c>
      <c r="S152" s="1">
        <v>0</v>
      </c>
      <c r="T152" s="1">
        <v>0</v>
      </c>
      <c r="U152" s="1">
        <v>0.01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0.78</v>
      </c>
      <c r="AB152" s="1">
        <v>0</v>
      </c>
      <c r="AC152" s="1">
        <v>0</v>
      </c>
      <c r="AD152" s="1">
        <v>0</v>
      </c>
      <c r="AE152" s="1">
        <v>0</v>
      </c>
      <c r="AF152" s="1">
        <v>0</v>
      </c>
    </row>
    <row r="153" spans="1:32" s="1" customFormat="1" x14ac:dyDescent="0.25">
      <c r="A153" s="6">
        <v>27059.416666666668</v>
      </c>
      <c r="B153" s="1">
        <v>0</v>
      </c>
      <c r="C153" s="1">
        <v>0</v>
      </c>
      <c r="D153" s="1">
        <v>0</v>
      </c>
      <c r="E153" s="1">
        <v>0</v>
      </c>
      <c r="F153" s="1">
        <v>0.5</v>
      </c>
      <c r="G153" s="1">
        <v>0.03</v>
      </c>
      <c r="H153" s="1">
        <v>0</v>
      </c>
      <c r="I153" s="1">
        <v>0</v>
      </c>
      <c r="J153" s="1">
        <v>0</v>
      </c>
      <c r="K153" s="1">
        <v>0</v>
      </c>
      <c r="L153" s="1">
        <v>0.13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1.5</v>
      </c>
      <c r="AA153" s="1">
        <v>0</v>
      </c>
      <c r="AB153" s="1">
        <v>0</v>
      </c>
      <c r="AC153" s="1">
        <v>0</v>
      </c>
      <c r="AD153" s="1">
        <v>0</v>
      </c>
      <c r="AE153" s="1">
        <v>0</v>
      </c>
      <c r="AF153" s="1">
        <v>0</v>
      </c>
    </row>
    <row r="154" spans="1:32" s="1" customFormat="1" x14ac:dyDescent="0.25">
      <c r="A154" s="6">
        <v>27059.458333333332</v>
      </c>
      <c r="B154" s="1">
        <v>2.9</v>
      </c>
      <c r="C154" s="1">
        <v>0</v>
      </c>
      <c r="D154" s="1">
        <v>0</v>
      </c>
      <c r="E154" s="1">
        <v>0</v>
      </c>
      <c r="F154" s="1">
        <v>0</v>
      </c>
      <c r="G154" s="1">
        <v>0.77</v>
      </c>
      <c r="H154" s="1">
        <v>0</v>
      </c>
      <c r="I154" s="1">
        <v>0</v>
      </c>
      <c r="J154" s="1">
        <v>0</v>
      </c>
      <c r="K154" s="1">
        <v>0</v>
      </c>
      <c r="L154" s="1">
        <v>0.13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0</v>
      </c>
      <c r="AD154" s="1">
        <v>0</v>
      </c>
      <c r="AE154" s="1">
        <v>1.1000000000000001</v>
      </c>
      <c r="AF154" s="1">
        <v>1.2</v>
      </c>
    </row>
    <row r="155" spans="1:32" s="1" customFormat="1" x14ac:dyDescent="0.25">
      <c r="A155" s="6">
        <v>27059.5</v>
      </c>
      <c r="B155" s="1">
        <v>0.2</v>
      </c>
      <c r="C155" s="1">
        <v>0</v>
      </c>
      <c r="D155" s="1">
        <v>0</v>
      </c>
      <c r="E155" s="1">
        <v>0</v>
      </c>
      <c r="F155" s="1">
        <v>1.2</v>
      </c>
      <c r="G155" s="1">
        <v>0.3</v>
      </c>
      <c r="H155" s="1">
        <v>0</v>
      </c>
      <c r="I155" s="1">
        <v>0.7</v>
      </c>
      <c r="J155" s="1">
        <v>0</v>
      </c>
      <c r="K155" s="1">
        <v>0</v>
      </c>
      <c r="L155" s="1">
        <v>0.13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>
        <v>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0</v>
      </c>
      <c r="AD155" s="1">
        <v>0</v>
      </c>
      <c r="AE155" s="1">
        <v>0</v>
      </c>
      <c r="AF155" s="1">
        <v>0</v>
      </c>
    </row>
    <row r="156" spans="1:32" s="1" customFormat="1" x14ac:dyDescent="0.25">
      <c r="A156" s="6">
        <v>27059.541666666668</v>
      </c>
      <c r="B156" s="1">
        <v>1.1599999999999999</v>
      </c>
      <c r="C156" s="1">
        <v>0</v>
      </c>
      <c r="D156" s="1">
        <v>0</v>
      </c>
      <c r="E156" s="1">
        <v>0</v>
      </c>
      <c r="F156" s="1">
        <v>0</v>
      </c>
      <c r="G156" s="1">
        <v>0.03</v>
      </c>
      <c r="H156" s="1">
        <v>0</v>
      </c>
      <c r="I156" s="1">
        <v>0</v>
      </c>
      <c r="J156" s="1">
        <v>0</v>
      </c>
      <c r="K156" s="1">
        <v>0</v>
      </c>
      <c r="L156" s="1">
        <v>0.13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S156" s="1">
        <v>0</v>
      </c>
      <c r="T156" s="1">
        <v>0</v>
      </c>
      <c r="U156" s="1">
        <v>0.02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0</v>
      </c>
      <c r="AD156" s="1">
        <v>0</v>
      </c>
      <c r="AE156" s="1">
        <v>0</v>
      </c>
      <c r="AF156" s="1">
        <v>0</v>
      </c>
    </row>
    <row r="157" spans="1:32" s="1" customFormat="1" x14ac:dyDescent="0.25">
      <c r="A157" s="6">
        <v>27059.583333333332</v>
      </c>
      <c r="B157" s="1">
        <v>2.54</v>
      </c>
      <c r="C157" s="1">
        <v>0</v>
      </c>
      <c r="D157" s="1">
        <v>0</v>
      </c>
      <c r="E157" s="1">
        <v>0</v>
      </c>
      <c r="F157" s="1">
        <v>0</v>
      </c>
      <c r="G157" s="1">
        <v>0</v>
      </c>
      <c r="H157" s="1">
        <v>0</v>
      </c>
      <c r="I157" s="1">
        <v>0</v>
      </c>
      <c r="J157" s="1">
        <v>0</v>
      </c>
      <c r="K157" s="1">
        <v>0</v>
      </c>
      <c r="L157" s="1">
        <v>0.13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0</v>
      </c>
      <c r="U157" s="1">
        <v>0.08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0</v>
      </c>
      <c r="AD157" s="1">
        <v>0</v>
      </c>
      <c r="AE157" s="1">
        <v>0.9</v>
      </c>
      <c r="AF157" s="1">
        <v>0</v>
      </c>
    </row>
    <row r="158" spans="1:32" s="1" customFormat="1" x14ac:dyDescent="0.25">
      <c r="A158" s="6">
        <v>27059.625</v>
      </c>
      <c r="B158" s="1">
        <v>0</v>
      </c>
      <c r="C158" s="1">
        <v>0</v>
      </c>
      <c r="D158" s="1">
        <v>0</v>
      </c>
      <c r="E158" s="1">
        <v>0</v>
      </c>
      <c r="F158" s="1">
        <v>0</v>
      </c>
      <c r="G158" s="1">
        <v>0</v>
      </c>
      <c r="H158" s="1">
        <v>0</v>
      </c>
      <c r="I158" s="1">
        <v>0</v>
      </c>
      <c r="J158" s="1">
        <v>0</v>
      </c>
      <c r="K158" s="1">
        <v>0</v>
      </c>
      <c r="L158" s="1">
        <v>0.13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  <c r="T158" s="1">
        <v>0</v>
      </c>
      <c r="U158" s="1">
        <v>0.08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0</v>
      </c>
      <c r="AD158" s="1">
        <v>0</v>
      </c>
      <c r="AE158" s="1">
        <v>0</v>
      </c>
      <c r="AF158" s="1">
        <v>0</v>
      </c>
    </row>
    <row r="159" spans="1:32" s="1" customFormat="1" x14ac:dyDescent="0.25">
      <c r="A159" s="6">
        <v>27059.666666666668</v>
      </c>
      <c r="B159" s="1">
        <v>0.5</v>
      </c>
      <c r="C159" s="1">
        <v>0</v>
      </c>
      <c r="D159" s="1">
        <v>0</v>
      </c>
      <c r="E159" s="1">
        <v>0</v>
      </c>
      <c r="F159" s="1">
        <v>0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  <c r="L159" s="1">
        <v>0.13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0.08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0</v>
      </c>
      <c r="AD159" s="1">
        <v>0</v>
      </c>
      <c r="AE159" s="1">
        <v>0</v>
      </c>
      <c r="AF159" s="1">
        <v>0</v>
      </c>
    </row>
    <row r="160" spans="1:32" s="1" customFormat="1" x14ac:dyDescent="0.25">
      <c r="A160" s="6">
        <v>27059.708333333332</v>
      </c>
      <c r="B160" s="1">
        <v>0.32</v>
      </c>
      <c r="C160" s="1">
        <v>0</v>
      </c>
      <c r="D160" s="1">
        <v>0</v>
      </c>
      <c r="E160" s="1">
        <v>0</v>
      </c>
      <c r="F160" s="1">
        <v>0</v>
      </c>
      <c r="G160" s="1">
        <v>0</v>
      </c>
      <c r="H160" s="1">
        <v>0</v>
      </c>
      <c r="I160" s="1">
        <v>0.9</v>
      </c>
      <c r="J160" s="1">
        <v>0</v>
      </c>
      <c r="K160" s="1">
        <v>0</v>
      </c>
      <c r="L160" s="1">
        <v>0.13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0.08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0</v>
      </c>
      <c r="AD160" s="1">
        <v>0</v>
      </c>
      <c r="AE160" s="1">
        <v>0</v>
      </c>
      <c r="AF160" s="1">
        <v>0</v>
      </c>
    </row>
    <row r="161" spans="1:32" s="1" customFormat="1" x14ac:dyDescent="0.25">
      <c r="A161" s="6">
        <v>27059.75</v>
      </c>
      <c r="B161" s="1">
        <v>1.28</v>
      </c>
      <c r="C161" s="1">
        <v>0</v>
      </c>
      <c r="D161" s="1">
        <v>0</v>
      </c>
      <c r="E161" s="1">
        <v>0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L161" s="1">
        <v>0.13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U161" s="1">
        <v>0.08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0</v>
      </c>
      <c r="AD161" s="1">
        <v>0</v>
      </c>
      <c r="AE161" s="1">
        <v>0</v>
      </c>
      <c r="AF161" s="1">
        <v>0</v>
      </c>
    </row>
    <row r="162" spans="1:32" s="1" customFormat="1" x14ac:dyDescent="0.25">
      <c r="A162" s="6">
        <v>27059.791666666668</v>
      </c>
      <c r="B162" s="1">
        <v>0.54</v>
      </c>
      <c r="C162" s="1">
        <v>0</v>
      </c>
      <c r="D162" s="1">
        <v>0</v>
      </c>
      <c r="E162" s="1">
        <v>0</v>
      </c>
      <c r="F162" s="1">
        <v>0</v>
      </c>
      <c r="G162" s="1">
        <v>0</v>
      </c>
      <c r="H162" s="1">
        <v>0</v>
      </c>
      <c r="I162" s="1">
        <v>0</v>
      </c>
      <c r="J162" s="1">
        <v>0</v>
      </c>
      <c r="K162" s="1">
        <v>0</v>
      </c>
      <c r="L162" s="1">
        <v>0.13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0.05</v>
      </c>
      <c r="V162" s="1">
        <v>0</v>
      </c>
      <c r="W162" s="1">
        <v>0</v>
      </c>
      <c r="X162" s="1">
        <v>0</v>
      </c>
      <c r="Y162" s="1">
        <v>0</v>
      </c>
      <c r="Z162" s="1">
        <v>0.3</v>
      </c>
      <c r="AA162" s="1">
        <v>0</v>
      </c>
      <c r="AB162" s="1">
        <v>0</v>
      </c>
      <c r="AC162" s="1">
        <v>0</v>
      </c>
      <c r="AD162" s="1">
        <v>0</v>
      </c>
      <c r="AE162" s="1">
        <v>2.16</v>
      </c>
      <c r="AF162" s="1">
        <v>0</v>
      </c>
    </row>
    <row r="163" spans="1:32" s="1" customFormat="1" x14ac:dyDescent="0.25">
      <c r="A163" s="6">
        <v>27059.833333333332</v>
      </c>
      <c r="B163" s="1">
        <v>0.36</v>
      </c>
      <c r="C163" s="1">
        <v>0</v>
      </c>
      <c r="D163" s="1">
        <v>0</v>
      </c>
      <c r="E163" s="1">
        <v>0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L163" s="1">
        <v>0.13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0</v>
      </c>
      <c r="AD163" s="1">
        <v>0</v>
      </c>
      <c r="AE163" s="1">
        <v>0.24</v>
      </c>
      <c r="AF163" s="1">
        <v>0.2</v>
      </c>
    </row>
    <row r="164" spans="1:32" x14ac:dyDescent="0.25">
      <c r="A164" s="6">
        <v>27059.875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0.13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0.5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</row>
    <row r="165" spans="1:32" x14ac:dyDescent="0.25">
      <c r="A165" s="6">
        <v>27059.916666666668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0.13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0.2</v>
      </c>
      <c r="AA165">
        <v>0</v>
      </c>
      <c r="AB165">
        <v>0</v>
      </c>
      <c r="AC165">
        <v>0</v>
      </c>
      <c r="AD165">
        <v>0</v>
      </c>
      <c r="AE165">
        <v>0.5</v>
      </c>
      <c r="AF165">
        <v>0.37</v>
      </c>
    </row>
    <row r="166" spans="1:32" x14ac:dyDescent="0.25">
      <c r="A166" s="6">
        <v>27059.958333333332</v>
      </c>
      <c r="B166">
        <v>0.9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0.13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0.26</v>
      </c>
      <c r="V166">
        <v>0</v>
      </c>
      <c r="W166">
        <v>0</v>
      </c>
      <c r="X166">
        <v>0</v>
      </c>
      <c r="Y166">
        <v>0</v>
      </c>
      <c r="Z166">
        <v>0.3</v>
      </c>
      <c r="AA166">
        <v>0.05</v>
      </c>
      <c r="AB166">
        <v>0.5</v>
      </c>
      <c r="AC166">
        <v>0</v>
      </c>
      <c r="AD166">
        <v>0</v>
      </c>
      <c r="AE166">
        <v>1.1000000000000001</v>
      </c>
      <c r="AF166">
        <v>0.53</v>
      </c>
    </row>
    <row r="167" spans="1:32" x14ac:dyDescent="0.25">
      <c r="A167" s="6">
        <v>27060</v>
      </c>
      <c r="B167">
        <v>0</v>
      </c>
      <c r="C167">
        <v>0</v>
      </c>
      <c r="D167">
        <v>0</v>
      </c>
      <c r="E167">
        <v>0</v>
      </c>
      <c r="F167">
        <v>0.4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0.13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1.34</v>
      </c>
      <c r="V167">
        <v>0</v>
      </c>
      <c r="W167">
        <v>0</v>
      </c>
      <c r="X167">
        <v>0</v>
      </c>
      <c r="Y167">
        <v>0</v>
      </c>
      <c r="Z167">
        <v>4.6900000000000004</v>
      </c>
      <c r="AA167">
        <v>5.45</v>
      </c>
      <c r="AB167">
        <v>4.0999999999999996</v>
      </c>
      <c r="AC167">
        <v>0</v>
      </c>
      <c r="AD167">
        <v>0</v>
      </c>
      <c r="AE167">
        <v>1.0900000000000001</v>
      </c>
      <c r="AF167">
        <v>0</v>
      </c>
    </row>
    <row r="168" spans="1:32" x14ac:dyDescent="0.25">
      <c r="A168" s="6">
        <v>27060.041666666668</v>
      </c>
      <c r="B168">
        <v>1.02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0.13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4.0199999999999996</v>
      </c>
      <c r="V168">
        <v>0</v>
      </c>
      <c r="W168">
        <v>0</v>
      </c>
      <c r="X168">
        <v>0</v>
      </c>
      <c r="Y168">
        <v>0</v>
      </c>
      <c r="Z168">
        <v>0.01</v>
      </c>
      <c r="AA168">
        <v>0</v>
      </c>
      <c r="AB168">
        <v>0</v>
      </c>
      <c r="AC168">
        <v>0</v>
      </c>
      <c r="AD168">
        <v>0</v>
      </c>
      <c r="AE168">
        <v>0.01</v>
      </c>
      <c r="AF168">
        <v>0.4</v>
      </c>
    </row>
    <row r="169" spans="1:32" x14ac:dyDescent="0.25">
      <c r="A169" s="6">
        <v>27060.083333333332</v>
      </c>
      <c r="B169">
        <v>0.38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0.13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0.11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</row>
    <row r="170" spans="1:32" x14ac:dyDescent="0.25">
      <c r="A170" s="6">
        <v>27060.125</v>
      </c>
      <c r="B170">
        <v>0.3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2</v>
      </c>
      <c r="J170">
        <v>0</v>
      </c>
      <c r="K170">
        <v>0</v>
      </c>
      <c r="L170">
        <v>0.13</v>
      </c>
      <c r="M170">
        <v>0</v>
      </c>
      <c r="N170">
        <v>0</v>
      </c>
      <c r="O170">
        <v>0</v>
      </c>
      <c r="P170">
        <v>1.4</v>
      </c>
      <c r="Q170">
        <v>0</v>
      </c>
      <c r="R170">
        <v>0</v>
      </c>
      <c r="S170">
        <v>0</v>
      </c>
      <c r="T170">
        <v>0</v>
      </c>
      <c r="U170">
        <v>0.08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</row>
    <row r="171" spans="1:32" x14ac:dyDescent="0.25">
      <c r="A171" s="6">
        <v>27060.166666666668</v>
      </c>
      <c r="B171">
        <v>1.3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0.2</v>
      </c>
      <c r="J171">
        <v>0</v>
      </c>
      <c r="K171">
        <v>0</v>
      </c>
      <c r="L171">
        <v>0.13</v>
      </c>
      <c r="M171">
        <v>0</v>
      </c>
      <c r="N171">
        <v>0</v>
      </c>
      <c r="O171">
        <v>0</v>
      </c>
      <c r="P171">
        <v>2.1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</row>
    <row r="172" spans="1:32" x14ac:dyDescent="0.25">
      <c r="A172" s="6">
        <v>27060.208333333332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0.4</v>
      </c>
      <c r="J172">
        <v>0</v>
      </c>
      <c r="K172">
        <v>0</v>
      </c>
      <c r="L172">
        <v>0.13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</row>
    <row r="173" spans="1:32" x14ac:dyDescent="0.25">
      <c r="A173" s="6">
        <v>27060.25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0.13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0.3</v>
      </c>
    </row>
    <row r="174" spans="1:32" x14ac:dyDescent="0.25">
      <c r="A174" s="6">
        <v>27060.291666666668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0.13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</row>
    <row r="175" spans="1:32" x14ac:dyDescent="0.25">
      <c r="A175" s="6">
        <v>27060.333333333332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0.13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</row>
    <row r="176" spans="1:32" x14ac:dyDescent="0.25">
      <c r="A176" s="6">
        <v>27060.375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0.2</v>
      </c>
      <c r="H176">
        <v>0</v>
      </c>
      <c r="I176">
        <v>0</v>
      </c>
      <c r="J176">
        <v>0</v>
      </c>
      <c r="K176">
        <v>0</v>
      </c>
      <c r="L176">
        <v>0.13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3.8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</row>
    <row r="177" spans="1:32" x14ac:dyDescent="0.25">
      <c r="A177" s="6">
        <v>27060.416666666668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1.9</v>
      </c>
      <c r="AA177">
        <v>2.2999999999999998</v>
      </c>
      <c r="AB177">
        <v>1.5</v>
      </c>
      <c r="AC177">
        <v>0</v>
      </c>
      <c r="AD177">
        <v>0</v>
      </c>
      <c r="AE177">
        <v>0</v>
      </c>
      <c r="AF177">
        <v>0</v>
      </c>
    </row>
    <row r="178" spans="1:32" x14ac:dyDescent="0.25">
      <c r="A178" s="6">
        <v>27060.458333333332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0.2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6.69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5</v>
      </c>
      <c r="AF178">
        <v>2.52</v>
      </c>
    </row>
    <row r="179" spans="1:32" x14ac:dyDescent="0.25">
      <c r="A179" s="6">
        <v>27060.5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0.25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0.11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0.38</v>
      </c>
    </row>
    <row r="180" spans="1:32" x14ac:dyDescent="0.25">
      <c r="A180" s="6">
        <v>27060.541666666668</v>
      </c>
      <c r="B180">
        <v>0</v>
      </c>
      <c r="C180">
        <v>0</v>
      </c>
      <c r="D180">
        <v>0</v>
      </c>
      <c r="E180">
        <v>0</v>
      </c>
      <c r="F180">
        <v>0.7</v>
      </c>
      <c r="G180">
        <v>0.52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1.18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</row>
    <row r="181" spans="1:32" x14ac:dyDescent="0.25">
      <c r="A181" s="6">
        <v>27060.583333333332</v>
      </c>
      <c r="B181">
        <v>0</v>
      </c>
      <c r="C181">
        <v>0</v>
      </c>
      <c r="D181">
        <v>0</v>
      </c>
      <c r="E181">
        <v>0</v>
      </c>
      <c r="F181">
        <v>0.3</v>
      </c>
      <c r="G181">
        <v>0.82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0.02</v>
      </c>
      <c r="Q181">
        <v>0</v>
      </c>
      <c r="R181">
        <v>0</v>
      </c>
      <c r="S181">
        <v>3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0.3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0.4</v>
      </c>
    </row>
    <row r="182" spans="1:32" x14ac:dyDescent="0.25">
      <c r="A182" s="6">
        <v>27060.625</v>
      </c>
      <c r="B182">
        <v>0.6</v>
      </c>
      <c r="C182">
        <v>0</v>
      </c>
      <c r="D182">
        <v>0</v>
      </c>
      <c r="E182">
        <v>0</v>
      </c>
      <c r="F182">
        <v>1.04</v>
      </c>
      <c r="G182">
        <v>0.72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0.3</v>
      </c>
      <c r="V182">
        <v>0</v>
      </c>
      <c r="W182">
        <v>0</v>
      </c>
      <c r="X182">
        <v>0</v>
      </c>
      <c r="Y182">
        <v>0</v>
      </c>
      <c r="Z182">
        <v>1.2</v>
      </c>
      <c r="AA182">
        <v>16.760000000000002</v>
      </c>
      <c r="AB182">
        <v>5.9</v>
      </c>
      <c r="AC182">
        <v>0</v>
      </c>
      <c r="AD182">
        <v>0</v>
      </c>
      <c r="AE182">
        <v>0</v>
      </c>
      <c r="AF182">
        <v>0</v>
      </c>
    </row>
    <row r="183" spans="1:32" x14ac:dyDescent="0.25">
      <c r="A183" s="6">
        <v>27060.666666666668</v>
      </c>
      <c r="B183">
        <v>0.6</v>
      </c>
      <c r="C183">
        <v>0</v>
      </c>
      <c r="D183">
        <v>0</v>
      </c>
      <c r="E183">
        <v>0</v>
      </c>
      <c r="F183">
        <v>7.12</v>
      </c>
      <c r="G183">
        <v>0.47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0.3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0.34</v>
      </c>
      <c r="AB183">
        <v>0.2</v>
      </c>
      <c r="AC183">
        <v>0</v>
      </c>
      <c r="AD183">
        <v>0</v>
      </c>
      <c r="AE183">
        <v>0</v>
      </c>
      <c r="AF183">
        <v>0</v>
      </c>
    </row>
    <row r="184" spans="1:32" x14ac:dyDescent="0.25">
      <c r="A184" s="6">
        <v>27060.708333333332</v>
      </c>
      <c r="B184">
        <v>0</v>
      </c>
      <c r="C184">
        <v>0</v>
      </c>
      <c r="D184">
        <v>0</v>
      </c>
      <c r="E184">
        <v>0</v>
      </c>
      <c r="F184">
        <v>2.34</v>
      </c>
      <c r="G184">
        <v>0.98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</row>
    <row r="185" spans="1:32" x14ac:dyDescent="0.25">
      <c r="A185" s="6">
        <v>27060.75</v>
      </c>
      <c r="B185">
        <v>7.6</v>
      </c>
      <c r="C185">
        <v>0</v>
      </c>
      <c r="D185">
        <v>0</v>
      </c>
      <c r="E185">
        <v>0</v>
      </c>
      <c r="F185">
        <v>0.2</v>
      </c>
      <c r="G185">
        <v>2.1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0.6</v>
      </c>
      <c r="AB185">
        <v>0</v>
      </c>
      <c r="AC185">
        <v>0</v>
      </c>
      <c r="AD185">
        <v>0</v>
      </c>
      <c r="AE185">
        <v>0</v>
      </c>
      <c r="AF185">
        <v>0</v>
      </c>
    </row>
    <row r="186" spans="1:32" x14ac:dyDescent="0.25">
      <c r="A186" s="6">
        <v>27060.791666666668</v>
      </c>
      <c r="B186">
        <v>0</v>
      </c>
      <c r="C186">
        <v>0</v>
      </c>
      <c r="D186">
        <v>0</v>
      </c>
      <c r="E186">
        <v>0</v>
      </c>
      <c r="F186">
        <v>0.67</v>
      </c>
      <c r="G186">
        <v>1.56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0.3</v>
      </c>
      <c r="AB186">
        <v>0</v>
      </c>
      <c r="AC186">
        <v>0</v>
      </c>
      <c r="AD186">
        <v>0</v>
      </c>
      <c r="AE186">
        <v>0</v>
      </c>
      <c r="AF186">
        <v>0.15</v>
      </c>
    </row>
    <row r="187" spans="1:32" x14ac:dyDescent="0.25">
      <c r="A187" s="6">
        <v>27060.833333333332</v>
      </c>
      <c r="B187">
        <v>0</v>
      </c>
      <c r="C187">
        <v>0</v>
      </c>
      <c r="D187">
        <v>0</v>
      </c>
      <c r="E187">
        <v>0</v>
      </c>
      <c r="F187">
        <v>0.63</v>
      </c>
      <c r="G187">
        <v>0.26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0.3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0.16</v>
      </c>
    </row>
    <row r="188" spans="1:32" x14ac:dyDescent="0.25">
      <c r="A188" s="6">
        <v>27060.875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7.0000000000000007E-2</v>
      </c>
      <c r="AC188">
        <v>0</v>
      </c>
      <c r="AD188">
        <v>0</v>
      </c>
      <c r="AE188">
        <v>0</v>
      </c>
      <c r="AF188">
        <v>0.19</v>
      </c>
    </row>
    <row r="189" spans="1:32" x14ac:dyDescent="0.25">
      <c r="A189" s="6">
        <v>27060.916666666668</v>
      </c>
      <c r="B189">
        <v>0.2</v>
      </c>
      <c r="C189">
        <v>0</v>
      </c>
      <c r="D189">
        <v>0</v>
      </c>
      <c r="E189">
        <v>0</v>
      </c>
      <c r="F189">
        <v>0</v>
      </c>
      <c r="G189">
        <v>0.1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0.43</v>
      </c>
      <c r="AC189">
        <v>0</v>
      </c>
      <c r="AD189">
        <v>0</v>
      </c>
      <c r="AE189">
        <v>0</v>
      </c>
      <c r="AF189">
        <v>0.5</v>
      </c>
    </row>
    <row r="190" spans="1:32" x14ac:dyDescent="0.25">
      <c r="A190" s="6">
        <v>27060.958333333332</v>
      </c>
      <c r="B190">
        <v>0.7</v>
      </c>
      <c r="C190">
        <v>0</v>
      </c>
      <c r="D190">
        <v>0</v>
      </c>
      <c r="E190">
        <v>0</v>
      </c>
      <c r="F190">
        <v>0</v>
      </c>
      <c r="G190">
        <v>0.2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0.2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</row>
    <row r="191" spans="1:32" x14ac:dyDescent="0.25">
      <c r="A191" s="6">
        <v>27061</v>
      </c>
      <c r="B191">
        <v>1</v>
      </c>
      <c r="C191">
        <v>0</v>
      </c>
      <c r="D191">
        <v>0</v>
      </c>
      <c r="E191">
        <v>0</v>
      </c>
      <c r="F191">
        <v>1</v>
      </c>
      <c r="G191">
        <v>1</v>
      </c>
      <c r="H191">
        <v>0</v>
      </c>
      <c r="I191">
        <v>1</v>
      </c>
      <c r="J191">
        <v>0</v>
      </c>
      <c r="K191">
        <v>0</v>
      </c>
      <c r="L191">
        <v>0</v>
      </c>
      <c r="M191">
        <v>0</v>
      </c>
      <c r="N191">
        <v>1</v>
      </c>
      <c r="O191">
        <v>0</v>
      </c>
      <c r="P191">
        <v>1</v>
      </c>
      <c r="Q191">
        <v>0</v>
      </c>
      <c r="R191">
        <v>1</v>
      </c>
      <c r="S191">
        <v>1</v>
      </c>
      <c r="T191">
        <v>0</v>
      </c>
      <c r="U191">
        <v>1</v>
      </c>
      <c r="V191">
        <v>0</v>
      </c>
      <c r="W191">
        <v>0</v>
      </c>
      <c r="X191">
        <v>0</v>
      </c>
      <c r="Y191">
        <v>0</v>
      </c>
      <c r="Z191">
        <v>1</v>
      </c>
      <c r="AA191">
        <v>1</v>
      </c>
      <c r="AB191">
        <v>1.3</v>
      </c>
      <c r="AC191">
        <v>0</v>
      </c>
      <c r="AD191">
        <v>0</v>
      </c>
      <c r="AE191">
        <v>2.2999999999999998</v>
      </c>
      <c r="AF191">
        <v>1</v>
      </c>
    </row>
    <row r="192" spans="1:32" x14ac:dyDescent="0.25">
      <c r="A192" s="6">
        <v>27061.041666666668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3.6</v>
      </c>
      <c r="AC192">
        <v>0</v>
      </c>
      <c r="AD192">
        <v>0</v>
      </c>
      <c r="AE192">
        <v>0.7</v>
      </c>
      <c r="AF192">
        <v>0</v>
      </c>
    </row>
    <row r="193" spans="1:32" x14ac:dyDescent="0.25">
      <c r="A193" s="6">
        <v>27061.083333333332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</row>
    <row r="194" spans="1:32" x14ac:dyDescent="0.25">
      <c r="A194" s="6">
        <v>27061.125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0.8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</row>
    <row r="195" spans="1:32" x14ac:dyDescent="0.25">
      <c r="A195" s="6">
        <v>27061.166666666668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0.04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</row>
    <row r="196" spans="1:32" x14ac:dyDescent="0.25">
      <c r="A196" s="6">
        <v>27061.208333333332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0.04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</row>
    <row r="197" spans="1:32" x14ac:dyDescent="0.25">
      <c r="A197" s="6">
        <v>27061.25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0.04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</row>
    <row r="198" spans="1:32" x14ac:dyDescent="0.25">
      <c r="A198" s="6">
        <v>27061.291666666668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0.04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</row>
    <row r="199" spans="1:32" x14ac:dyDescent="0.25">
      <c r="A199" s="6">
        <v>27061.333333333332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0.04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</row>
    <row r="200" spans="1:32" x14ac:dyDescent="0.25">
      <c r="A200" s="6">
        <v>27061.375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</row>
    <row r="201" spans="1:32" x14ac:dyDescent="0.25">
      <c r="A201" s="6"/>
    </row>
    <row r="202" spans="1:32" x14ac:dyDescent="0.25">
      <c r="A202" s="6"/>
    </row>
    <row r="203" spans="1:32" x14ac:dyDescent="0.25">
      <c r="A203" s="6"/>
    </row>
    <row r="204" spans="1:32" x14ac:dyDescent="0.25">
      <c r="A204" s="6"/>
    </row>
    <row r="205" spans="1:32" x14ac:dyDescent="0.25">
      <c r="A205" s="6"/>
    </row>
    <row r="206" spans="1:32" x14ac:dyDescent="0.25">
      <c r="A206" s="6"/>
    </row>
    <row r="207" spans="1:32" x14ac:dyDescent="0.25">
      <c r="A207" s="6"/>
    </row>
    <row r="208" spans="1:32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9" x14ac:dyDescent="0.25">
      <c r="A385" s="6"/>
    </row>
    <row r="386" spans="1:9" x14ac:dyDescent="0.25">
      <c r="A386" s="6"/>
    </row>
    <row r="387" spans="1:9" x14ac:dyDescent="0.25">
      <c r="A387" s="6"/>
      <c r="F387" s="1"/>
      <c r="G387" s="1"/>
      <c r="H387" s="1"/>
      <c r="I387" s="1"/>
    </row>
    <row r="388" spans="1:9" x14ac:dyDescent="0.25">
      <c r="A388" s="6"/>
      <c r="F388" s="1"/>
      <c r="G388" s="1"/>
      <c r="H388" s="1"/>
      <c r="I388" s="1"/>
    </row>
    <row r="389" spans="1:9" x14ac:dyDescent="0.25">
      <c r="A389" s="6"/>
      <c r="F389" s="1"/>
      <c r="G389" s="1"/>
      <c r="H389" s="1"/>
      <c r="I389" s="1"/>
    </row>
    <row r="390" spans="1:9" x14ac:dyDescent="0.25">
      <c r="A390" s="6"/>
      <c r="F390" s="1"/>
      <c r="G390" s="1"/>
      <c r="H390" s="1"/>
      <c r="I390" s="1"/>
    </row>
    <row r="391" spans="1:9" x14ac:dyDescent="0.25">
      <c r="A391" s="6"/>
      <c r="F391" s="1"/>
      <c r="G391" s="1"/>
      <c r="H391" s="1"/>
      <c r="I391" s="1"/>
    </row>
    <row r="392" spans="1:9" x14ac:dyDescent="0.25">
      <c r="A392" s="6"/>
      <c r="F392" s="1"/>
      <c r="G392" s="1"/>
      <c r="H392" s="1"/>
      <c r="I392" s="1"/>
    </row>
    <row r="393" spans="1:9" x14ac:dyDescent="0.25">
      <c r="A393" s="6"/>
      <c r="F393" s="1"/>
      <c r="G393" s="1"/>
      <c r="H393" s="1"/>
      <c r="I393" s="1"/>
    </row>
    <row r="394" spans="1:9" x14ac:dyDescent="0.25">
      <c r="A394" s="6"/>
      <c r="F394" s="1"/>
      <c r="G394" s="1"/>
      <c r="H394" s="1"/>
      <c r="I394" s="1"/>
    </row>
    <row r="395" spans="1:9" x14ac:dyDescent="0.25">
      <c r="A395" s="6"/>
      <c r="F395" s="1"/>
      <c r="G395" s="1"/>
      <c r="H395" s="1"/>
      <c r="I395" s="1"/>
    </row>
    <row r="396" spans="1:9" x14ac:dyDescent="0.25">
      <c r="A396" s="6"/>
      <c r="F396" s="1"/>
      <c r="G396" s="1"/>
      <c r="H396" s="1"/>
      <c r="I396" s="1"/>
    </row>
    <row r="397" spans="1:9" x14ac:dyDescent="0.25">
      <c r="A397" s="6"/>
      <c r="F397" s="1"/>
      <c r="G397" s="1"/>
      <c r="H397" s="1"/>
      <c r="I397" s="1"/>
    </row>
    <row r="398" spans="1:9" x14ac:dyDescent="0.25">
      <c r="A398" s="6"/>
      <c r="F398" s="1"/>
      <c r="G398" s="1"/>
      <c r="H398" s="1"/>
      <c r="I398" s="1"/>
    </row>
    <row r="399" spans="1:9" x14ac:dyDescent="0.25">
      <c r="A399" s="6"/>
      <c r="F399" s="1"/>
      <c r="G399" s="1"/>
      <c r="H399" s="1"/>
      <c r="I399" s="1"/>
    </row>
    <row r="400" spans="1:9" x14ac:dyDescent="0.25">
      <c r="A400" s="6"/>
      <c r="F400" s="1"/>
      <c r="G400" s="1"/>
      <c r="H400" s="1"/>
      <c r="I400" s="1"/>
    </row>
    <row r="401" spans="1:9" x14ac:dyDescent="0.25">
      <c r="A401" s="6"/>
      <c r="F401" s="1"/>
      <c r="G401" s="1"/>
      <c r="H401" s="1"/>
      <c r="I401" s="1"/>
    </row>
    <row r="402" spans="1:9" x14ac:dyDescent="0.25">
      <c r="A402" s="6"/>
      <c r="F402" s="1"/>
      <c r="G402" s="1"/>
      <c r="H402" s="1"/>
      <c r="I402" s="1"/>
    </row>
    <row r="403" spans="1:9" x14ac:dyDescent="0.25">
      <c r="A403" s="6"/>
      <c r="F403" s="1"/>
      <c r="G403" s="1"/>
      <c r="H403" s="1"/>
      <c r="I403" s="1"/>
    </row>
    <row r="404" spans="1:9" x14ac:dyDescent="0.25">
      <c r="A404" s="6"/>
      <c r="F404" s="1"/>
      <c r="G404" s="1"/>
      <c r="H404" s="1"/>
      <c r="I404" s="1"/>
    </row>
    <row r="405" spans="1:9" x14ac:dyDescent="0.25">
      <c r="A405" s="6"/>
      <c r="F405" s="1"/>
      <c r="G405" s="1"/>
      <c r="H405" s="1"/>
      <c r="I405" s="1"/>
    </row>
    <row r="406" spans="1:9" x14ac:dyDescent="0.25">
      <c r="A406" s="6"/>
      <c r="F406" s="1"/>
      <c r="G406" s="1"/>
      <c r="H406" s="1"/>
      <c r="I406" s="1"/>
    </row>
    <row r="407" spans="1:9" x14ac:dyDescent="0.25">
      <c r="A407" s="6"/>
      <c r="F407" s="1"/>
      <c r="G407" s="1"/>
      <c r="H407" s="1"/>
      <c r="I407" s="1"/>
    </row>
    <row r="408" spans="1:9" x14ac:dyDescent="0.25">
      <c r="A408" s="6"/>
      <c r="F408" s="1"/>
      <c r="G408" s="1"/>
      <c r="H408" s="1"/>
      <c r="I408" s="1"/>
    </row>
    <row r="409" spans="1:9" x14ac:dyDescent="0.25">
      <c r="A409" s="6"/>
      <c r="F409" s="1"/>
      <c r="G409" s="1"/>
      <c r="H409" s="1"/>
      <c r="I409" s="1"/>
    </row>
    <row r="410" spans="1:9" x14ac:dyDescent="0.25">
      <c r="A410" s="6"/>
      <c r="F410" s="1"/>
      <c r="G410" s="1"/>
      <c r="H410" s="1"/>
      <c r="I410" s="1"/>
    </row>
    <row r="411" spans="1:9" x14ac:dyDescent="0.25">
      <c r="A411" s="6"/>
      <c r="F411" s="1"/>
      <c r="G411" s="1"/>
      <c r="H411" s="1"/>
      <c r="I411" s="1"/>
    </row>
    <row r="412" spans="1:9" x14ac:dyDescent="0.25">
      <c r="A412" s="6"/>
      <c r="F412" s="1"/>
      <c r="G412" s="1"/>
      <c r="H412" s="1"/>
      <c r="I412" s="1"/>
    </row>
    <row r="413" spans="1:9" x14ac:dyDescent="0.25">
      <c r="A413" s="6"/>
      <c r="F413" s="1"/>
      <c r="G413" s="1"/>
      <c r="H413" s="1"/>
      <c r="I413" s="1"/>
    </row>
    <row r="414" spans="1:9" x14ac:dyDescent="0.25">
      <c r="A414" s="6"/>
      <c r="F414" s="1"/>
      <c r="G414" s="1"/>
      <c r="H414" s="1"/>
      <c r="I414" s="1"/>
    </row>
    <row r="415" spans="1:9" x14ac:dyDescent="0.25">
      <c r="A415" s="6"/>
      <c r="F415" s="1"/>
      <c r="G415" s="1"/>
      <c r="H415" s="1"/>
      <c r="I415" s="1"/>
    </row>
    <row r="416" spans="1:9" x14ac:dyDescent="0.25">
      <c r="A416" s="6"/>
      <c r="F416" s="1"/>
      <c r="G416" s="1"/>
      <c r="H416" s="1"/>
      <c r="I416" s="1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  <row r="674" spans="1:1" x14ac:dyDescent="0.25">
      <c r="A674" s="6"/>
    </row>
    <row r="675" spans="1:1" x14ac:dyDescent="0.25">
      <c r="A675" s="6"/>
    </row>
    <row r="676" spans="1:1" x14ac:dyDescent="0.25">
      <c r="A676" s="6"/>
    </row>
    <row r="677" spans="1:1" x14ac:dyDescent="0.25">
      <c r="A677" s="6"/>
    </row>
    <row r="678" spans="1:1" x14ac:dyDescent="0.25">
      <c r="A678" s="6"/>
    </row>
    <row r="679" spans="1:1" x14ac:dyDescent="0.25">
      <c r="A679" s="6"/>
    </row>
    <row r="680" spans="1:1" x14ac:dyDescent="0.25">
      <c r="A680" s="6"/>
    </row>
    <row r="681" spans="1:1" x14ac:dyDescent="0.25">
      <c r="A681" s="6"/>
    </row>
    <row r="682" spans="1:1" x14ac:dyDescent="0.25">
      <c r="A682" s="6"/>
    </row>
    <row r="683" spans="1:1" x14ac:dyDescent="0.25">
      <c r="A683" s="6"/>
    </row>
    <row r="684" spans="1:1" x14ac:dyDescent="0.25">
      <c r="A684" s="6"/>
    </row>
    <row r="685" spans="1:1" x14ac:dyDescent="0.25">
      <c r="A685" s="6"/>
    </row>
    <row r="686" spans="1:1" x14ac:dyDescent="0.25">
      <c r="A686" s="6"/>
    </row>
    <row r="687" spans="1:1" x14ac:dyDescent="0.25">
      <c r="A687" s="6"/>
    </row>
    <row r="688" spans="1:1" x14ac:dyDescent="0.25">
      <c r="A688" s="6"/>
    </row>
    <row r="689" spans="1:1" x14ac:dyDescent="0.25">
      <c r="A689" s="6"/>
    </row>
    <row r="690" spans="1:1" x14ac:dyDescent="0.25">
      <c r="A690" s="6"/>
    </row>
    <row r="691" spans="1:1" x14ac:dyDescent="0.25">
      <c r="A691" s="6"/>
    </row>
    <row r="692" spans="1:1" x14ac:dyDescent="0.25">
      <c r="A692" s="6"/>
    </row>
    <row r="693" spans="1:1" x14ac:dyDescent="0.25">
      <c r="A693" s="6"/>
    </row>
    <row r="694" spans="1:1" x14ac:dyDescent="0.25">
      <c r="A694" s="6"/>
    </row>
    <row r="695" spans="1:1" x14ac:dyDescent="0.25">
      <c r="A695" s="6"/>
    </row>
    <row r="696" spans="1:1" x14ac:dyDescent="0.25">
      <c r="A696" s="6"/>
    </row>
    <row r="697" spans="1:1" x14ac:dyDescent="0.25">
      <c r="A697" s="6"/>
    </row>
    <row r="698" spans="1:1" x14ac:dyDescent="0.25">
      <c r="A698" s="6"/>
    </row>
    <row r="699" spans="1:1" x14ac:dyDescent="0.25">
      <c r="A699" s="6"/>
    </row>
    <row r="700" spans="1:1" x14ac:dyDescent="0.25">
      <c r="A700" s="6"/>
    </row>
    <row r="701" spans="1:1" x14ac:dyDescent="0.25">
      <c r="A701" s="6"/>
    </row>
    <row r="702" spans="1:1" x14ac:dyDescent="0.25">
      <c r="A702" s="6"/>
    </row>
    <row r="703" spans="1:1" x14ac:dyDescent="0.25">
      <c r="A703" s="6"/>
    </row>
    <row r="704" spans="1:1" x14ac:dyDescent="0.25">
      <c r="A704" s="6"/>
    </row>
    <row r="705" spans="1:1" x14ac:dyDescent="0.25">
      <c r="A705" s="6"/>
    </row>
    <row r="706" spans="1:1" x14ac:dyDescent="0.25">
      <c r="A706" s="6"/>
    </row>
    <row r="707" spans="1:1" x14ac:dyDescent="0.25">
      <c r="A707" s="6"/>
    </row>
    <row r="708" spans="1:1" x14ac:dyDescent="0.25">
      <c r="A708" s="6"/>
    </row>
    <row r="709" spans="1:1" x14ac:dyDescent="0.25">
      <c r="A709" s="6"/>
    </row>
    <row r="710" spans="1:1" x14ac:dyDescent="0.25">
      <c r="A710" s="6"/>
    </row>
    <row r="711" spans="1:1" x14ac:dyDescent="0.25">
      <c r="A711" s="6"/>
    </row>
    <row r="712" spans="1:1" x14ac:dyDescent="0.25">
      <c r="A712" s="6"/>
    </row>
    <row r="713" spans="1:1" x14ac:dyDescent="0.25">
      <c r="A713" s="6"/>
    </row>
    <row r="714" spans="1:1" x14ac:dyDescent="0.25">
      <c r="A714" s="6"/>
    </row>
    <row r="715" spans="1:1" x14ac:dyDescent="0.25">
      <c r="A715" s="6"/>
    </row>
    <row r="716" spans="1:1" x14ac:dyDescent="0.25">
      <c r="A716" s="6"/>
    </row>
    <row r="717" spans="1:1" x14ac:dyDescent="0.25">
      <c r="A717" s="6"/>
    </row>
    <row r="718" spans="1:1" x14ac:dyDescent="0.25">
      <c r="A718" s="6"/>
    </row>
    <row r="719" spans="1:1" x14ac:dyDescent="0.25">
      <c r="A719" s="6"/>
    </row>
    <row r="720" spans="1:1" x14ac:dyDescent="0.25">
      <c r="A720" s="6"/>
    </row>
    <row r="721" spans="1:1" x14ac:dyDescent="0.25">
      <c r="A721" s="6"/>
    </row>
    <row r="722" spans="1:1" x14ac:dyDescent="0.25">
      <c r="A722" s="6"/>
    </row>
    <row r="723" spans="1:1" x14ac:dyDescent="0.25">
      <c r="A723" s="6"/>
    </row>
    <row r="724" spans="1:1" x14ac:dyDescent="0.25">
      <c r="A724" s="6"/>
    </row>
    <row r="725" spans="1:1" x14ac:dyDescent="0.25">
      <c r="A725" s="6"/>
    </row>
    <row r="726" spans="1:1" x14ac:dyDescent="0.25">
      <c r="A726" s="6"/>
    </row>
    <row r="727" spans="1:1" x14ac:dyDescent="0.25">
      <c r="A727" s="6"/>
    </row>
    <row r="728" spans="1:1" x14ac:dyDescent="0.25">
      <c r="A728" s="6"/>
    </row>
    <row r="729" spans="1:1" x14ac:dyDescent="0.25">
      <c r="A729" s="6"/>
    </row>
    <row r="730" spans="1:1" x14ac:dyDescent="0.25">
      <c r="A730" s="6"/>
    </row>
    <row r="731" spans="1:1" x14ac:dyDescent="0.25">
      <c r="A731" s="6"/>
    </row>
    <row r="732" spans="1:1" x14ac:dyDescent="0.25">
      <c r="A732" s="6"/>
    </row>
    <row r="733" spans="1:1" x14ac:dyDescent="0.25">
      <c r="A733" s="6"/>
    </row>
    <row r="734" spans="1:1" x14ac:dyDescent="0.25">
      <c r="A734" s="6"/>
    </row>
    <row r="735" spans="1:1" x14ac:dyDescent="0.25">
      <c r="A735" s="6"/>
    </row>
    <row r="736" spans="1:1" x14ac:dyDescent="0.25">
      <c r="A736" s="6"/>
    </row>
    <row r="737" spans="1:1" x14ac:dyDescent="0.25">
      <c r="A737" s="6"/>
    </row>
    <row r="738" spans="1:1" x14ac:dyDescent="0.25">
      <c r="A738" s="6"/>
    </row>
    <row r="739" spans="1:1" x14ac:dyDescent="0.25">
      <c r="A739" s="6"/>
    </row>
    <row r="740" spans="1:1" x14ac:dyDescent="0.25">
      <c r="A740" s="6"/>
    </row>
    <row r="741" spans="1:1" x14ac:dyDescent="0.25">
      <c r="A741" s="6"/>
    </row>
    <row r="742" spans="1:1" x14ac:dyDescent="0.25">
      <c r="A742" s="6"/>
    </row>
    <row r="743" spans="1:1" x14ac:dyDescent="0.25">
      <c r="A743" s="6"/>
    </row>
    <row r="744" spans="1:1" x14ac:dyDescent="0.25">
      <c r="A744" s="6"/>
    </row>
    <row r="745" spans="1:1" x14ac:dyDescent="0.25">
      <c r="A745" s="6"/>
    </row>
    <row r="746" spans="1:1" x14ac:dyDescent="0.25">
      <c r="A746" s="6"/>
    </row>
    <row r="747" spans="1:1" x14ac:dyDescent="0.25">
      <c r="A747" s="6"/>
    </row>
    <row r="748" spans="1:1" x14ac:dyDescent="0.25">
      <c r="A748" s="6"/>
    </row>
    <row r="749" spans="1:1" x14ac:dyDescent="0.25">
      <c r="A749" s="6"/>
    </row>
    <row r="750" spans="1:1" x14ac:dyDescent="0.25">
      <c r="A750" s="6"/>
    </row>
    <row r="751" spans="1:1" x14ac:dyDescent="0.25">
      <c r="A751" s="6"/>
    </row>
    <row r="752" spans="1:1" x14ac:dyDescent="0.25">
      <c r="A752" s="6"/>
    </row>
    <row r="753" spans="1:1" x14ac:dyDescent="0.25">
      <c r="A753" s="6"/>
    </row>
    <row r="754" spans="1:1" x14ac:dyDescent="0.25">
      <c r="A754" s="6"/>
    </row>
    <row r="755" spans="1:1" x14ac:dyDescent="0.25">
      <c r="A755" s="6"/>
    </row>
    <row r="756" spans="1:1" x14ac:dyDescent="0.25">
      <c r="A756" s="6"/>
    </row>
    <row r="757" spans="1:1" x14ac:dyDescent="0.25">
      <c r="A757" s="6"/>
    </row>
    <row r="758" spans="1:1" x14ac:dyDescent="0.25">
      <c r="A758" s="6"/>
    </row>
    <row r="759" spans="1:1" x14ac:dyDescent="0.25">
      <c r="A759" s="6"/>
    </row>
    <row r="760" spans="1:1" x14ac:dyDescent="0.25">
      <c r="A760" s="6"/>
    </row>
    <row r="761" spans="1:1" x14ac:dyDescent="0.25">
      <c r="A761" s="6"/>
    </row>
    <row r="762" spans="1:1" x14ac:dyDescent="0.25">
      <c r="A762" s="6"/>
    </row>
    <row r="763" spans="1:1" x14ac:dyDescent="0.25">
      <c r="A763" s="6"/>
    </row>
    <row r="764" spans="1:1" x14ac:dyDescent="0.25">
      <c r="A764" s="6"/>
    </row>
    <row r="765" spans="1:1" x14ac:dyDescent="0.25">
      <c r="A765" s="6"/>
    </row>
    <row r="766" spans="1:1" x14ac:dyDescent="0.25">
      <c r="A766" s="6"/>
    </row>
    <row r="767" spans="1:1" x14ac:dyDescent="0.25">
      <c r="A767" s="6"/>
    </row>
    <row r="768" spans="1:1" x14ac:dyDescent="0.25">
      <c r="A768" s="6"/>
    </row>
    <row r="769" spans="1:1" x14ac:dyDescent="0.25">
      <c r="A769" s="6"/>
    </row>
    <row r="770" spans="1:1" x14ac:dyDescent="0.25">
      <c r="A770" s="6"/>
    </row>
    <row r="771" spans="1:1" x14ac:dyDescent="0.25">
      <c r="A771" s="6"/>
    </row>
    <row r="772" spans="1:1" x14ac:dyDescent="0.25">
      <c r="A772" s="6"/>
    </row>
    <row r="773" spans="1:1" x14ac:dyDescent="0.25">
      <c r="A773" s="6"/>
    </row>
    <row r="774" spans="1:1" x14ac:dyDescent="0.25">
      <c r="A774" s="6"/>
    </row>
    <row r="775" spans="1:1" x14ac:dyDescent="0.25">
      <c r="A775" s="6"/>
    </row>
    <row r="776" spans="1:1" x14ac:dyDescent="0.25">
      <c r="A776" s="6"/>
    </row>
    <row r="777" spans="1:1" x14ac:dyDescent="0.25">
      <c r="A777" s="6"/>
    </row>
    <row r="778" spans="1:1" x14ac:dyDescent="0.25">
      <c r="A778" s="6"/>
    </row>
    <row r="779" spans="1:1" x14ac:dyDescent="0.25">
      <c r="A779" s="6"/>
    </row>
    <row r="780" spans="1:1" x14ac:dyDescent="0.25">
      <c r="A780" s="6"/>
    </row>
    <row r="781" spans="1:1" x14ac:dyDescent="0.25">
      <c r="A781" s="6"/>
    </row>
    <row r="782" spans="1:1" x14ac:dyDescent="0.25">
      <c r="A782" s="6"/>
    </row>
    <row r="783" spans="1:1" x14ac:dyDescent="0.25">
      <c r="A783" s="6"/>
    </row>
    <row r="784" spans="1:1" x14ac:dyDescent="0.25">
      <c r="A784" s="6"/>
    </row>
    <row r="785" spans="1:1" x14ac:dyDescent="0.25">
      <c r="A785" s="6"/>
    </row>
    <row r="786" spans="1:1" x14ac:dyDescent="0.25">
      <c r="A786" s="6"/>
    </row>
    <row r="787" spans="1:1" x14ac:dyDescent="0.25">
      <c r="A787" s="6"/>
    </row>
    <row r="788" spans="1:1" x14ac:dyDescent="0.25">
      <c r="A788" s="6"/>
    </row>
    <row r="789" spans="1:1" x14ac:dyDescent="0.25">
      <c r="A789" s="6"/>
    </row>
    <row r="790" spans="1:1" x14ac:dyDescent="0.25">
      <c r="A790" s="6"/>
    </row>
    <row r="791" spans="1:1" x14ac:dyDescent="0.25">
      <c r="A791" s="6"/>
    </row>
    <row r="792" spans="1:1" x14ac:dyDescent="0.25">
      <c r="A792" s="6"/>
    </row>
    <row r="793" spans="1:1" x14ac:dyDescent="0.25">
      <c r="A793" s="6"/>
    </row>
    <row r="794" spans="1:1" x14ac:dyDescent="0.25">
      <c r="A794" s="6"/>
    </row>
    <row r="795" spans="1:1" x14ac:dyDescent="0.25">
      <c r="A795" s="6"/>
    </row>
    <row r="796" spans="1:1" x14ac:dyDescent="0.25">
      <c r="A796" s="6"/>
    </row>
    <row r="797" spans="1:1" x14ac:dyDescent="0.25">
      <c r="A797" s="6"/>
    </row>
    <row r="798" spans="1:1" x14ac:dyDescent="0.25">
      <c r="A798" s="6"/>
    </row>
    <row r="799" spans="1:1" x14ac:dyDescent="0.25">
      <c r="A799" s="6"/>
    </row>
    <row r="800" spans="1:1" x14ac:dyDescent="0.25">
      <c r="A800" s="6"/>
    </row>
    <row r="801" spans="1:1" x14ac:dyDescent="0.25">
      <c r="A801" s="6"/>
    </row>
    <row r="802" spans="1:1" x14ac:dyDescent="0.25">
      <c r="A802" s="6"/>
    </row>
    <row r="803" spans="1:1" x14ac:dyDescent="0.25">
      <c r="A803" s="6"/>
    </row>
    <row r="804" spans="1:1" x14ac:dyDescent="0.25">
      <c r="A804" s="6"/>
    </row>
    <row r="805" spans="1:1" x14ac:dyDescent="0.25">
      <c r="A805" s="6"/>
    </row>
    <row r="806" spans="1:1" x14ac:dyDescent="0.25">
      <c r="A806" s="6"/>
    </row>
    <row r="807" spans="1:1" x14ac:dyDescent="0.25">
      <c r="A807" s="6"/>
    </row>
    <row r="808" spans="1:1" x14ac:dyDescent="0.25">
      <c r="A808" s="6"/>
    </row>
    <row r="809" spans="1:1" x14ac:dyDescent="0.25">
      <c r="A809" s="6"/>
    </row>
    <row r="810" spans="1:1" x14ac:dyDescent="0.25">
      <c r="A810" s="6"/>
    </row>
    <row r="811" spans="1:1" x14ac:dyDescent="0.25">
      <c r="A811" s="6"/>
    </row>
    <row r="812" spans="1:1" x14ac:dyDescent="0.25">
      <c r="A812" s="6"/>
    </row>
    <row r="813" spans="1:1" x14ac:dyDescent="0.25">
      <c r="A813" s="6"/>
    </row>
    <row r="814" spans="1:1" x14ac:dyDescent="0.25">
      <c r="A814" s="6"/>
    </row>
    <row r="815" spans="1:1" x14ac:dyDescent="0.25">
      <c r="A815" s="6"/>
    </row>
    <row r="816" spans="1:1" x14ac:dyDescent="0.25">
      <c r="A816" s="6"/>
    </row>
    <row r="817" spans="1:1" x14ac:dyDescent="0.25">
      <c r="A817" s="6"/>
    </row>
    <row r="818" spans="1:1" x14ac:dyDescent="0.25">
      <c r="A818" s="6"/>
    </row>
    <row r="819" spans="1:1" x14ac:dyDescent="0.25">
      <c r="A819" s="6"/>
    </row>
    <row r="820" spans="1:1" x14ac:dyDescent="0.25">
      <c r="A820" s="6"/>
    </row>
    <row r="821" spans="1:1" x14ac:dyDescent="0.25">
      <c r="A821" s="6"/>
    </row>
    <row r="822" spans="1:1" x14ac:dyDescent="0.25">
      <c r="A822" s="6"/>
    </row>
    <row r="823" spans="1:1" x14ac:dyDescent="0.25">
      <c r="A823" s="6"/>
    </row>
    <row r="824" spans="1:1" x14ac:dyDescent="0.25">
      <c r="A824" s="6"/>
    </row>
    <row r="825" spans="1:1" x14ac:dyDescent="0.25">
      <c r="A825" s="6"/>
    </row>
    <row r="826" spans="1:1" x14ac:dyDescent="0.25">
      <c r="A826" s="6"/>
    </row>
    <row r="827" spans="1:1" x14ac:dyDescent="0.25">
      <c r="A827" s="6"/>
    </row>
    <row r="828" spans="1:1" x14ac:dyDescent="0.25">
      <c r="A828" s="6"/>
    </row>
    <row r="829" spans="1:1" x14ac:dyDescent="0.25">
      <c r="A829" s="6"/>
    </row>
    <row r="830" spans="1:1" x14ac:dyDescent="0.25">
      <c r="A830" s="6"/>
    </row>
    <row r="831" spans="1:1" x14ac:dyDescent="0.25">
      <c r="A831" s="6"/>
    </row>
    <row r="832" spans="1:1" x14ac:dyDescent="0.25">
      <c r="A832" s="6"/>
    </row>
    <row r="833" spans="1:1" x14ac:dyDescent="0.25">
      <c r="A833" s="6"/>
    </row>
    <row r="834" spans="1:1" x14ac:dyDescent="0.25">
      <c r="A834" s="6"/>
    </row>
    <row r="835" spans="1:1" x14ac:dyDescent="0.25">
      <c r="A835" s="6"/>
    </row>
    <row r="836" spans="1:1" x14ac:dyDescent="0.25">
      <c r="A836" s="6"/>
    </row>
    <row r="837" spans="1:1" x14ac:dyDescent="0.25">
      <c r="A837" s="6"/>
    </row>
    <row r="838" spans="1:1" x14ac:dyDescent="0.25">
      <c r="A838" s="6"/>
    </row>
    <row r="839" spans="1:1" x14ac:dyDescent="0.25">
      <c r="A839" s="6"/>
    </row>
    <row r="840" spans="1:1" x14ac:dyDescent="0.25">
      <c r="A840" s="6"/>
    </row>
    <row r="841" spans="1:1" x14ac:dyDescent="0.25">
      <c r="A841" s="6"/>
    </row>
    <row r="842" spans="1:1" x14ac:dyDescent="0.25">
      <c r="A842" s="6"/>
    </row>
    <row r="843" spans="1:1" x14ac:dyDescent="0.25">
      <c r="A843" s="6"/>
    </row>
    <row r="844" spans="1:1" x14ac:dyDescent="0.25">
      <c r="A844" s="6"/>
    </row>
    <row r="845" spans="1:1" x14ac:dyDescent="0.25">
      <c r="A845" s="6"/>
    </row>
    <row r="846" spans="1:1" x14ac:dyDescent="0.25">
      <c r="A846" s="6"/>
    </row>
    <row r="847" spans="1:1" x14ac:dyDescent="0.25">
      <c r="A847" s="6"/>
    </row>
    <row r="848" spans="1:1" x14ac:dyDescent="0.25">
      <c r="A848" s="6"/>
    </row>
    <row r="849" spans="1:1" x14ac:dyDescent="0.25">
      <c r="A849" s="6"/>
    </row>
    <row r="850" spans="1:1" x14ac:dyDescent="0.25">
      <c r="A850" s="6"/>
    </row>
    <row r="851" spans="1:1" x14ac:dyDescent="0.25">
      <c r="A851" s="6"/>
    </row>
    <row r="852" spans="1:1" x14ac:dyDescent="0.25">
      <c r="A852" s="6"/>
    </row>
    <row r="853" spans="1:1" x14ac:dyDescent="0.25">
      <c r="A853" s="6"/>
    </row>
    <row r="854" spans="1:1" x14ac:dyDescent="0.25">
      <c r="A854" s="6"/>
    </row>
    <row r="855" spans="1:1" x14ac:dyDescent="0.25">
      <c r="A855" s="6"/>
    </row>
    <row r="856" spans="1:1" x14ac:dyDescent="0.25">
      <c r="A856" s="6"/>
    </row>
    <row r="857" spans="1:1" x14ac:dyDescent="0.25">
      <c r="A857" s="6"/>
    </row>
    <row r="858" spans="1:1" x14ac:dyDescent="0.25">
      <c r="A858" s="6"/>
    </row>
    <row r="859" spans="1:1" x14ac:dyDescent="0.25">
      <c r="A859" s="6"/>
    </row>
    <row r="860" spans="1:1" x14ac:dyDescent="0.25">
      <c r="A860" s="6"/>
    </row>
    <row r="861" spans="1:1" x14ac:dyDescent="0.25">
      <c r="A861" s="6"/>
    </row>
    <row r="862" spans="1:1" x14ac:dyDescent="0.25">
      <c r="A862" s="6"/>
    </row>
    <row r="863" spans="1:1" x14ac:dyDescent="0.25">
      <c r="A863" s="6"/>
    </row>
    <row r="864" spans="1:1" x14ac:dyDescent="0.25">
      <c r="A864" s="6"/>
    </row>
    <row r="865" spans="1:1" x14ac:dyDescent="0.25">
      <c r="A865" s="6"/>
    </row>
    <row r="866" spans="1:1" x14ac:dyDescent="0.25">
      <c r="A866" s="6"/>
    </row>
    <row r="867" spans="1:1" x14ac:dyDescent="0.25">
      <c r="A867" s="6"/>
    </row>
    <row r="868" spans="1:1" x14ac:dyDescent="0.25">
      <c r="A868" s="6"/>
    </row>
    <row r="869" spans="1:1" x14ac:dyDescent="0.25">
      <c r="A869" s="6"/>
    </row>
    <row r="870" spans="1:1" x14ac:dyDescent="0.25">
      <c r="A870" s="6"/>
    </row>
    <row r="871" spans="1:1" x14ac:dyDescent="0.25">
      <c r="A871" s="6"/>
    </row>
    <row r="872" spans="1:1" x14ac:dyDescent="0.25">
      <c r="A872" s="6"/>
    </row>
    <row r="873" spans="1:1" x14ac:dyDescent="0.25">
      <c r="A873" s="6"/>
    </row>
    <row r="874" spans="1:1" x14ac:dyDescent="0.25">
      <c r="A874" s="6"/>
    </row>
    <row r="875" spans="1:1" x14ac:dyDescent="0.25">
      <c r="A875" s="6"/>
    </row>
    <row r="876" spans="1:1" x14ac:dyDescent="0.25">
      <c r="A876" s="6"/>
    </row>
    <row r="877" spans="1:1" x14ac:dyDescent="0.25">
      <c r="A877" s="6"/>
    </row>
    <row r="878" spans="1:1" x14ac:dyDescent="0.25">
      <c r="A878" s="6"/>
    </row>
    <row r="879" spans="1:1" x14ac:dyDescent="0.25">
      <c r="A879" s="6"/>
    </row>
    <row r="880" spans="1:1" x14ac:dyDescent="0.25">
      <c r="A880" s="6"/>
    </row>
    <row r="881" spans="1:1" x14ac:dyDescent="0.25">
      <c r="A881" s="6"/>
    </row>
    <row r="882" spans="1:1" x14ac:dyDescent="0.25">
      <c r="A882" s="6"/>
    </row>
    <row r="883" spans="1:1" x14ac:dyDescent="0.25">
      <c r="A883" s="6"/>
    </row>
    <row r="884" spans="1:1" x14ac:dyDescent="0.25">
      <c r="A884" s="6"/>
    </row>
    <row r="885" spans="1:1" x14ac:dyDescent="0.25">
      <c r="A885" s="6"/>
    </row>
    <row r="886" spans="1:1" x14ac:dyDescent="0.25">
      <c r="A886" s="6"/>
    </row>
    <row r="887" spans="1:1" x14ac:dyDescent="0.25">
      <c r="A887" s="6"/>
    </row>
    <row r="888" spans="1:1" x14ac:dyDescent="0.25">
      <c r="A888" s="6"/>
    </row>
    <row r="889" spans="1:1" x14ac:dyDescent="0.25">
      <c r="A889" s="6"/>
    </row>
    <row r="890" spans="1:1" x14ac:dyDescent="0.25">
      <c r="A890" s="6"/>
    </row>
    <row r="891" spans="1:1" x14ac:dyDescent="0.25">
      <c r="A891" s="6"/>
    </row>
    <row r="892" spans="1:1" x14ac:dyDescent="0.25">
      <c r="A892" s="6"/>
    </row>
    <row r="893" spans="1:1" x14ac:dyDescent="0.25">
      <c r="A893" s="6"/>
    </row>
    <row r="894" spans="1:1" x14ac:dyDescent="0.25">
      <c r="A894" s="6"/>
    </row>
    <row r="895" spans="1:1" x14ac:dyDescent="0.25">
      <c r="A895" s="6"/>
    </row>
    <row r="896" spans="1:1" x14ac:dyDescent="0.25">
      <c r="A896" s="6"/>
    </row>
    <row r="897" spans="1:1" x14ac:dyDescent="0.25">
      <c r="A897" s="6"/>
    </row>
    <row r="898" spans="1:1" x14ac:dyDescent="0.25">
      <c r="A898" s="6"/>
    </row>
    <row r="899" spans="1:1" x14ac:dyDescent="0.25">
      <c r="A899" s="6"/>
    </row>
    <row r="900" spans="1:1" x14ac:dyDescent="0.25">
      <c r="A900" s="6"/>
    </row>
    <row r="901" spans="1:1" x14ac:dyDescent="0.25">
      <c r="A901" s="6"/>
    </row>
    <row r="902" spans="1:1" x14ac:dyDescent="0.25">
      <c r="A902" s="6"/>
    </row>
    <row r="903" spans="1:1" x14ac:dyDescent="0.25">
      <c r="A903" s="6"/>
    </row>
    <row r="904" spans="1:1" x14ac:dyDescent="0.25">
      <c r="A904" s="6"/>
    </row>
    <row r="905" spans="1:1" x14ac:dyDescent="0.25">
      <c r="A905" s="6"/>
    </row>
    <row r="906" spans="1:1" x14ac:dyDescent="0.25">
      <c r="A906" s="6"/>
    </row>
    <row r="907" spans="1:1" x14ac:dyDescent="0.25">
      <c r="A907" s="6"/>
    </row>
    <row r="908" spans="1:1" x14ac:dyDescent="0.25">
      <c r="A908" s="6"/>
    </row>
    <row r="909" spans="1:1" x14ac:dyDescent="0.25">
      <c r="A909" s="6"/>
    </row>
    <row r="910" spans="1:1" x14ac:dyDescent="0.25">
      <c r="A910" s="6"/>
    </row>
    <row r="911" spans="1:1" x14ac:dyDescent="0.25">
      <c r="A911" s="6"/>
    </row>
    <row r="912" spans="1:1" x14ac:dyDescent="0.25">
      <c r="A912" s="6"/>
    </row>
    <row r="913" spans="1:1" x14ac:dyDescent="0.25">
      <c r="A913" s="6"/>
    </row>
    <row r="914" spans="1:1" x14ac:dyDescent="0.25">
      <c r="A914" s="6"/>
    </row>
    <row r="915" spans="1:1" x14ac:dyDescent="0.25">
      <c r="A915" s="6"/>
    </row>
    <row r="916" spans="1:1" x14ac:dyDescent="0.25">
      <c r="A916" s="6"/>
    </row>
    <row r="917" spans="1:1" x14ac:dyDescent="0.25">
      <c r="A917" s="6"/>
    </row>
    <row r="918" spans="1:1" x14ac:dyDescent="0.25">
      <c r="A918" s="6"/>
    </row>
    <row r="919" spans="1:1" x14ac:dyDescent="0.25">
      <c r="A919" s="6"/>
    </row>
    <row r="920" spans="1:1" x14ac:dyDescent="0.25">
      <c r="A920" s="6"/>
    </row>
    <row r="921" spans="1:1" x14ac:dyDescent="0.25">
      <c r="A921" s="6"/>
    </row>
    <row r="922" spans="1:1" x14ac:dyDescent="0.25">
      <c r="A922" s="6"/>
    </row>
    <row r="923" spans="1:1" x14ac:dyDescent="0.25">
      <c r="A923" s="6"/>
    </row>
    <row r="924" spans="1:1" x14ac:dyDescent="0.25">
      <c r="A924" s="6"/>
    </row>
    <row r="925" spans="1:1" x14ac:dyDescent="0.25">
      <c r="A925" s="6"/>
    </row>
    <row r="926" spans="1:1" x14ac:dyDescent="0.25">
      <c r="A926" s="6"/>
    </row>
    <row r="927" spans="1:1" x14ac:dyDescent="0.25">
      <c r="A927" s="6"/>
    </row>
    <row r="928" spans="1:1" x14ac:dyDescent="0.25">
      <c r="A928" s="6"/>
    </row>
    <row r="929" spans="1:1" x14ac:dyDescent="0.25">
      <c r="A929" s="6"/>
    </row>
    <row r="930" spans="1:1" x14ac:dyDescent="0.25">
      <c r="A930" s="6"/>
    </row>
    <row r="931" spans="1:1" x14ac:dyDescent="0.25">
      <c r="A931" s="6"/>
    </row>
    <row r="932" spans="1:1" x14ac:dyDescent="0.25">
      <c r="A932" s="6"/>
    </row>
    <row r="933" spans="1:1" x14ac:dyDescent="0.25">
      <c r="A933" s="6"/>
    </row>
    <row r="934" spans="1:1" x14ac:dyDescent="0.25">
      <c r="A934" s="6"/>
    </row>
    <row r="935" spans="1:1" x14ac:dyDescent="0.25">
      <c r="A935" s="6"/>
    </row>
    <row r="936" spans="1:1" x14ac:dyDescent="0.25">
      <c r="A936" s="6"/>
    </row>
    <row r="937" spans="1:1" x14ac:dyDescent="0.25">
      <c r="A937" s="6"/>
    </row>
    <row r="938" spans="1:1" x14ac:dyDescent="0.25">
      <c r="A938" s="6"/>
    </row>
    <row r="939" spans="1:1" x14ac:dyDescent="0.25">
      <c r="A939" s="6"/>
    </row>
    <row r="940" spans="1:1" x14ac:dyDescent="0.25">
      <c r="A940" s="6"/>
    </row>
    <row r="941" spans="1:1" x14ac:dyDescent="0.25">
      <c r="A941" s="6"/>
    </row>
    <row r="942" spans="1:1" x14ac:dyDescent="0.25">
      <c r="A942" s="6"/>
    </row>
    <row r="943" spans="1:1" x14ac:dyDescent="0.25">
      <c r="A943" s="6"/>
    </row>
    <row r="944" spans="1:1" x14ac:dyDescent="0.25">
      <c r="A944" s="6"/>
    </row>
    <row r="945" spans="1:1" x14ac:dyDescent="0.25">
      <c r="A945" s="6"/>
    </row>
    <row r="946" spans="1:1" x14ac:dyDescent="0.25">
      <c r="A946" s="6"/>
    </row>
    <row r="947" spans="1:1" x14ac:dyDescent="0.25">
      <c r="A947" s="6"/>
    </row>
    <row r="948" spans="1:1" x14ac:dyDescent="0.25">
      <c r="A948" s="6"/>
    </row>
    <row r="949" spans="1:1" x14ac:dyDescent="0.25">
      <c r="A949" s="6"/>
    </row>
    <row r="950" spans="1:1" x14ac:dyDescent="0.25">
      <c r="A950" s="6"/>
    </row>
    <row r="951" spans="1:1" x14ac:dyDescent="0.25">
      <c r="A951" s="6"/>
    </row>
    <row r="952" spans="1:1" x14ac:dyDescent="0.25">
      <c r="A952" s="6"/>
    </row>
    <row r="953" spans="1:1" x14ac:dyDescent="0.25">
      <c r="A953" s="6"/>
    </row>
    <row r="954" spans="1:1" x14ac:dyDescent="0.25">
      <c r="A954" s="6"/>
    </row>
    <row r="955" spans="1:1" x14ac:dyDescent="0.25">
      <c r="A955" s="6"/>
    </row>
    <row r="956" spans="1:1" x14ac:dyDescent="0.25">
      <c r="A956" s="6"/>
    </row>
    <row r="957" spans="1:1" x14ac:dyDescent="0.25">
      <c r="A957" s="6"/>
    </row>
    <row r="958" spans="1:1" x14ac:dyDescent="0.25">
      <c r="A958" s="6"/>
    </row>
    <row r="959" spans="1:1" x14ac:dyDescent="0.25">
      <c r="A959" s="6"/>
    </row>
    <row r="960" spans="1:1" x14ac:dyDescent="0.25">
      <c r="A960" s="6"/>
    </row>
    <row r="961" spans="1:1" x14ac:dyDescent="0.25">
      <c r="A961" s="6"/>
    </row>
    <row r="962" spans="1:1" x14ac:dyDescent="0.25">
      <c r="A962" s="6"/>
    </row>
    <row r="963" spans="1:1" x14ac:dyDescent="0.25">
      <c r="A963" s="6"/>
    </row>
    <row r="964" spans="1:1" x14ac:dyDescent="0.25">
      <c r="A964" s="6"/>
    </row>
    <row r="965" spans="1:1" x14ac:dyDescent="0.25">
      <c r="A965" s="6"/>
    </row>
    <row r="966" spans="1:1" x14ac:dyDescent="0.25">
      <c r="A966" s="6"/>
    </row>
    <row r="967" spans="1:1" x14ac:dyDescent="0.25">
      <c r="A967" s="6"/>
    </row>
    <row r="968" spans="1:1" x14ac:dyDescent="0.25">
      <c r="A968" s="6"/>
    </row>
    <row r="969" spans="1:1" x14ac:dyDescent="0.25">
      <c r="A969" s="6"/>
    </row>
    <row r="970" spans="1:1" x14ac:dyDescent="0.25">
      <c r="A970" s="6"/>
    </row>
    <row r="971" spans="1:1" x14ac:dyDescent="0.25">
      <c r="A971" s="6"/>
    </row>
    <row r="972" spans="1:1" x14ac:dyDescent="0.25">
      <c r="A972" s="6"/>
    </row>
    <row r="973" spans="1:1" x14ac:dyDescent="0.25">
      <c r="A973" s="6"/>
    </row>
    <row r="974" spans="1:1" x14ac:dyDescent="0.25">
      <c r="A974" s="6"/>
    </row>
    <row r="975" spans="1:1" x14ac:dyDescent="0.25">
      <c r="A975" s="6"/>
    </row>
    <row r="976" spans="1:1" x14ac:dyDescent="0.25">
      <c r="A976" s="6"/>
    </row>
    <row r="977" spans="1:1" x14ac:dyDescent="0.25">
      <c r="A977" s="6"/>
    </row>
    <row r="978" spans="1:1" x14ac:dyDescent="0.25">
      <c r="A978" s="6"/>
    </row>
    <row r="979" spans="1:1" x14ac:dyDescent="0.25">
      <c r="A979" s="6"/>
    </row>
    <row r="980" spans="1:1" x14ac:dyDescent="0.25">
      <c r="A980" s="6"/>
    </row>
    <row r="981" spans="1:1" x14ac:dyDescent="0.25">
      <c r="A981" s="6"/>
    </row>
    <row r="982" spans="1:1" x14ac:dyDescent="0.25">
      <c r="A982" s="6"/>
    </row>
    <row r="983" spans="1:1" x14ac:dyDescent="0.25">
      <c r="A983" s="6"/>
    </row>
    <row r="984" spans="1:1" x14ac:dyDescent="0.25">
      <c r="A984" s="6"/>
    </row>
    <row r="985" spans="1:1" x14ac:dyDescent="0.25">
      <c r="A985" s="6"/>
    </row>
    <row r="986" spans="1:1" x14ac:dyDescent="0.25">
      <c r="A986" s="6"/>
    </row>
    <row r="987" spans="1:1" x14ac:dyDescent="0.25">
      <c r="A987" s="6"/>
    </row>
    <row r="988" spans="1:1" x14ac:dyDescent="0.25">
      <c r="A988" s="6"/>
    </row>
    <row r="989" spans="1:1" x14ac:dyDescent="0.25">
      <c r="A989" s="6"/>
    </row>
    <row r="990" spans="1:1" x14ac:dyDescent="0.25">
      <c r="A990" s="6"/>
    </row>
    <row r="991" spans="1:1" x14ac:dyDescent="0.25">
      <c r="A991" s="6"/>
    </row>
    <row r="992" spans="1:1" x14ac:dyDescent="0.25">
      <c r="A992" s="6"/>
    </row>
    <row r="993" spans="1:1" x14ac:dyDescent="0.25">
      <c r="A993" s="6"/>
    </row>
    <row r="994" spans="1:1" x14ac:dyDescent="0.25">
      <c r="A994" s="6"/>
    </row>
    <row r="995" spans="1:1" x14ac:dyDescent="0.25">
      <c r="A995" s="6"/>
    </row>
    <row r="996" spans="1:1" x14ac:dyDescent="0.25">
      <c r="A996" s="6"/>
    </row>
    <row r="997" spans="1:1" x14ac:dyDescent="0.25">
      <c r="A997" s="6"/>
    </row>
    <row r="998" spans="1:1" x14ac:dyDescent="0.25">
      <c r="A998" s="6"/>
    </row>
    <row r="999" spans="1:1" x14ac:dyDescent="0.25">
      <c r="A999" s="6"/>
    </row>
    <row r="1000" spans="1:1" x14ac:dyDescent="0.25">
      <c r="A1000" s="6"/>
    </row>
    <row r="1001" spans="1:1" x14ac:dyDescent="0.25">
      <c r="A1001" s="6"/>
    </row>
    <row r="1002" spans="1:1" x14ac:dyDescent="0.25">
      <c r="A1002" s="6"/>
    </row>
    <row r="1003" spans="1:1" x14ac:dyDescent="0.25">
      <c r="A1003" s="6"/>
    </row>
    <row r="1004" spans="1:1" x14ac:dyDescent="0.25">
      <c r="A1004" s="6"/>
    </row>
    <row r="1005" spans="1:1" x14ac:dyDescent="0.25">
      <c r="A1005" s="6"/>
    </row>
    <row r="1006" spans="1:1" x14ac:dyDescent="0.25">
      <c r="A1006" s="6"/>
    </row>
    <row r="1007" spans="1:1" x14ac:dyDescent="0.25">
      <c r="A1007" s="6"/>
    </row>
    <row r="1008" spans="1:1" x14ac:dyDescent="0.25">
      <c r="A1008" s="6"/>
    </row>
    <row r="1009" spans="1:1" x14ac:dyDescent="0.25">
      <c r="A1009" s="6"/>
    </row>
    <row r="1010" spans="1:1" x14ac:dyDescent="0.25">
      <c r="A1010" s="6"/>
    </row>
    <row r="1011" spans="1:1" x14ac:dyDescent="0.25">
      <c r="A1011" s="6"/>
    </row>
    <row r="1012" spans="1:1" x14ac:dyDescent="0.25">
      <c r="A1012" s="6"/>
    </row>
    <row r="1013" spans="1:1" x14ac:dyDescent="0.25">
      <c r="A1013" s="6"/>
    </row>
    <row r="1014" spans="1:1" x14ac:dyDescent="0.25">
      <c r="A1014" s="6"/>
    </row>
    <row r="1015" spans="1:1" x14ac:dyDescent="0.25">
      <c r="A1015" s="6"/>
    </row>
    <row r="1016" spans="1:1" x14ac:dyDescent="0.25">
      <c r="A1016" s="6"/>
    </row>
    <row r="1017" spans="1:1" x14ac:dyDescent="0.25">
      <c r="A1017" s="6"/>
    </row>
    <row r="1018" spans="1:1" x14ac:dyDescent="0.25">
      <c r="A1018" s="6"/>
    </row>
    <row r="1019" spans="1:1" x14ac:dyDescent="0.25">
      <c r="A1019" s="6"/>
    </row>
    <row r="1020" spans="1:1" x14ac:dyDescent="0.25">
      <c r="A1020" s="6"/>
    </row>
    <row r="1021" spans="1:1" x14ac:dyDescent="0.25">
      <c r="A1021" s="6"/>
    </row>
    <row r="1022" spans="1:1" x14ac:dyDescent="0.25">
      <c r="A1022" s="6"/>
    </row>
    <row r="1023" spans="1:1" x14ac:dyDescent="0.25">
      <c r="A1023" s="6"/>
    </row>
    <row r="1024" spans="1:1" x14ac:dyDescent="0.25">
      <c r="A1024" s="6"/>
    </row>
    <row r="1025" spans="1:1" x14ac:dyDescent="0.25">
      <c r="A1025" s="6"/>
    </row>
    <row r="1026" spans="1:1" x14ac:dyDescent="0.25">
      <c r="A1026" s="6"/>
    </row>
    <row r="1027" spans="1:1" x14ac:dyDescent="0.25">
      <c r="A1027" s="6"/>
    </row>
    <row r="1028" spans="1:1" x14ac:dyDescent="0.25">
      <c r="A1028" s="6"/>
    </row>
    <row r="1029" spans="1:1" x14ac:dyDescent="0.25">
      <c r="A1029" s="6"/>
    </row>
    <row r="1030" spans="1:1" x14ac:dyDescent="0.25">
      <c r="A1030" s="6"/>
    </row>
    <row r="1031" spans="1:1" x14ac:dyDescent="0.25">
      <c r="A1031" s="6"/>
    </row>
    <row r="1032" spans="1:1" x14ac:dyDescent="0.25">
      <c r="A1032" s="6"/>
    </row>
    <row r="1033" spans="1:1" x14ac:dyDescent="0.25">
      <c r="A1033" s="6"/>
    </row>
    <row r="1034" spans="1:1" x14ac:dyDescent="0.25">
      <c r="A1034" s="6"/>
    </row>
    <row r="1035" spans="1:1" x14ac:dyDescent="0.25">
      <c r="A1035" s="6"/>
    </row>
    <row r="1036" spans="1:1" x14ac:dyDescent="0.25">
      <c r="A1036" s="6"/>
    </row>
    <row r="1037" spans="1:1" x14ac:dyDescent="0.25">
      <c r="A1037" s="6"/>
    </row>
    <row r="1038" spans="1:1" x14ac:dyDescent="0.25">
      <c r="A1038" s="6"/>
    </row>
    <row r="1039" spans="1:1" x14ac:dyDescent="0.25">
      <c r="A1039" s="6"/>
    </row>
    <row r="1040" spans="1:1" x14ac:dyDescent="0.25">
      <c r="A1040" s="6"/>
    </row>
    <row r="1041" spans="1:1" x14ac:dyDescent="0.25">
      <c r="A1041" s="6"/>
    </row>
    <row r="1042" spans="1:1" x14ac:dyDescent="0.25">
      <c r="A1042" s="6"/>
    </row>
    <row r="1043" spans="1:1" x14ac:dyDescent="0.25">
      <c r="A1043" s="6"/>
    </row>
    <row r="1044" spans="1:1" x14ac:dyDescent="0.25">
      <c r="A1044" s="6"/>
    </row>
    <row r="1045" spans="1:1" x14ac:dyDescent="0.25">
      <c r="A1045" s="6"/>
    </row>
    <row r="1046" spans="1:1" x14ac:dyDescent="0.25">
      <c r="A1046" s="6"/>
    </row>
    <row r="1047" spans="1:1" x14ac:dyDescent="0.25">
      <c r="A1047" s="6"/>
    </row>
    <row r="1048" spans="1:1" x14ac:dyDescent="0.25">
      <c r="A1048" s="6"/>
    </row>
    <row r="1049" spans="1:1" x14ac:dyDescent="0.25">
      <c r="A1049" s="6"/>
    </row>
    <row r="1050" spans="1:1" x14ac:dyDescent="0.25">
      <c r="A1050" s="6"/>
    </row>
    <row r="1051" spans="1:1" x14ac:dyDescent="0.25">
      <c r="A1051" s="6"/>
    </row>
    <row r="1052" spans="1:1" x14ac:dyDescent="0.25">
      <c r="A1052" s="6"/>
    </row>
    <row r="1053" spans="1:1" x14ac:dyDescent="0.25">
      <c r="A1053" s="6"/>
    </row>
    <row r="1054" spans="1:1" x14ac:dyDescent="0.25">
      <c r="A1054" s="6"/>
    </row>
    <row r="1055" spans="1:1" x14ac:dyDescent="0.25">
      <c r="A1055" s="6"/>
    </row>
    <row r="1056" spans="1:1" x14ac:dyDescent="0.25">
      <c r="A1056" s="6"/>
    </row>
    <row r="1057" spans="1:1" x14ac:dyDescent="0.25">
      <c r="A1057" s="6"/>
    </row>
    <row r="1058" spans="1:1" x14ac:dyDescent="0.25">
      <c r="A1058" s="6"/>
    </row>
    <row r="1059" spans="1:1" x14ac:dyDescent="0.25">
      <c r="A1059" s="6"/>
    </row>
    <row r="1060" spans="1:1" x14ac:dyDescent="0.25">
      <c r="A1060" s="6"/>
    </row>
    <row r="1061" spans="1:1" x14ac:dyDescent="0.25">
      <c r="A1061" s="6"/>
    </row>
    <row r="1062" spans="1:1" x14ac:dyDescent="0.25">
      <c r="A1062" s="6"/>
    </row>
    <row r="1063" spans="1:1" x14ac:dyDescent="0.25">
      <c r="A1063" s="6"/>
    </row>
    <row r="1064" spans="1:1" x14ac:dyDescent="0.25">
      <c r="A1064" s="6"/>
    </row>
    <row r="1065" spans="1:1" x14ac:dyDescent="0.25">
      <c r="A1065" s="6"/>
    </row>
    <row r="1066" spans="1:1" x14ac:dyDescent="0.25">
      <c r="A1066" s="6"/>
    </row>
    <row r="1067" spans="1:1" x14ac:dyDescent="0.25">
      <c r="A1067" s="6"/>
    </row>
    <row r="1068" spans="1:1" x14ac:dyDescent="0.25">
      <c r="A1068" s="6"/>
    </row>
    <row r="1069" spans="1:1" x14ac:dyDescent="0.25">
      <c r="A1069" s="6"/>
    </row>
    <row r="1070" spans="1:1" x14ac:dyDescent="0.25">
      <c r="A1070" s="6"/>
    </row>
    <row r="1071" spans="1:1" x14ac:dyDescent="0.25">
      <c r="A1071" s="6"/>
    </row>
    <row r="1072" spans="1:1" x14ac:dyDescent="0.25">
      <c r="A1072" s="6"/>
    </row>
    <row r="1073" spans="1:1" x14ac:dyDescent="0.25">
      <c r="A1073" s="6"/>
    </row>
    <row r="1074" spans="1:1" x14ac:dyDescent="0.25">
      <c r="A1074" s="6"/>
    </row>
    <row r="1075" spans="1:1" x14ac:dyDescent="0.25">
      <c r="A1075" s="6"/>
    </row>
    <row r="1076" spans="1:1" x14ac:dyDescent="0.25">
      <c r="A1076" s="6"/>
    </row>
    <row r="1077" spans="1:1" x14ac:dyDescent="0.25">
      <c r="A1077" s="6"/>
    </row>
    <row r="1078" spans="1:1" x14ac:dyDescent="0.25">
      <c r="A1078" s="6"/>
    </row>
    <row r="1079" spans="1:1" x14ac:dyDescent="0.25">
      <c r="A1079" s="6"/>
    </row>
    <row r="1080" spans="1:1" x14ac:dyDescent="0.25">
      <c r="A1080" s="6"/>
    </row>
    <row r="1081" spans="1:1" x14ac:dyDescent="0.25">
      <c r="A1081" s="6"/>
    </row>
    <row r="1082" spans="1:1" x14ac:dyDescent="0.25">
      <c r="A1082" s="6"/>
    </row>
    <row r="1083" spans="1:1" x14ac:dyDescent="0.25">
      <c r="A1083" s="6"/>
    </row>
    <row r="1084" spans="1:1" x14ac:dyDescent="0.25">
      <c r="A1084" s="6"/>
    </row>
    <row r="1085" spans="1:1" x14ac:dyDescent="0.25">
      <c r="A1085" s="6"/>
    </row>
    <row r="1086" spans="1:1" x14ac:dyDescent="0.25">
      <c r="A1086" s="6"/>
    </row>
    <row r="1087" spans="1:1" x14ac:dyDescent="0.25">
      <c r="A1087" s="6"/>
    </row>
    <row r="1088" spans="1:1" x14ac:dyDescent="0.25">
      <c r="A1088" s="6"/>
    </row>
    <row r="1089" spans="1:1" x14ac:dyDescent="0.25">
      <c r="A1089" s="6"/>
    </row>
    <row r="1090" spans="1:1" x14ac:dyDescent="0.25">
      <c r="A1090" s="6"/>
    </row>
    <row r="1091" spans="1:1" x14ac:dyDescent="0.25">
      <c r="A1091" s="6"/>
    </row>
    <row r="1092" spans="1:1" x14ac:dyDescent="0.25">
      <c r="A1092" s="6"/>
    </row>
    <row r="1093" spans="1:1" x14ac:dyDescent="0.25">
      <c r="A1093" s="6"/>
    </row>
    <row r="1094" spans="1:1" x14ac:dyDescent="0.25">
      <c r="A1094" s="6"/>
    </row>
    <row r="1095" spans="1:1" x14ac:dyDescent="0.25">
      <c r="A1095" s="6"/>
    </row>
    <row r="1096" spans="1:1" x14ac:dyDescent="0.25">
      <c r="A1096" s="6"/>
    </row>
    <row r="1097" spans="1:1" x14ac:dyDescent="0.25">
      <c r="A1097" s="6"/>
    </row>
    <row r="1098" spans="1:1" x14ac:dyDescent="0.25">
      <c r="A1098" s="6"/>
    </row>
    <row r="1099" spans="1:1" x14ac:dyDescent="0.25">
      <c r="A1099" s="6"/>
    </row>
    <row r="1100" spans="1:1" x14ac:dyDescent="0.25">
      <c r="A1100" s="6"/>
    </row>
    <row r="1101" spans="1:1" x14ac:dyDescent="0.25">
      <c r="A1101" s="6"/>
    </row>
    <row r="1102" spans="1:1" x14ac:dyDescent="0.25">
      <c r="A1102" s="6"/>
    </row>
    <row r="1103" spans="1:1" x14ac:dyDescent="0.25">
      <c r="A1103" s="6"/>
    </row>
    <row r="1104" spans="1:1" x14ac:dyDescent="0.25">
      <c r="A1104" s="6"/>
    </row>
    <row r="1105" spans="1:1" x14ac:dyDescent="0.25">
      <c r="A1105" s="6"/>
    </row>
    <row r="1106" spans="1:1" x14ac:dyDescent="0.25">
      <c r="A1106" s="6"/>
    </row>
    <row r="1107" spans="1:1" x14ac:dyDescent="0.25">
      <c r="A1107" s="6"/>
    </row>
    <row r="1108" spans="1:1" x14ac:dyDescent="0.25">
      <c r="A1108" s="6"/>
    </row>
    <row r="1109" spans="1:1" x14ac:dyDescent="0.25">
      <c r="A1109" s="6"/>
    </row>
    <row r="1110" spans="1:1" x14ac:dyDescent="0.25">
      <c r="A1110" s="6"/>
    </row>
    <row r="1111" spans="1:1" x14ac:dyDescent="0.25">
      <c r="A1111" s="6"/>
    </row>
    <row r="1112" spans="1:1" x14ac:dyDescent="0.25">
      <c r="A1112" s="6"/>
    </row>
    <row r="1113" spans="1:1" x14ac:dyDescent="0.25">
      <c r="A1113" s="6"/>
    </row>
    <row r="1114" spans="1:1" x14ac:dyDescent="0.25">
      <c r="A1114" s="6"/>
    </row>
    <row r="1115" spans="1:1" x14ac:dyDescent="0.25">
      <c r="A1115" s="6"/>
    </row>
    <row r="1116" spans="1:1" x14ac:dyDescent="0.25">
      <c r="A1116" s="6"/>
    </row>
    <row r="1117" spans="1:1" x14ac:dyDescent="0.25">
      <c r="A1117" s="6"/>
    </row>
    <row r="1118" spans="1:1" x14ac:dyDescent="0.25">
      <c r="A1118" s="6"/>
    </row>
    <row r="1119" spans="1:1" x14ac:dyDescent="0.25">
      <c r="A1119" s="6"/>
    </row>
    <row r="1120" spans="1:1" x14ac:dyDescent="0.25">
      <c r="A1120" s="6"/>
    </row>
    <row r="1121" spans="1:1" x14ac:dyDescent="0.25">
      <c r="A1121" s="6"/>
    </row>
    <row r="1122" spans="1:1" x14ac:dyDescent="0.25">
      <c r="A1122" s="6"/>
    </row>
    <row r="1123" spans="1:1" x14ac:dyDescent="0.25">
      <c r="A1123" s="6"/>
    </row>
    <row r="1124" spans="1:1" x14ac:dyDescent="0.25">
      <c r="A1124" s="6"/>
    </row>
    <row r="1125" spans="1:1" x14ac:dyDescent="0.25">
      <c r="A1125" s="6"/>
    </row>
    <row r="1126" spans="1:1" x14ac:dyDescent="0.25">
      <c r="A1126" s="6"/>
    </row>
    <row r="1127" spans="1:1" x14ac:dyDescent="0.25">
      <c r="A1127" s="6"/>
    </row>
    <row r="1128" spans="1:1" x14ac:dyDescent="0.25">
      <c r="A1128" s="6"/>
    </row>
    <row r="1129" spans="1:1" x14ac:dyDescent="0.25">
      <c r="A1129" s="6"/>
    </row>
    <row r="1130" spans="1:1" x14ac:dyDescent="0.25">
      <c r="A1130" s="6"/>
    </row>
    <row r="1131" spans="1:1" x14ac:dyDescent="0.25">
      <c r="A1131" s="6"/>
    </row>
    <row r="1132" spans="1:1" x14ac:dyDescent="0.25">
      <c r="A1132" s="6"/>
    </row>
    <row r="1133" spans="1:1" x14ac:dyDescent="0.25">
      <c r="A1133" s="6"/>
    </row>
    <row r="1134" spans="1:1" x14ac:dyDescent="0.25">
      <c r="A1134" s="6"/>
    </row>
    <row r="1135" spans="1:1" x14ac:dyDescent="0.25">
      <c r="A1135" s="6"/>
    </row>
    <row r="1136" spans="1:1" x14ac:dyDescent="0.25">
      <c r="A1136" s="6"/>
    </row>
    <row r="1137" spans="1:1" x14ac:dyDescent="0.25">
      <c r="A1137" s="6"/>
    </row>
    <row r="1138" spans="1:1" x14ac:dyDescent="0.25">
      <c r="A1138" s="6"/>
    </row>
    <row r="1139" spans="1:1" x14ac:dyDescent="0.25">
      <c r="A1139" s="6"/>
    </row>
    <row r="1140" spans="1:1" x14ac:dyDescent="0.25">
      <c r="A1140" s="6"/>
    </row>
    <row r="1141" spans="1:1" x14ac:dyDescent="0.25">
      <c r="A1141" s="6"/>
    </row>
    <row r="1142" spans="1:1" x14ac:dyDescent="0.25">
      <c r="A1142" s="6"/>
    </row>
    <row r="1143" spans="1:1" x14ac:dyDescent="0.25">
      <c r="A1143" s="6"/>
    </row>
    <row r="1144" spans="1:1" x14ac:dyDescent="0.25">
      <c r="A1144" s="6"/>
    </row>
    <row r="1145" spans="1:1" x14ac:dyDescent="0.25">
      <c r="A1145" s="6"/>
    </row>
    <row r="1146" spans="1:1" x14ac:dyDescent="0.25">
      <c r="A1146" s="6"/>
    </row>
    <row r="1147" spans="1:1" x14ac:dyDescent="0.25">
      <c r="A1147" s="6"/>
    </row>
    <row r="1148" spans="1:1" x14ac:dyDescent="0.25">
      <c r="A1148" s="6"/>
    </row>
    <row r="1149" spans="1:1" x14ac:dyDescent="0.25">
      <c r="A1149" s="6"/>
    </row>
    <row r="1150" spans="1:1" x14ac:dyDescent="0.25">
      <c r="A1150" s="6"/>
    </row>
    <row r="1151" spans="1:1" x14ac:dyDescent="0.25">
      <c r="A1151" s="6"/>
    </row>
    <row r="1152" spans="1:1" x14ac:dyDescent="0.25">
      <c r="A1152" s="6"/>
    </row>
    <row r="1153" spans="1:1" x14ac:dyDescent="0.25">
      <c r="A1153" s="6"/>
    </row>
    <row r="1154" spans="1:1" x14ac:dyDescent="0.25">
      <c r="A1154" s="6"/>
    </row>
    <row r="1155" spans="1:1" x14ac:dyDescent="0.25">
      <c r="A1155" s="6"/>
    </row>
    <row r="1156" spans="1:1" x14ac:dyDescent="0.25">
      <c r="A1156" s="6"/>
    </row>
    <row r="1157" spans="1:1" x14ac:dyDescent="0.25">
      <c r="A1157" s="6"/>
    </row>
    <row r="1158" spans="1:1" x14ac:dyDescent="0.25">
      <c r="A1158" s="6"/>
    </row>
    <row r="1159" spans="1:1" x14ac:dyDescent="0.25">
      <c r="A1159" s="6"/>
    </row>
    <row r="1160" spans="1:1" x14ac:dyDescent="0.25">
      <c r="A1160" s="6"/>
    </row>
    <row r="1161" spans="1:1" x14ac:dyDescent="0.25">
      <c r="A1161" s="6"/>
    </row>
    <row r="1162" spans="1:1" x14ac:dyDescent="0.25">
      <c r="A1162" s="6"/>
    </row>
    <row r="1163" spans="1:1" x14ac:dyDescent="0.25">
      <c r="A1163" s="6"/>
    </row>
    <row r="1164" spans="1:1" x14ac:dyDescent="0.25">
      <c r="A1164" s="6"/>
    </row>
    <row r="1165" spans="1:1" x14ac:dyDescent="0.25">
      <c r="A1165" s="6"/>
    </row>
    <row r="1166" spans="1:1" x14ac:dyDescent="0.25">
      <c r="A1166" s="6"/>
    </row>
    <row r="1167" spans="1:1" x14ac:dyDescent="0.25">
      <c r="A1167" s="6"/>
    </row>
    <row r="1168" spans="1:1" x14ac:dyDescent="0.25">
      <c r="A1168" s="6"/>
    </row>
    <row r="1169" spans="1:1" x14ac:dyDescent="0.25">
      <c r="A1169" s="6"/>
    </row>
    <row r="1170" spans="1:1" x14ac:dyDescent="0.25">
      <c r="A1170" s="6"/>
    </row>
    <row r="1171" spans="1:1" x14ac:dyDescent="0.25">
      <c r="A1171" s="6"/>
    </row>
    <row r="1172" spans="1:1" x14ac:dyDescent="0.25">
      <c r="A1172" s="6"/>
    </row>
    <row r="1173" spans="1:1" x14ac:dyDescent="0.25">
      <c r="A1173" s="6"/>
    </row>
    <row r="1174" spans="1:1" x14ac:dyDescent="0.25">
      <c r="A1174" s="6"/>
    </row>
    <row r="1175" spans="1:1" x14ac:dyDescent="0.25">
      <c r="A1175" s="6"/>
    </row>
    <row r="1176" spans="1:1" x14ac:dyDescent="0.25">
      <c r="A1176" s="6"/>
    </row>
    <row r="1177" spans="1:1" x14ac:dyDescent="0.25">
      <c r="A1177" s="6"/>
    </row>
    <row r="1178" spans="1:1" x14ac:dyDescent="0.25">
      <c r="A1178" s="6"/>
    </row>
    <row r="1179" spans="1:1" x14ac:dyDescent="0.25">
      <c r="A1179" s="6"/>
    </row>
    <row r="1180" spans="1:1" x14ac:dyDescent="0.25">
      <c r="A1180" s="6"/>
    </row>
    <row r="1181" spans="1:1" x14ac:dyDescent="0.25">
      <c r="A1181" s="6"/>
    </row>
    <row r="1182" spans="1:1" x14ac:dyDescent="0.25">
      <c r="A1182" s="6"/>
    </row>
    <row r="1183" spans="1:1" x14ac:dyDescent="0.25">
      <c r="A1183" s="6"/>
    </row>
    <row r="1184" spans="1:1" x14ac:dyDescent="0.25">
      <c r="A1184" s="6"/>
    </row>
    <row r="1185" spans="1:1" x14ac:dyDescent="0.25">
      <c r="A1185" s="6"/>
    </row>
    <row r="1186" spans="1:1" x14ac:dyDescent="0.25">
      <c r="A1186" s="6"/>
    </row>
    <row r="1187" spans="1:1" x14ac:dyDescent="0.25">
      <c r="A1187" s="6"/>
    </row>
    <row r="1188" spans="1:1" x14ac:dyDescent="0.25">
      <c r="A1188" s="6"/>
    </row>
    <row r="1189" spans="1:1" x14ac:dyDescent="0.25">
      <c r="A1189" s="6"/>
    </row>
    <row r="1190" spans="1:1" x14ac:dyDescent="0.25">
      <c r="A1190" s="6"/>
    </row>
    <row r="1191" spans="1:1" x14ac:dyDescent="0.25">
      <c r="A1191" s="6"/>
    </row>
    <row r="1192" spans="1:1" x14ac:dyDescent="0.25">
      <c r="A1192" s="6"/>
    </row>
    <row r="1193" spans="1:1" x14ac:dyDescent="0.25">
      <c r="A1193" s="6"/>
    </row>
    <row r="1194" spans="1:1" x14ac:dyDescent="0.25">
      <c r="A1194" s="6"/>
    </row>
    <row r="1195" spans="1:1" x14ac:dyDescent="0.25">
      <c r="A1195" s="6"/>
    </row>
    <row r="1196" spans="1:1" x14ac:dyDescent="0.25">
      <c r="A1196" s="6"/>
    </row>
    <row r="1197" spans="1:1" x14ac:dyDescent="0.25">
      <c r="A1197" s="6"/>
    </row>
    <row r="1198" spans="1:1" x14ac:dyDescent="0.25">
      <c r="A1198" s="6"/>
    </row>
    <row r="1199" spans="1:1" x14ac:dyDescent="0.25">
      <c r="A1199" s="6"/>
    </row>
    <row r="1200" spans="1:1" x14ac:dyDescent="0.25">
      <c r="A1200" s="6"/>
    </row>
    <row r="1201" spans="1:1" x14ac:dyDescent="0.25">
      <c r="A1201" s="6"/>
    </row>
    <row r="1202" spans="1:1" x14ac:dyDescent="0.25">
      <c r="A1202" s="6"/>
    </row>
    <row r="1203" spans="1:1" x14ac:dyDescent="0.25">
      <c r="A1203" s="6"/>
    </row>
    <row r="1204" spans="1:1" x14ac:dyDescent="0.25">
      <c r="A1204" s="6"/>
    </row>
    <row r="1205" spans="1:1" x14ac:dyDescent="0.25">
      <c r="A1205" s="6"/>
    </row>
    <row r="1206" spans="1:1" x14ac:dyDescent="0.25">
      <c r="A1206" s="6"/>
    </row>
    <row r="1207" spans="1:1" x14ac:dyDescent="0.25">
      <c r="A1207" s="6"/>
    </row>
    <row r="1208" spans="1:1" x14ac:dyDescent="0.25">
      <c r="A1208" s="6"/>
    </row>
    <row r="1209" spans="1:1" x14ac:dyDescent="0.25">
      <c r="A1209" s="6"/>
    </row>
    <row r="1210" spans="1:1" x14ac:dyDescent="0.25">
      <c r="A1210" s="6"/>
    </row>
    <row r="1211" spans="1:1" x14ac:dyDescent="0.25">
      <c r="A1211" s="6"/>
    </row>
    <row r="1212" spans="1:1" x14ac:dyDescent="0.25">
      <c r="A1212" s="6"/>
    </row>
    <row r="1213" spans="1:1" x14ac:dyDescent="0.25">
      <c r="A1213" s="6"/>
    </row>
    <row r="1214" spans="1:1" x14ac:dyDescent="0.25">
      <c r="A1214" s="6"/>
    </row>
    <row r="1215" spans="1:1" x14ac:dyDescent="0.25">
      <c r="A1215" s="6"/>
    </row>
    <row r="1216" spans="1:1" x14ac:dyDescent="0.25">
      <c r="A1216" s="6"/>
    </row>
    <row r="1217" spans="1:1" x14ac:dyDescent="0.25">
      <c r="A1217" s="6"/>
    </row>
    <row r="1218" spans="1:1" x14ac:dyDescent="0.25">
      <c r="A1218" s="6"/>
    </row>
    <row r="1219" spans="1:1" x14ac:dyDescent="0.25">
      <c r="A1219" s="6"/>
    </row>
    <row r="1220" spans="1:1" x14ac:dyDescent="0.25">
      <c r="A1220" s="6"/>
    </row>
    <row r="1221" spans="1:1" x14ac:dyDescent="0.25">
      <c r="A1221" s="6"/>
    </row>
    <row r="1222" spans="1:1" x14ac:dyDescent="0.25">
      <c r="A1222" s="6"/>
    </row>
    <row r="1223" spans="1:1" x14ac:dyDescent="0.25">
      <c r="A1223" s="6"/>
    </row>
    <row r="1224" spans="1:1" x14ac:dyDescent="0.25">
      <c r="A1224" s="6"/>
    </row>
    <row r="1225" spans="1:1" x14ac:dyDescent="0.25">
      <c r="A1225" s="6"/>
    </row>
    <row r="1226" spans="1:1" x14ac:dyDescent="0.25">
      <c r="A1226" s="6"/>
    </row>
    <row r="1227" spans="1:1" x14ac:dyDescent="0.25">
      <c r="A1227" s="6"/>
    </row>
    <row r="1228" spans="1:1" x14ac:dyDescent="0.25">
      <c r="A1228" s="6"/>
    </row>
    <row r="1229" spans="1:1" x14ac:dyDescent="0.25">
      <c r="A1229" s="6"/>
    </row>
    <row r="1230" spans="1:1" x14ac:dyDescent="0.25">
      <c r="A1230" s="6"/>
    </row>
    <row r="1231" spans="1:1" x14ac:dyDescent="0.25">
      <c r="A1231" s="6"/>
    </row>
    <row r="1232" spans="1:1" x14ac:dyDescent="0.25">
      <c r="A1232" s="6"/>
    </row>
    <row r="1233" spans="1:1" x14ac:dyDescent="0.25">
      <c r="A1233" s="6"/>
    </row>
    <row r="1234" spans="1:1" x14ac:dyDescent="0.25">
      <c r="A1234" s="6"/>
    </row>
    <row r="1235" spans="1:1" x14ac:dyDescent="0.25">
      <c r="A1235" s="6"/>
    </row>
    <row r="1236" spans="1:1" x14ac:dyDescent="0.25">
      <c r="A1236" s="6"/>
    </row>
    <row r="1237" spans="1:1" x14ac:dyDescent="0.25">
      <c r="A1237" s="6"/>
    </row>
    <row r="1238" spans="1:1" x14ac:dyDescent="0.25">
      <c r="A1238" s="6"/>
    </row>
    <row r="1239" spans="1:1" x14ac:dyDescent="0.25">
      <c r="A1239" s="6"/>
    </row>
    <row r="1240" spans="1:1" x14ac:dyDescent="0.25">
      <c r="A1240" s="6"/>
    </row>
    <row r="1241" spans="1:1" x14ac:dyDescent="0.25">
      <c r="A1241" s="6"/>
    </row>
    <row r="1242" spans="1:1" x14ac:dyDescent="0.25">
      <c r="A1242" s="6"/>
    </row>
    <row r="1243" spans="1:1" x14ac:dyDescent="0.25">
      <c r="A1243" s="6"/>
    </row>
    <row r="1244" spans="1:1" x14ac:dyDescent="0.25">
      <c r="A1244" s="6"/>
    </row>
    <row r="1245" spans="1:1" x14ac:dyDescent="0.25">
      <c r="A1245" s="6"/>
    </row>
    <row r="1246" spans="1:1" x14ac:dyDescent="0.25">
      <c r="A1246" s="6"/>
    </row>
    <row r="1247" spans="1:1" x14ac:dyDescent="0.25">
      <c r="A1247" s="6"/>
    </row>
    <row r="1248" spans="1:1" x14ac:dyDescent="0.25">
      <c r="A1248" s="6"/>
    </row>
    <row r="1249" spans="1:1" x14ac:dyDescent="0.25">
      <c r="A1249" s="6"/>
    </row>
    <row r="1250" spans="1:1" x14ac:dyDescent="0.25">
      <c r="A1250" s="6"/>
    </row>
    <row r="1251" spans="1:1" x14ac:dyDescent="0.25">
      <c r="A1251" s="6"/>
    </row>
    <row r="1252" spans="1:1" x14ac:dyDescent="0.25">
      <c r="A1252" s="6"/>
    </row>
    <row r="1253" spans="1:1" x14ac:dyDescent="0.25">
      <c r="A1253" s="6"/>
    </row>
    <row r="1254" spans="1:1" x14ac:dyDescent="0.25">
      <c r="A1254" s="6"/>
    </row>
    <row r="1255" spans="1:1" x14ac:dyDescent="0.25">
      <c r="A1255" s="6"/>
    </row>
    <row r="1256" spans="1:1" x14ac:dyDescent="0.25">
      <c r="A1256" s="6"/>
    </row>
    <row r="1257" spans="1:1" x14ac:dyDescent="0.25">
      <c r="A1257" s="6"/>
    </row>
    <row r="1258" spans="1:1" x14ac:dyDescent="0.25">
      <c r="A1258" s="6"/>
    </row>
    <row r="1259" spans="1:1" x14ac:dyDescent="0.25">
      <c r="A1259" s="6"/>
    </row>
    <row r="1260" spans="1:1" x14ac:dyDescent="0.25">
      <c r="A1260" s="6"/>
    </row>
    <row r="1261" spans="1:1" x14ac:dyDescent="0.25">
      <c r="A1261" s="6"/>
    </row>
    <row r="1262" spans="1:1" x14ac:dyDescent="0.25">
      <c r="A1262" s="6"/>
    </row>
    <row r="1263" spans="1:1" x14ac:dyDescent="0.25">
      <c r="A1263" s="6"/>
    </row>
    <row r="1264" spans="1:1" x14ac:dyDescent="0.25">
      <c r="A1264" s="6"/>
    </row>
    <row r="1265" spans="1:1" x14ac:dyDescent="0.25">
      <c r="A1265" s="6"/>
    </row>
    <row r="1266" spans="1:1" x14ac:dyDescent="0.25">
      <c r="A1266" s="6"/>
    </row>
    <row r="1267" spans="1:1" x14ac:dyDescent="0.25">
      <c r="A1267" s="6"/>
    </row>
    <row r="1268" spans="1:1" x14ac:dyDescent="0.25">
      <c r="A1268" s="6"/>
    </row>
    <row r="1269" spans="1:1" x14ac:dyDescent="0.25">
      <c r="A1269" s="6"/>
    </row>
    <row r="1270" spans="1:1" x14ac:dyDescent="0.25">
      <c r="A1270" s="6"/>
    </row>
    <row r="1271" spans="1:1" x14ac:dyDescent="0.25">
      <c r="A1271" s="6"/>
    </row>
    <row r="1272" spans="1:1" x14ac:dyDescent="0.25">
      <c r="A1272" s="6"/>
    </row>
    <row r="1273" spans="1:1" x14ac:dyDescent="0.25">
      <c r="A1273" s="6"/>
    </row>
    <row r="1274" spans="1:1" x14ac:dyDescent="0.25">
      <c r="A1274" s="6"/>
    </row>
    <row r="1275" spans="1:1" x14ac:dyDescent="0.25">
      <c r="A1275" s="6"/>
    </row>
    <row r="1276" spans="1:1" x14ac:dyDescent="0.25">
      <c r="A1276" s="6"/>
    </row>
    <row r="1277" spans="1:1" x14ac:dyDescent="0.25">
      <c r="A1277" s="6"/>
    </row>
    <row r="1278" spans="1:1" x14ac:dyDescent="0.25">
      <c r="A1278" s="6"/>
    </row>
    <row r="1279" spans="1:1" x14ac:dyDescent="0.25">
      <c r="A1279" s="6"/>
    </row>
    <row r="1280" spans="1:1" x14ac:dyDescent="0.25">
      <c r="A1280" s="6"/>
    </row>
    <row r="1281" spans="1:1" x14ac:dyDescent="0.25">
      <c r="A1281" s="6"/>
    </row>
    <row r="1282" spans="1:1" x14ac:dyDescent="0.25">
      <c r="A1282" s="6"/>
    </row>
    <row r="1283" spans="1:1" x14ac:dyDescent="0.25">
      <c r="A1283" s="6"/>
    </row>
    <row r="1284" spans="1:1" x14ac:dyDescent="0.25">
      <c r="A1284" s="6"/>
    </row>
    <row r="1285" spans="1:1" x14ac:dyDescent="0.25">
      <c r="A1285" s="6"/>
    </row>
  </sheetData>
  <mergeCells count="1">
    <mergeCell ref="A2:A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Label1">
          <controlPr defaultSize="0" autoLine="0" autoPict="0" r:id="rId4">
            <anchor moveWithCells="1">
              <from>
                <xdr:col>0</xdr:col>
                <xdr:colOff>19050</xdr:colOff>
                <xdr:row>1</xdr:row>
                <xdr:rowOff>38100</xdr:rowOff>
              </from>
              <to>
                <xdr:col>0</xdr:col>
                <xdr:colOff>1009650</xdr:colOff>
                <xdr:row>5</xdr:row>
                <xdr:rowOff>152400</xdr:rowOff>
              </to>
            </anchor>
          </controlPr>
        </control>
      </mc:Choice>
      <mc:Fallback>
        <control shapeId="5122" r:id="rId3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137"/>
  <sheetViews>
    <sheetView workbookViewId="0">
      <selection activeCell="G6" sqref="G6"/>
    </sheetView>
  </sheetViews>
  <sheetFormatPr defaultRowHeight="15" x14ac:dyDescent="0.25"/>
  <cols>
    <col min="1" max="1" width="15.85546875" style="1" bestFit="1" customWidth="1"/>
    <col min="2" max="16384" width="9.140625" style="1"/>
  </cols>
  <sheetData>
    <row r="1" spans="1:32" x14ac:dyDescent="0.25">
      <c r="B1" s="1" t="s">
        <v>55</v>
      </c>
      <c r="C1" s="1" t="s">
        <v>75</v>
      </c>
      <c r="D1" s="1" t="s">
        <v>78</v>
      </c>
      <c r="E1" s="1" t="s">
        <v>81</v>
      </c>
      <c r="F1" s="1" t="s">
        <v>57</v>
      </c>
      <c r="G1" s="1" t="s">
        <v>85</v>
      </c>
      <c r="H1" s="1" t="s">
        <v>88</v>
      </c>
      <c r="I1" s="1" t="s">
        <v>91</v>
      </c>
      <c r="J1" s="1" t="s">
        <v>94</v>
      </c>
      <c r="K1" s="1" t="s">
        <v>97</v>
      </c>
      <c r="L1" s="1" t="s">
        <v>100</v>
      </c>
      <c r="M1" s="1" t="s">
        <v>64</v>
      </c>
      <c r="N1" s="1" t="s">
        <v>59</v>
      </c>
      <c r="O1" s="1" t="s">
        <v>106</v>
      </c>
      <c r="P1" s="1" t="s">
        <v>109</v>
      </c>
      <c r="Q1" s="1" t="s">
        <v>65</v>
      </c>
      <c r="R1" s="1" t="s">
        <v>61</v>
      </c>
      <c r="S1" s="1" t="s">
        <v>49</v>
      </c>
      <c r="T1" s="1" t="s">
        <v>116</v>
      </c>
      <c r="U1" s="1" t="s">
        <v>119</v>
      </c>
      <c r="V1" s="1" t="s">
        <v>122</v>
      </c>
      <c r="W1" s="1" t="s">
        <v>125</v>
      </c>
      <c r="X1" s="1" t="s">
        <v>128</v>
      </c>
      <c r="Y1" s="1" t="s">
        <v>131</v>
      </c>
      <c r="Z1" s="1" t="s">
        <v>134</v>
      </c>
      <c r="AA1" s="1" t="s">
        <v>51</v>
      </c>
      <c r="AB1" s="1" t="s">
        <v>53</v>
      </c>
      <c r="AC1" s="1" t="s">
        <v>139</v>
      </c>
      <c r="AD1" s="1" t="s">
        <v>142</v>
      </c>
      <c r="AE1" s="1" t="s">
        <v>63</v>
      </c>
      <c r="AF1" s="1" t="s">
        <v>146</v>
      </c>
    </row>
    <row r="2" spans="1:32" x14ac:dyDescent="0.25">
      <c r="B2" s="1" t="s">
        <v>13</v>
      </c>
      <c r="C2" s="1" t="s">
        <v>15</v>
      </c>
      <c r="D2" s="1" t="s">
        <v>16</v>
      </c>
      <c r="E2" s="1" t="s">
        <v>18</v>
      </c>
      <c r="F2" s="1" t="s">
        <v>42</v>
      </c>
      <c r="G2" s="1" t="s">
        <v>17</v>
      </c>
      <c r="H2" s="1" t="s">
        <v>19</v>
      </c>
      <c r="I2" s="1" t="s">
        <v>20</v>
      </c>
      <c r="J2" s="1" t="s">
        <v>21</v>
      </c>
      <c r="K2" s="1" t="s">
        <v>22</v>
      </c>
      <c r="L2" s="1" t="s">
        <v>23</v>
      </c>
      <c r="M2" s="1" t="s">
        <v>44</v>
      </c>
      <c r="N2" s="1" t="s">
        <v>24</v>
      </c>
      <c r="O2" s="1" t="s">
        <v>25</v>
      </c>
      <c r="P2" s="1" t="s">
        <v>43</v>
      </c>
      <c r="Q2" s="1" t="s">
        <v>26</v>
      </c>
      <c r="R2" s="1" t="s">
        <v>27</v>
      </c>
      <c r="S2" s="1" t="s">
        <v>29</v>
      </c>
      <c r="T2" s="1" t="s">
        <v>28</v>
      </c>
      <c r="U2" s="1" t="s">
        <v>45</v>
      </c>
      <c r="V2" s="1" t="s">
        <v>66</v>
      </c>
      <c r="W2" s="1" t="s">
        <v>33</v>
      </c>
      <c r="X2" s="1" t="s">
        <v>34</v>
      </c>
      <c r="Y2" s="1" t="s">
        <v>30</v>
      </c>
      <c r="Z2" s="1" t="s">
        <v>67</v>
      </c>
      <c r="AA2" s="1" t="s">
        <v>31</v>
      </c>
      <c r="AB2" s="1" t="s">
        <v>32</v>
      </c>
      <c r="AC2" s="1" t="s">
        <v>35</v>
      </c>
      <c r="AD2" s="1" t="s">
        <v>46</v>
      </c>
      <c r="AE2" s="1" t="s">
        <v>14</v>
      </c>
      <c r="AF2" s="1" t="s">
        <v>47</v>
      </c>
    </row>
    <row r="3" spans="1:32" x14ac:dyDescent="0.25">
      <c r="A3" s="6">
        <v>27053.375</v>
      </c>
      <c r="B3" s="1">
        <f>0</f>
        <v>0</v>
      </c>
      <c r="C3" s="1">
        <f>0</f>
        <v>0</v>
      </c>
      <c r="D3" s="1">
        <f>0</f>
        <v>0</v>
      </c>
      <c r="E3" s="1">
        <f>0</f>
        <v>0</v>
      </c>
      <c r="F3" s="1">
        <f>0</f>
        <v>0</v>
      </c>
      <c r="G3" s="1">
        <f>0</f>
        <v>0</v>
      </c>
      <c r="H3" s="1">
        <f>0</f>
        <v>0</v>
      </c>
      <c r="I3" s="1">
        <f>0</f>
        <v>0</v>
      </c>
      <c r="J3" s="1">
        <f>0</f>
        <v>0</v>
      </c>
      <c r="K3" s="1">
        <f>0</f>
        <v>0</v>
      </c>
      <c r="L3" s="1">
        <f>0</f>
        <v>0</v>
      </c>
      <c r="M3" s="1">
        <f>0</f>
        <v>0</v>
      </c>
      <c r="N3" s="1">
        <f>0</f>
        <v>0</v>
      </c>
      <c r="O3" s="1">
        <f>0</f>
        <v>0</v>
      </c>
      <c r="P3" s="1">
        <f>0</f>
        <v>0</v>
      </c>
      <c r="Q3" s="1">
        <f>0</f>
        <v>0</v>
      </c>
      <c r="R3" s="1">
        <f>0</f>
        <v>0</v>
      </c>
      <c r="S3" s="1">
        <f>0</f>
        <v>0</v>
      </c>
      <c r="T3" s="1">
        <f>0</f>
        <v>0</v>
      </c>
      <c r="U3" s="1">
        <f>0</f>
        <v>0</v>
      </c>
      <c r="V3" s="1">
        <f>0</f>
        <v>0</v>
      </c>
      <c r="W3" s="1">
        <f>0</f>
        <v>0</v>
      </c>
      <c r="X3" s="1">
        <f>0</f>
        <v>0</v>
      </c>
      <c r="Y3" s="1">
        <f>0</f>
        <v>0</v>
      </c>
      <c r="Z3" s="1">
        <f>0</f>
        <v>0</v>
      </c>
      <c r="AA3" s="1">
        <f>0</f>
        <v>0</v>
      </c>
      <c r="AB3" s="1">
        <f>0</f>
        <v>0</v>
      </c>
      <c r="AC3" s="1">
        <f>0</f>
        <v>0</v>
      </c>
      <c r="AD3" s="1">
        <f>0</f>
        <v>0</v>
      </c>
      <c r="AE3" s="1">
        <f>0</f>
        <v>0</v>
      </c>
      <c r="AF3" s="1">
        <f>0</f>
        <v>0</v>
      </c>
    </row>
    <row r="4" spans="1:32" x14ac:dyDescent="0.25">
      <c r="A4" s="6">
        <v>27053.416666666668</v>
      </c>
      <c r="B4" s="1">
        <f>B3+'.r file'!B9</f>
        <v>5.04</v>
      </c>
      <c r="C4" s="1">
        <f>C3+'.r file'!C9</f>
        <v>0</v>
      </c>
      <c r="D4" s="1">
        <f>D3+'.r file'!D9</f>
        <v>0</v>
      </c>
      <c r="E4" s="1">
        <f>E3+'.r file'!E9</f>
        <v>0</v>
      </c>
      <c r="F4" s="1">
        <f>F3+'.r file'!F9</f>
        <v>0.9</v>
      </c>
      <c r="G4" s="1">
        <f>G3+'.r file'!G9</f>
        <v>0.5</v>
      </c>
      <c r="H4" s="1">
        <f>H3+'.r file'!H9</f>
        <v>2</v>
      </c>
      <c r="I4" s="1">
        <f>I3+'.r file'!I9</f>
        <v>0</v>
      </c>
      <c r="J4" s="1">
        <f>J3+'.r file'!J9</f>
        <v>0</v>
      </c>
      <c r="K4" s="1">
        <f>K3+'.r file'!K9</f>
        <v>1</v>
      </c>
      <c r="L4" s="1">
        <f>L3+'.r file'!L9</f>
        <v>1.33</v>
      </c>
      <c r="M4" s="1">
        <f>M3+'.r file'!M9</f>
        <v>2</v>
      </c>
      <c r="N4" s="1">
        <f>N3+'.r file'!N9</f>
        <v>0</v>
      </c>
      <c r="O4" s="1">
        <f>O3+'.r file'!O9</f>
        <v>1</v>
      </c>
      <c r="P4" s="1">
        <f>P3+'.r file'!P9</f>
        <v>0</v>
      </c>
      <c r="Q4" s="1">
        <f>Q3+'.r file'!Q9</f>
        <v>1</v>
      </c>
      <c r="R4" s="1">
        <f>R3+'.r file'!R9</f>
        <v>0.78</v>
      </c>
      <c r="S4" s="1">
        <f>S3+'.r file'!S9</f>
        <v>0</v>
      </c>
      <c r="T4" s="1">
        <f>T3+'.r file'!T9</f>
        <v>0</v>
      </c>
      <c r="U4" s="1">
        <f>U3+'.r file'!U9</f>
        <v>0.09</v>
      </c>
      <c r="V4" s="1">
        <f>V3+'.r file'!V9</f>
        <v>0</v>
      </c>
      <c r="W4" s="1">
        <f>W3+'.r file'!W9</f>
        <v>0</v>
      </c>
      <c r="X4" s="1">
        <f>X3+'.r file'!X9</f>
        <v>0</v>
      </c>
      <c r="Y4" s="1">
        <f>Y3+'.r file'!Y9</f>
        <v>0</v>
      </c>
      <c r="Z4" s="1">
        <f>Z3+'.r file'!Z9</f>
        <v>0</v>
      </c>
      <c r="AA4" s="1">
        <f>AA3+'.r file'!AA9</f>
        <v>0</v>
      </c>
      <c r="AB4" s="1">
        <f>AB3+'.r file'!AB9</f>
        <v>0</v>
      </c>
      <c r="AC4" s="1">
        <f>AC3+'.r file'!AC9</f>
        <v>0</v>
      </c>
      <c r="AD4" s="1">
        <f>AD3+'.r file'!AD9</f>
        <v>0</v>
      </c>
      <c r="AE4" s="1">
        <f>AE3+'.r file'!AE9</f>
        <v>4.41</v>
      </c>
      <c r="AF4" s="1">
        <f>AF3+'.r file'!AF9</f>
        <v>5.77</v>
      </c>
    </row>
    <row r="5" spans="1:32" x14ac:dyDescent="0.25">
      <c r="A5" s="6">
        <v>27053.458333333332</v>
      </c>
      <c r="B5" s="1">
        <f>B4+'.r file'!B10</f>
        <v>23.14</v>
      </c>
      <c r="C5" s="1">
        <f>C4+'.r file'!C10</f>
        <v>0</v>
      </c>
      <c r="D5" s="1">
        <f>D4+'.r file'!D10</f>
        <v>1</v>
      </c>
      <c r="E5" s="1">
        <f>E4+'.r file'!E10</f>
        <v>0</v>
      </c>
      <c r="F5" s="1">
        <f>F4+'.r file'!F10</f>
        <v>2.56</v>
      </c>
      <c r="G5" s="1">
        <f>G4+'.r file'!G10</f>
        <v>1.68</v>
      </c>
      <c r="H5" s="1">
        <f>H4+'.r file'!H10</f>
        <v>3</v>
      </c>
      <c r="I5" s="1">
        <f>I4+'.r file'!I10</f>
        <v>0</v>
      </c>
      <c r="J5" s="1">
        <f>J4+'.r file'!J10</f>
        <v>0</v>
      </c>
      <c r="K5" s="1">
        <f>K4+'.r file'!K10</f>
        <v>1</v>
      </c>
      <c r="L5" s="1">
        <f>L4+'.r file'!L10</f>
        <v>2.66</v>
      </c>
      <c r="M5" s="1">
        <f>M4+'.r file'!M10</f>
        <v>4</v>
      </c>
      <c r="N5" s="1">
        <f>N4+'.r file'!N10</f>
        <v>0</v>
      </c>
      <c r="O5" s="1">
        <f>O4+'.r file'!O10</f>
        <v>1</v>
      </c>
      <c r="P5" s="1">
        <f>P4+'.r file'!P10</f>
        <v>0</v>
      </c>
      <c r="Q5" s="1">
        <f>Q4+'.r file'!Q10</f>
        <v>1</v>
      </c>
      <c r="R5" s="1">
        <f>R4+'.r file'!R10</f>
        <v>1.8</v>
      </c>
      <c r="S5" s="1">
        <f>S4+'.r file'!S10</f>
        <v>0</v>
      </c>
      <c r="T5" s="1">
        <f>T4+'.r file'!T10</f>
        <v>1</v>
      </c>
      <c r="U5" s="1">
        <f>U4+'.r file'!U10</f>
        <v>0.61</v>
      </c>
      <c r="V5" s="1">
        <f>V4+'.r file'!V10</f>
        <v>1</v>
      </c>
      <c r="W5" s="1">
        <f>W4+'.r file'!W10</f>
        <v>2</v>
      </c>
      <c r="X5" s="1">
        <f>X4+'.r file'!X10</f>
        <v>1</v>
      </c>
      <c r="Y5" s="1">
        <f>Y4+'.r file'!Y10</f>
        <v>0</v>
      </c>
      <c r="Z5" s="1">
        <f>Z4+'.r file'!Z10</f>
        <v>0.85</v>
      </c>
      <c r="AA5" s="1">
        <f>AA4+'.r file'!AA10</f>
        <v>3.22</v>
      </c>
      <c r="AB5" s="1">
        <f>AB4+'.r file'!AB10</f>
        <v>2.85</v>
      </c>
      <c r="AC5" s="1">
        <f>AC4+'.r file'!AC10</f>
        <v>1</v>
      </c>
      <c r="AD5" s="1">
        <f>AD4+'.r file'!AD10</f>
        <v>0</v>
      </c>
      <c r="AE5" s="1">
        <f>AE4+'.r file'!AE10</f>
        <v>5.79</v>
      </c>
      <c r="AF5" s="1">
        <f>AF4+'.r file'!AF10</f>
        <v>8.24</v>
      </c>
    </row>
    <row r="6" spans="1:32" x14ac:dyDescent="0.25">
      <c r="A6" s="6">
        <v>27053.5</v>
      </c>
      <c r="B6" s="1">
        <f>B5+'.r file'!B11</f>
        <v>28.48</v>
      </c>
      <c r="C6" s="1">
        <f>C5+'.r file'!C11</f>
        <v>0</v>
      </c>
      <c r="D6" s="1">
        <f>D5+'.r file'!D11</f>
        <v>4</v>
      </c>
      <c r="E6" s="1">
        <f>E5+'.r file'!E11</f>
        <v>0</v>
      </c>
      <c r="F6" s="1">
        <f>F5+'.r file'!F11</f>
        <v>4.5999999999999996</v>
      </c>
      <c r="G6" s="1">
        <f>G5+'.r file'!G11</f>
        <v>2.98</v>
      </c>
      <c r="H6" s="1">
        <f>H5+'.r file'!H11</f>
        <v>3</v>
      </c>
      <c r="I6" s="1">
        <f>I5+'.r file'!I11</f>
        <v>0</v>
      </c>
      <c r="J6" s="1">
        <f>J5+'.r file'!J11</f>
        <v>0</v>
      </c>
      <c r="K6" s="1">
        <f>K5+'.r file'!K11</f>
        <v>1</v>
      </c>
      <c r="L6" s="1">
        <f>L5+'.r file'!L11</f>
        <v>3.99</v>
      </c>
      <c r="M6" s="1">
        <f>M5+'.r file'!M11</f>
        <v>11</v>
      </c>
      <c r="N6" s="1">
        <f>N5+'.r file'!N11</f>
        <v>0</v>
      </c>
      <c r="O6" s="1">
        <f>O5+'.r file'!O11</f>
        <v>1</v>
      </c>
      <c r="P6" s="1">
        <f>P5+'.r file'!P11</f>
        <v>1.1000000000000001</v>
      </c>
      <c r="Q6" s="1">
        <f>Q5+'.r file'!Q11</f>
        <v>1</v>
      </c>
      <c r="R6" s="1">
        <f>R5+'.r file'!R11</f>
        <v>1.8</v>
      </c>
      <c r="S6" s="1">
        <f>S5+'.r file'!S11</f>
        <v>0</v>
      </c>
      <c r="T6" s="1">
        <f>T5+'.r file'!T11</f>
        <v>6</v>
      </c>
      <c r="U6" s="1">
        <f>U5+'.r file'!U11</f>
        <v>6.82</v>
      </c>
      <c r="V6" s="1">
        <f>V5+'.r file'!V11</f>
        <v>6</v>
      </c>
      <c r="W6" s="1">
        <f>W5+'.r file'!W11</f>
        <v>6</v>
      </c>
      <c r="X6" s="1">
        <f>X5+'.r file'!X11</f>
        <v>2</v>
      </c>
      <c r="Y6" s="1">
        <f>Y5+'.r file'!Y11</f>
        <v>2</v>
      </c>
      <c r="Z6" s="1">
        <f>Z5+'.r file'!Z11</f>
        <v>6.0699999999999994</v>
      </c>
      <c r="AA6" s="1">
        <f>AA5+'.r file'!AA11</f>
        <v>9.5500000000000007</v>
      </c>
      <c r="AB6" s="1">
        <f>AB5+'.r file'!AB11</f>
        <v>6.52</v>
      </c>
      <c r="AC6" s="1">
        <f>AC5+'.r file'!AC11</f>
        <v>5</v>
      </c>
      <c r="AD6" s="1">
        <f>AD5+'.r file'!AD11</f>
        <v>0</v>
      </c>
      <c r="AE6" s="1">
        <f>AE5+'.r file'!AE11</f>
        <v>6</v>
      </c>
      <c r="AF6" s="1">
        <f>AF5+'.r file'!AF11</f>
        <v>10.61</v>
      </c>
    </row>
    <row r="7" spans="1:32" x14ac:dyDescent="0.25">
      <c r="A7" s="6">
        <v>27053.541666666668</v>
      </c>
      <c r="B7" s="1">
        <f>B6+'.r file'!B12</f>
        <v>38.03</v>
      </c>
      <c r="C7" s="1">
        <f>C6+'.r file'!C12</f>
        <v>0</v>
      </c>
      <c r="D7" s="1">
        <f>D6+'.r file'!D12</f>
        <v>7</v>
      </c>
      <c r="E7" s="1">
        <f>E6+'.r file'!E12</f>
        <v>0</v>
      </c>
      <c r="F7" s="1">
        <f>F6+'.r file'!F12</f>
        <v>6.8</v>
      </c>
      <c r="G7" s="1">
        <f>G6+'.r file'!G12</f>
        <v>4.2699999999999996</v>
      </c>
      <c r="H7" s="1">
        <f>H6+'.r file'!H12</f>
        <v>5</v>
      </c>
      <c r="I7" s="1">
        <f>I6+'.r file'!I12</f>
        <v>0</v>
      </c>
      <c r="J7" s="1">
        <f>J6+'.r file'!J12</f>
        <v>1</v>
      </c>
      <c r="K7" s="1">
        <f>K6+'.r file'!K12</f>
        <v>1</v>
      </c>
      <c r="L7" s="1">
        <f>L6+'.r file'!L12</f>
        <v>5.32</v>
      </c>
      <c r="M7" s="1">
        <f>M6+'.r file'!M12</f>
        <v>21</v>
      </c>
      <c r="N7" s="1">
        <f>N6+'.r file'!N12</f>
        <v>0</v>
      </c>
      <c r="O7" s="1">
        <f>O6+'.r file'!O12</f>
        <v>1</v>
      </c>
      <c r="P7" s="1">
        <f>P6+'.r file'!P12</f>
        <v>1.1000000000000001</v>
      </c>
      <c r="Q7" s="1">
        <f>Q6+'.r file'!Q12</f>
        <v>1</v>
      </c>
      <c r="R7" s="1">
        <f>R6+'.r file'!R12</f>
        <v>1.8</v>
      </c>
      <c r="S7" s="1">
        <f>S6+'.r file'!S12</f>
        <v>1.2</v>
      </c>
      <c r="T7" s="1">
        <f>T6+'.r file'!T12</f>
        <v>12</v>
      </c>
      <c r="U7" s="1">
        <f>U6+'.r file'!U12</f>
        <v>16.27</v>
      </c>
      <c r="V7" s="1">
        <f>V6+'.r file'!V12</f>
        <v>11</v>
      </c>
      <c r="W7" s="1">
        <f>W6+'.r file'!W12</f>
        <v>11</v>
      </c>
      <c r="X7" s="1">
        <f>X6+'.r file'!X12</f>
        <v>14</v>
      </c>
      <c r="Y7" s="1">
        <f>Y6+'.r file'!Y12</f>
        <v>8</v>
      </c>
      <c r="Z7" s="1">
        <f>Z6+'.r file'!Z12</f>
        <v>12.8</v>
      </c>
      <c r="AA7" s="1">
        <f>AA6+'.r file'!AA12</f>
        <v>13.600000000000001</v>
      </c>
      <c r="AB7" s="1">
        <f>AB6+'.r file'!AB12</f>
        <v>8.3099999999999987</v>
      </c>
      <c r="AC7" s="1">
        <f>AC6+'.r file'!AC12</f>
        <v>14</v>
      </c>
      <c r="AD7" s="1">
        <f>AD6+'.r file'!AD12</f>
        <v>0</v>
      </c>
      <c r="AE7" s="1">
        <f>AE6+'.r file'!AE12</f>
        <v>6.1</v>
      </c>
      <c r="AF7" s="1">
        <f>AF6+'.r file'!AF12</f>
        <v>11.01</v>
      </c>
    </row>
    <row r="8" spans="1:32" x14ac:dyDescent="0.25">
      <c r="A8" s="6">
        <v>27053.583333333332</v>
      </c>
      <c r="B8" s="1">
        <f>B7+'.r file'!B13</f>
        <v>40.32</v>
      </c>
      <c r="C8" s="1">
        <f>C7+'.r file'!C13</f>
        <v>0</v>
      </c>
      <c r="D8" s="1">
        <f>D7+'.r file'!D13</f>
        <v>11</v>
      </c>
      <c r="E8" s="1">
        <f>E7+'.r file'!E13</f>
        <v>1</v>
      </c>
      <c r="F8" s="1">
        <f>F7+'.r file'!F13</f>
        <v>6.8999999999999995</v>
      </c>
      <c r="G8" s="1">
        <f>G7+'.r file'!G13</f>
        <v>6.06</v>
      </c>
      <c r="H8" s="1">
        <f>H7+'.r file'!H13</f>
        <v>7</v>
      </c>
      <c r="I8" s="1">
        <f>I7+'.r file'!I13</f>
        <v>0</v>
      </c>
      <c r="J8" s="1">
        <f>J7+'.r file'!J13</f>
        <v>1</v>
      </c>
      <c r="K8" s="1">
        <f>K7+'.r file'!K13</f>
        <v>2</v>
      </c>
      <c r="L8" s="1">
        <f>L7+'.r file'!L13</f>
        <v>6.65</v>
      </c>
      <c r="M8" s="1">
        <f>M7+'.r file'!M13</f>
        <v>29</v>
      </c>
      <c r="N8" s="1">
        <f>N7+'.r file'!N13</f>
        <v>0</v>
      </c>
      <c r="O8" s="1">
        <f>O7+'.r file'!O13</f>
        <v>1</v>
      </c>
      <c r="P8" s="1">
        <f>P7+'.r file'!P13</f>
        <v>1.1000000000000001</v>
      </c>
      <c r="Q8" s="1">
        <f>Q7+'.r file'!Q13</f>
        <v>2</v>
      </c>
      <c r="R8" s="1">
        <f>R7+'.r file'!R13</f>
        <v>1.8</v>
      </c>
      <c r="S8" s="1">
        <f>S7+'.r file'!S13</f>
        <v>6.41</v>
      </c>
      <c r="T8" s="1">
        <f>T7+'.r file'!T13</f>
        <v>17</v>
      </c>
      <c r="U8" s="1">
        <f>U7+'.r file'!U13</f>
        <v>23.84</v>
      </c>
      <c r="V8" s="1">
        <f>V7+'.r file'!V13</f>
        <v>21</v>
      </c>
      <c r="W8" s="1">
        <f>W7+'.r file'!W13</f>
        <v>12</v>
      </c>
      <c r="X8" s="1">
        <f>X7+'.r file'!X13</f>
        <v>19</v>
      </c>
      <c r="Y8" s="1">
        <f>Y7+'.r file'!Y13</f>
        <v>9</v>
      </c>
      <c r="Z8" s="1">
        <f>Z7+'.r file'!Z13</f>
        <v>13.9</v>
      </c>
      <c r="AA8" s="1">
        <f>AA7+'.r file'!AA13</f>
        <v>13.600000000000001</v>
      </c>
      <c r="AB8" s="1">
        <f>AB7+'.r file'!AB13</f>
        <v>8.61</v>
      </c>
      <c r="AC8" s="1">
        <f>AC7+'.r file'!AC13</f>
        <v>21</v>
      </c>
      <c r="AD8" s="1">
        <f>AD7+'.r file'!AD13</f>
        <v>0</v>
      </c>
      <c r="AE8" s="1">
        <f>AE7+'.r file'!AE13</f>
        <v>6.3999999999999995</v>
      </c>
      <c r="AF8" s="1">
        <f>AF7+'.r file'!AF13</f>
        <v>11.01</v>
      </c>
    </row>
    <row r="9" spans="1:32" x14ac:dyDescent="0.25">
      <c r="A9" s="6">
        <v>27053.625</v>
      </c>
      <c r="B9" s="1">
        <f>B8+'.r file'!B14</f>
        <v>46.36</v>
      </c>
      <c r="C9" s="1">
        <f>C8+'.r file'!C14</f>
        <v>0</v>
      </c>
      <c r="D9" s="1">
        <f>D8+'.r file'!D14</f>
        <v>12</v>
      </c>
      <c r="E9" s="1">
        <f>E8+'.r file'!E14</f>
        <v>1</v>
      </c>
      <c r="F9" s="1">
        <f>F8+'.r file'!F14</f>
        <v>7.4399999999999995</v>
      </c>
      <c r="G9" s="1">
        <f>G8+'.r file'!G14</f>
        <v>6.77</v>
      </c>
      <c r="H9" s="1">
        <f>H8+'.r file'!H14</f>
        <v>10</v>
      </c>
      <c r="I9" s="1">
        <f>I8+'.r file'!I14</f>
        <v>1.1000000000000001</v>
      </c>
      <c r="J9" s="1">
        <f>J8+'.r file'!J14</f>
        <v>2</v>
      </c>
      <c r="K9" s="1">
        <f>K8+'.r file'!K14</f>
        <v>5</v>
      </c>
      <c r="L9" s="1">
        <f>L8+'.r file'!L14</f>
        <v>7.98</v>
      </c>
      <c r="M9" s="1">
        <f>M8+'.r file'!M14</f>
        <v>38</v>
      </c>
      <c r="N9" s="1">
        <f>N8+'.r file'!N14</f>
        <v>0.2</v>
      </c>
      <c r="O9" s="1">
        <f>O8+'.r file'!O14</f>
        <v>2</v>
      </c>
      <c r="P9" s="1">
        <f>P8+'.r file'!P14</f>
        <v>1.1000000000000001</v>
      </c>
      <c r="Q9" s="1">
        <f>Q8+'.r file'!Q14</f>
        <v>5</v>
      </c>
      <c r="R9" s="1">
        <f>R8+'.r file'!R14</f>
        <v>2.4</v>
      </c>
      <c r="S9" s="1">
        <f>S8+'.r file'!S14</f>
        <v>14.7</v>
      </c>
      <c r="T9" s="1">
        <f>T8+'.r file'!T14</f>
        <v>24</v>
      </c>
      <c r="U9" s="1">
        <f>U8+'.r file'!U14</f>
        <v>24.93</v>
      </c>
      <c r="V9" s="1">
        <f>V8+'.r file'!V14</f>
        <v>26</v>
      </c>
      <c r="W9" s="1">
        <f>W8+'.r file'!W14</f>
        <v>13</v>
      </c>
      <c r="X9" s="1">
        <f>X8+'.r file'!X14</f>
        <v>21</v>
      </c>
      <c r="Y9" s="1">
        <f>Y8+'.r file'!Y14</f>
        <v>9</v>
      </c>
      <c r="Z9" s="1">
        <f>Z8+'.r file'!Z14</f>
        <v>13.99</v>
      </c>
      <c r="AA9" s="1">
        <f>AA8+'.r file'!AA14</f>
        <v>14.500000000000002</v>
      </c>
      <c r="AB9" s="1">
        <f>AB8+'.r file'!AB14</f>
        <v>8.8099999999999987</v>
      </c>
      <c r="AC9" s="1">
        <f>AC8+'.r file'!AC14</f>
        <v>23</v>
      </c>
      <c r="AD9" s="1">
        <f>AD8+'.r file'!AD14</f>
        <v>0</v>
      </c>
      <c r="AE9" s="1">
        <f>AE8+'.r file'!AE14</f>
        <v>11.57</v>
      </c>
      <c r="AF9" s="1">
        <f>AF8+'.r file'!AF14</f>
        <v>15.7</v>
      </c>
    </row>
    <row r="10" spans="1:32" x14ac:dyDescent="0.25">
      <c r="A10" s="6">
        <v>27053.666666666668</v>
      </c>
      <c r="B10" s="1">
        <f>B9+'.r file'!B15</f>
        <v>55.65</v>
      </c>
      <c r="C10" s="1">
        <f>C9+'.r file'!C15</f>
        <v>0</v>
      </c>
      <c r="D10" s="1">
        <f>D9+'.r file'!D15</f>
        <v>15</v>
      </c>
      <c r="E10" s="1">
        <f>E9+'.r file'!E15</f>
        <v>3</v>
      </c>
      <c r="F10" s="1">
        <f>F9+'.r file'!F15</f>
        <v>11.7</v>
      </c>
      <c r="G10" s="1">
        <f>G9+'.r file'!G15</f>
        <v>7.2299999999999995</v>
      </c>
      <c r="H10" s="1">
        <f>H9+'.r file'!H15</f>
        <v>13</v>
      </c>
      <c r="I10" s="1">
        <f>I9+'.r file'!I15</f>
        <v>1.6500000000000001</v>
      </c>
      <c r="J10" s="1">
        <f>J9+'.r file'!J15</f>
        <v>3</v>
      </c>
      <c r="K10" s="1">
        <f>K9+'.r file'!K15</f>
        <v>10</v>
      </c>
      <c r="L10" s="1">
        <f>L9+'.r file'!L15</f>
        <v>9.31</v>
      </c>
      <c r="M10" s="1">
        <f>M9+'.r file'!M15</f>
        <v>39</v>
      </c>
      <c r="N10" s="1">
        <f>N9+'.r file'!N15</f>
        <v>0.90999999999999992</v>
      </c>
      <c r="O10" s="1">
        <f>O9+'.r file'!O15</f>
        <v>4</v>
      </c>
      <c r="P10" s="1">
        <f>P9+'.r file'!P15</f>
        <v>2.1</v>
      </c>
      <c r="Q10" s="1">
        <f>Q9+'.r file'!Q15</f>
        <v>10</v>
      </c>
      <c r="R10" s="1">
        <f>R9+'.r file'!R15</f>
        <v>3.0999999999999996</v>
      </c>
      <c r="S10" s="1">
        <f>S9+'.r file'!S15</f>
        <v>18.7</v>
      </c>
      <c r="T10" s="1">
        <f>T9+'.r file'!T15</f>
        <v>29</v>
      </c>
      <c r="U10" s="1">
        <f>U9+'.r file'!U15</f>
        <v>25.31</v>
      </c>
      <c r="V10" s="1">
        <f>V9+'.r file'!V15</f>
        <v>30</v>
      </c>
      <c r="W10" s="1">
        <f>W9+'.r file'!W15</f>
        <v>14</v>
      </c>
      <c r="X10" s="1">
        <f>X9+'.r file'!X15</f>
        <v>21</v>
      </c>
      <c r="Y10" s="1">
        <f>Y9+'.r file'!Y15</f>
        <v>17</v>
      </c>
      <c r="Z10" s="1">
        <f>Z9+'.r file'!Z15</f>
        <v>14.6</v>
      </c>
      <c r="AA10" s="1">
        <f>AA9+'.r file'!AA15</f>
        <v>14.800000000000002</v>
      </c>
      <c r="AB10" s="1">
        <f>AB9+'.r file'!AB15</f>
        <v>8.8099999999999987</v>
      </c>
      <c r="AC10" s="1">
        <f>AC9+'.r file'!AC15</f>
        <v>24</v>
      </c>
      <c r="AD10" s="1">
        <f>AD9+'.r file'!AD15</f>
        <v>0</v>
      </c>
      <c r="AE10" s="1">
        <f>AE9+'.r file'!AE15</f>
        <v>13.21</v>
      </c>
      <c r="AF10" s="1">
        <f>AF9+'.r file'!AF15</f>
        <v>18.579999999999998</v>
      </c>
    </row>
    <row r="11" spans="1:32" x14ac:dyDescent="0.25">
      <c r="A11" s="6">
        <v>27053.708333333332</v>
      </c>
      <c r="B11" s="1">
        <f>B10+'.r file'!B16</f>
        <v>56.93</v>
      </c>
      <c r="C11" s="1">
        <f>C10+'.r file'!C16</f>
        <v>0</v>
      </c>
      <c r="D11" s="1">
        <f>D10+'.r file'!D16</f>
        <v>20</v>
      </c>
      <c r="E11" s="1">
        <f>E10+'.r file'!E16</f>
        <v>4</v>
      </c>
      <c r="F11" s="1">
        <f>F10+'.r file'!F16</f>
        <v>13</v>
      </c>
      <c r="G11" s="1">
        <f>G10+'.r file'!G16</f>
        <v>8.48</v>
      </c>
      <c r="H11" s="1">
        <f>H10+'.r file'!H16</f>
        <v>19</v>
      </c>
      <c r="I11" s="1">
        <f>I10+'.r file'!I16</f>
        <v>3.1</v>
      </c>
      <c r="J11" s="1">
        <f>J10+'.r file'!J16</f>
        <v>4</v>
      </c>
      <c r="K11" s="1">
        <f>K10+'.r file'!K16</f>
        <v>10</v>
      </c>
      <c r="L11" s="1">
        <f>L10+'.r file'!L16</f>
        <v>10.64</v>
      </c>
      <c r="M11" s="1">
        <f>M10+'.r file'!M16</f>
        <v>41</v>
      </c>
      <c r="N11" s="1">
        <f>N10+'.r file'!N16</f>
        <v>3.4699999999999998</v>
      </c>
      <c r="O11" s="1">
        <f>O10+'.r file'!O16</f>
        <v>9</v>
      </c>
      <c r="P11" s="1">
        <f>P10+'.r file'!P16</f>
        <v>4.7699999999999996</v>
      </c>
      <c r="Q11" s="1">
        <f>Q10+'.r file'!Q16</f>
        <v>10</v>
      </c>
      <c r="R11" s="1">
        <f>R10+'.r file'!R16</f>
        <v>3.3999999999999995</v>
      </c>
      <c r="S11" s="1">
        <f>S10+'.r file'!S16</f>
        <v>26.1</v>
      </c>
      <c r="T11" s="1">
        <f>T10+'.r file'!T16</f>
        <v>34</v>
      </c>
      <c r="U11" s="1">
        <f>U10+'.r file'!U16</f>
        <v>26.9</v>
      </c>
      <c r="V11" s="1">
        <f>V10+'.r file'!V16</f>
        <v>34</v>
      </c>
      <c r="W11" s="1">
        <f>W10+'.r file'!W16</f>
        <v>16</v>
      </c>
      <c r="X11" s="1">
        <f>X10+'.r file'!X16</f>
        <v>29</v>
      </c>
      <c r="Y11" s="1">
        <f>Y10+'.r file'!Y16</f>
        <v>23</v>
      </c>
      <c r="Z11" s="1">
        <f>Z10+'.r file'!Z16</f>
        <v>15.219999999999999</v>
      </c>
      <c r="AA11" s="1">
        <f>AA10+'.r file'!AA16</f>
        <v>17.800000000000004</v>
      </c>
      <c r="AB11" s="1">
        <f>AB10+'.r file'!AB16</f>
        <v>12.409999999999998</v>
      </c>
      <c r="AC11" s="1">
        <f>AC10+'.r file'!AC16</f>
        <v>32</v>
      </c>
      <c r="AD11" s="1">
        <f>AD10+'.r file'!AD16</f>
        <v>0</v>
      </c>
      <c r="AE11" s="1">
        <f>AE10+'.r file'!AE16</f>
        <v>17.91</v>
      </c>
      <c r="AF11" s="1">
        <f>AF10+'.r file'!AF16</f>
        <v>22.06</v>
      </c>
    </row>
    <row r="12" spans="1:32" x14ac:dyDescent="0.25">
      <c r="A12" s="6">
        <v>27053.75</v>
      </c>
      <c r="B12" s="1">
        <f>B11+'.r file'!B17</f>
        <v>61.94</v>
      </c>
      <c r="C12" s="1">
        <f>C11+'.r file'!C17</f>
        <v>0</v>
      </c>
      <c r="D12" s="1">
        <f>D11+'.r file'!D17</f>
        <v>21</v>
      </c>
      <c r="E12" s="1">
        <f>E11+'.r file'!E17</f>
        <v>5</v>
      </c>
      <c r="F12" s="1">
        <f>F11+'.r file'!F17</f>
        <v>14.51</v>
      </c>
      <c r="G12" s="1">
        <f>G11+'.r file'!G17</f>
        <v>9.51</v>
      </c>
      <c r="H12" s="1">
        <f>H11+'.r file'!H17</f>
        <v>26</v>
      </c>
      <c r="I12" s="1">
        <f>I11+'.r file'!I17</f>
        <v>4.33</v>
      </c>
      <c r="J12" s="1">
        <f>J11+'.r file'!J17</f>
        <v>6</v>
      </c>
      <c r="K12" s="1">
        <f>K11+'.r file'!K17</f>
        <v>12</v>
      </c>
      <c r="L12" s="1">
        <f>L11+'.r file'!L17</f>
        <v>11.97</v>
      </c>
      <c r="M12" s="1">
        <f>M11+'.r file'!M17</f>
        <v>50</v>
      </c>
      <c r="N12" s="1">
        <f>N11+'.r file'!N17</f>
        <v>5.84</v>
      </c>
      <c r="O12" s="1">
        <f>O11+'.r file'!O17</f>
        <v>15</v>
      </c>
      <c r="P12" s="1">
        <f>P11+'.r file'!P17</f>
        <v>8.9600000000000009</v>
      </c>
      <c r="Q12" s="1">
        <f>Q11+'.r file'!Q17</f>
        <v>12</v>
      </c>
      <c r="R12" s="1">
        <f>R11+'.r file'!R17</f>
        <v>8.48</v>
      </c>
      <c r="S12" s="1">
        <f>S11+'.r file'!S17</f>
        <v>33</v>
      </c>
      <c r="T12" s="1">
        <f>T11+'.r file'!T17</f>
        <v>41</v>
      </c>
      <c r="U12" s="1">
        <f>U11+'.r file'!U17</f>
        <v>31.18</v>
      </c>
      <c r="V12" s="1">
        <f>V11+'.r file'!V17</f>
        <v>45</v>
      </c>
      <c r="W12" s="1">
        <f>W11+'.r file'!W17</f>
        <v>22</v>
      </c>
      <c r="X12" s="1">
        <f>X11+'.r file'!X17</f>
        <v>31</v>
      </c>
      <c r="Y12" s="1">
        <f>Y11+'.r file'!Y17</f>
        <v>25</v>
      </c>
      <c r="Z12" s="1">
        <f>Z11+'.r file'!Z17</f>
        <v>20.14</v>
      </c>
      <c r="AA12" s="1">
        <f>AA11+'.r file'!AA17</f>
        <v>20.900000000000006</v>
      </c>
      <c r="AB12" s="1">
        <f>AB11+'.r file'!AB17</f>
        <v>16.61</v>
      </c>
      <c r="AC12" s="1">
        <f>AC11+'.r file'!AC17</f>
        <v>33</v>
      </c>
      <c r="AD12" s="1">
        <f>AD11+'.r file'!AD17</f>
        <v>1.9</v>
      </c>
      <c r="AE12" s="1">
        <f>AE11+'.r file'!AE17</f>
        <v>26.880000000000003</v>
      </c>
      <c r="AF12" s="1">
        <f>AF11+'.r file'!AF17</f>
        <v>26.599999999999998</v>
      </c>
    </row>
    <row r="13" spans="1:32" x14ac:dyDescent="0.25">
      <c r="A13" s="6">
        <v>27053.791666666668</v>
      </c>
      <c r="B13" s="1">
        <f>B12+'.r file'!B18</f>
        <v>71.289999999999992</v>
      </c>
      <c r="C13" s="1">
        <f>C12+'.r file'!C18</f>
        <v>0</v>
      </c>
      <c r="D13" s="1">
        <f>D12+'.r file'!D18</f>
        <v>22</v>
      </c>
      <c r="E13" s="1">
        <f>E12+'.r file'!E18</f>
        <v>6</v>
      </c>
      <c r="F13" s="1">
        <f>F12+'.r file'!F18</f>
        <v>16.41</v>
      </c>
      <c r="G13" s="1">
        <f>G12+'.r file'!G18</f>
        <v>10.15</v>
      </c>
      <c r="H13" s="1">
        <f>H12+'.r file'!H18</f>
        <v>32</v>
      </c>
      <c r="I13" s="1">
        <f>I12+'.r file'!I18</f>
        <v>7.1400000000000006</v>
      </c>
      <c r="J13" s="1">
        <f>J12+'.r file'!J18</f>
        <v>10</v>
      </c>
      <c r="K13" s="1">
        <f>K12+'.r file'!K18</f>
        <v>14</v>
      </c>
      <c r="L13" s="1">
        <f>L12+'.r file'!L18</f>
        <v>13.3</v>
      </c>
      <c r="M13" s="1">
        <f>M12+'.r file'!M18</f>
        <v>50</v>
      </c>
      <c r="N13" s="1">
        <f>N12+'.r file'!N18</f>
        <v>8.9600000000000009</v>
      </c>
      <c r="O13" s="1">
        <f>O12+'.r file'!O18</f>
        <v>22</v>
      </c>
      <c r="P13" s="1">
        <f>P12+'.r file'!P18</f>
        <v>11.370000000000001</v>
      </c>
      <c r="Q13" s="1">
        <f>Q12+'.r file'!Q18</f>
        <v>14</v>
      </c>
      <c r="R13" s="1">
        <f>R12+'.r file'!R18</f>
        <v>14.690000000000001</v>
      </c>
      <c r="S13" s="1">
        <f>S12+'.r file'!S18</f>
        <v>36.799999999999997</v>
      </c>
      <c r="T13" s="1">
        <f>T12+'.r file'!T18</f>
        <v>44</v>
      </c>
      <c r="U13" s="1">
        <f>U12+'.r file'!U18</f>
        <v>34.71</v>
      </c>
      <c r="V13" s="1">
        <f>V12+'.r file'!V18</f>
        <v>47</v>
      </c>
      <c r="W13" s="1">
        <f>W12+'.r file'!W18</f>
        <v>22</v>
      </c>
      <c r="X13" s="1">
        <f>X12+'.r file'!X18</f>
        <v>31</v>
      </c>
      <c r="Y13" s="1">
        <f>Y12+'.r file'!Y18</f>
        <v>25</v>
      </c>
      <c r="Z13" s="1">
        <f>Z12+'.r file'!Z18</f>
        <v>20.400000000000002</v>
      </c>
      <c r="AA13" s="1">
        <f>AA12+'.r file'!AA18</f>
        <v>21.200000000000006</v>
      </c>
      <c r="AB13" s="1">
        <f>AB12+'.r file'!AB18</f>
        <v>16.61</v>
      </c>
      <c r="AC13" s="1">
        <f>AC12+'.r file'!AC18</f>
        <v>34</v>
      </c>
      <c r="AD13" s="1">
        <f>AD12+'.r file'!AD18</f>
        <v>1.9</v>
      </c>
      <c r="AE13" s="1">
        <f>AE12+'.r file'!AE18</f>
        <v>37.940000000000005</v>
      </c>
      <c r="AF13" s="1">
        <f>AF12+'.r file'!AF18</f>
        <v>32.89</v>
      </c>
    </row>
    <row r="14" spans="1:32" x14ac:dyDescent="0.25">
      <c r="A14" s="6">
        <v>27053.833333333332</v>
      </c>
      <c r="B14" s="1">
        <f>B13+'.r file'!B19</f>
        <v>78.809999999999988</v>
      </c>
      <c r="C14" s="1">
        <f>C13+'.r file'!C19</f>
        <v>0</v>
      </c>
      <c r="D14" s="1">
        <f>D13+'.r file'!D19</f>
        <v>25</v>
      </c>
      <c r="E14" s="1">
        <f>E13+'.r file'!E19</f>
        <v>8</v>
      </c>
      <c r="F14" s="1">
        <f>F13+'.r file'!F19</f>
        <v>20.05</v>
      </c>
      <c r="G14" s="1">
        <f>G13+'.r file'!G19</f>
        <v>11.09</v>
      </c>
      <c r="H14" s="1">
        <f>H13+'.r file'!H19</f>
        <v>36</v>
      </c>
      <c r="I14" s="1">
        <f>I13+'.r file'!I19</f>
        <v>10</v>
      </c>
      <c r="J14" s="1">
        <f>J13+'.r file'!J19</f>
        <v>14</v>
      </c>
      <c r="K14" s="1">
        <f>K13+'.r file'!K19</f>
        <v>14</v>
      </c>
      <c r="L14" s="1">
        <f>L13+'.r file'!L19</f>
        <v>14.63</v>
      </c>
      <c r="M14" s="1">
        <f>M13+'.r file'!M19</f>
        <v>54</v>
      </c>
      <c r="N14" s="1">
        <f>N13+'.r file'!N19</f>
        <v>11.610000000000001</v>
      </c>
      <c r="O14" s="1">
        <f>O13+'.r file'!O19</f>
        <v>27</v>
      </c>
      <c r="P14" s="1">
        <f>P13+'.r file'!P19</f>
        <v>14.3</v>
      </c>
      <c r="Q14" s="1">
        <f>Q13+'.r file'!Q19</f>
        <v>14</v>
      </c>
      <c r="R14" s="1">
        <f>R13+'.r file'!R19</f>
        <v>16.78</v>
      </c>
      <c r="S14" s="1">
        <f>S13+'.r file'!S19</f>
        <v>36.799999999999997</v>
      </c>
      <c r="T14" s="1">
        <f>T13+'.r file'!T19</f>
        <v>45</v>
      </c>
      <c r="U14" s="1">
        <f>U13+'.r file'!U19</f>
        <v>36.29</v>
      </c>
      <c r="V14" s="1">
        <f>V13+'.r file'!V19</f>
        <v>48</v>
      </c>
      <c r="W14" s="1">
        <f>W13+'.r file'!W19</f>
        <v>25</v>
      </c>
      <c r="X14" s="1">
        <f>X13+'.r file'!X19</f>
        <v>32</v>
      </c>
      <c r="Y14" s="1">
        <f>Y13+'.r file'!Y19</f>
        <v>25</v>
      </c>
      <c r="Z14" s="1">
        <f>Z13+'.r file'!Z19</f>
        <v>23.630000000000003</v>
      </c>
      <c r="AA14" s="1">
        <f>AA13+'.r file'!AA19</f>
        <v>25.160000000000007</v>
      </c>
      <c r="AB14" s="1">
        <f>AB13+'.r file'!AB19</f>
        <v>20.11</v>
      </c>
      <c r="AC14" s="1">
        <f>AC13+'.r file'!AC19</f>
        <v>34</v>
      </c>
      <c r="AD14" s="1">
        <f>AD13+'.r file'!AD19</f>
        <v>2.5</v>
      </c>
      <c r="AE14" s="1">
        <f>AE13+'.r file'!AE19</f>
        <v>57.730000000000004</v>
      </c>
      <c r="AF14" s="1">
        <f>AF13+'.r file'!AF19</f>
        <v>46.68</v>
      </c>
    </row>
    <row r="15" spans="1:32" x14ac:dyDescent="0.25">
      <c r="A15" s="6">
        <v>27053.875</v>
      </c>
      <c r="B15" s="1">
        <f>B14+'.r file'!B20</f>
        <v>94.389999999999986</v>
      </c>
      <c r="C15" s="1">
        <f>C14+'.r file'!C20</f>
        <v>0</v>
      </c>
      <c r="D15" s="1">
        <f>D14+'.r file'!D20</f>
        <v>28</v>
      </c>
      <c r="E15" s="1">
        <f>E14+'.r file'!E20</f>
        <v>8</v>
      </c>
      <c r="F15" s="1">
        <f>F14+'.r file'!F20</f>
        <v>25.89</v>
      </c>
      <c r="G15" s="1">
        <f>G14+'.r file'!G20</f>
        <v>12.25</v>
      </c>
      <c r="H15" s="1">
        <f>H14+'.r file'!H20</f>
        <v>39</v>
      </c>
      <c r="I15" s="1">
        <f>I14+'.r file'!I20</f>
        <v>11.33</v>
      </c>
      <c r="J15" s="1">
        <f>J14+'.r file'!J20</f>
        <v>15</v>
      </c>
      <c r="K15" s="1">
        <f>K14+'.r file'!K20</f>
        <v>16</v>
      </c>
      <c r="L15" s="1">
        <f>L14+'.r file'!L20</f>
        <v>15.96</v>
      </c>
      <c r="M15" s="1">
        <f>M14+'.r file'!M20</f>
        <v>60</v>
      </c>
      <c r="N15" s="1">
        <f>N14+'.r file'!N20</f>
        <v>12.110000000000001</v>
      </c>
      <c r="O15" s="1">
        <f>O14+'.r file'!O20</f>
        <v>28</v>
      </c>
      <c r="P15" s="1">
        <f>P14+'.r file'!P20</f>
        <v>15.24</v>
      </c>
      <c r="Q15" s="1">
        <f>Q14+'.r file'!Q20</f>
        <v>16</v>
      </c>
      <c r="R15" s="1">
        <f>R14+'.r file'!R20</f>
        <v>18.600000000000001</v>
      </c>
      <c r="S15" s="1">
        <f>S14+'.r file'!S20</f>
        <v>37.5</v>
      </c>
      <c r="T15" s="1">
        <f>T14+'.r file'!T20</f>
        <v>50</v>
      </c>
      <c r="U15" s="1">
        <f>U14+'.r file'!U20</f>
        <v>42.28</v>
      </c>
      <c r="V15" s="1">
        <f>V14+'.r file'!V20</f>
        <v>56</v>
      </c>
      <c r="W15" s="1">
        <f>W14+'.r file'!W20</f>
        <v>28</v>
      </c>
      <c r="X15" s="1">
        <f>X14+'.r file'!X20</f>
        <v>33</v>
      </c>
      <c r="Y15" s="1">
        <f>Y14+'.r file'!Y20</f>
        <v>27</v>
      </c>
      <c r="Z15" s="1">
        <f>Z14+'.r file'!Z20</f>
        <v>26.880000000000003</v>
      </c>
      <c r="AA15" s="1">
        <f>AA14+'.r file'!AA20</f>
        <v>28.530000000000008</v>
      </c>
      <c r="AB15" s="1">
        <f>AB14+'.r file'!AB20</f>
        <v>21.41</v>
      </c>
      <c r="AC15" s="1">
        <f>AC14+'.r file'!AC20</f>
        <v>39</v>
      </c>
      <c r="AD15" s="1">
        <f>AD14+'.r file'!AD20</f>
        <v>6.2</v>
      </c>
      <c r="AE15" s="1">
        <f>AE14+'.r file'!AE20</f>
        <v>72.710000000000008</v>
      </c>
      <c r="AF15" s="1">
        <f>AF14+'.r file'!AF20</f>
        <v>59.28</v>
      </c>
    </row>
    <row r="16" spans="1:32" x14ac:dyDescent="0.25">
      <c r="A16" s="6">
        <v>27053.916666666668</v>
      </c>
      <c r="B16" s="1">
        <f>B15+'.r file'!B21</f>
        <v>110.1</v>
      </c>
      <c r="C16" s="1">
        <f>C15+'.r file'!C21</f>
        <v>0</v>
      </c>
      <c r="D16" s="1">
        <f>D15+'.r file'!D21</f>
        <v>31</v>
      </c>
      <c r="E16" s="1">
        <f>E15+'.r file'!E21</f>
        <v>11</v>
      </c>
      <c r="F16" s="1">
        <f>F15+'.r file'!F21</f>
        <v>31.61</v>
      </c>
      <c r="G16" s="1">
        <f>G15+'.r file'!G21</f>
        <v>17.11</v>
      </c>
      <c r="H16" s="1">
        <f>H15+'.r file'!H21</f>
        <v>44</v>
      </c>
      <c r="I16" s="1">
        <f>I15+'.r file'!I21</f>
        <v>12.06</v>
      </c>
      <c r="J16" s="1">
        <f>J15+'.r file'!J21</f>
        <v>18</v>
      </c>
      <c r="K16" s="1">
        <f>K15+'.r file'!K21</f>
        <v>21</v>
      </c>
      <c r="L16" s="1">
        <f>L15+'.r file'!L21</f>
        <v>17.29</v>
      </c>
      <c r="M16" s="1">
        <f>M15+'.r file'!M21</f>
        <v>68</v>
      </c>
      <c r="N16" s="1">
        <f>N15+'.r file'!N21</f>
        <v>12.700000000000001</v>
      </c>
      <c r="O16" s="1">
        <f>O15+'.r file'!O21</f>
        <v>29</v>
      </c>
      <c r="P16" s="1">
        <f>P15+'.r file'!P21</f>
        <v>17.32</v>
      </c>
      <c r="Q16" s="1">
        <f>Q15+'.r file'!Q21</f>
        <v>21</v>
      </c>
      <c r="R16" s="1">
        <f>R15+'.r file'!R21</f>
        <v>19.62</v>
      </c>
      <c r="S16" s="1">
        <f>S15+'.r file'!S21</f>
        <v>39.770000000000003</v>
      </c>
      <c r="T16" s="1">
        <f>T15+'.r file'!T21</f>
        <v>55</v>
      </c>
      <c r="U16" s="1">
        <f>U15+'.r file'!U21</f>
        <v>47</v>
      </c>
      <c r="V16" s="1">
        <f>V15+'.r file'!V21</f>
        <v>57</v>
      </c>
      <c r="W16" s="1">
        <f>W15+'.r file'!W21</f>
        <v>31</v>
      </c>
      <c r="X16" s="1">
        <f>X15+'.r file'!X21</f>
        <v>38</v>
      </c>
      <c r="Y16" s="1">
        <f>Y15+'.r file'!Y21</f>
        <v>33</v>
      </c>
      <c r="Z16" s="1">
        <f>Z15+'.r file'!Z21</f>
        <v>30.000000000000004</v>
      </c>
      <c r="AA16" s="1">
        <f>AA15+'.r file'!AA21</f>
        <v>30.980000000000008</v>
      </c>
      <c r="AB16" s="1">
        <f>AB15+'.r file'!AB21</f>
        <v>23.91</v>
      </c>
      <c r="AC16" s="1">
        <f>AC15+'.r file'!AC21</f>
        <v>44</v>
      </c>
      <c r="AD16" s="1">
        <f>AD15+'.r file'!AD21</f>
        <v>8.1</v>
      </c>
      <c r="AE16" s="1">
        <f>AE15+'.r file'!AE21</f>
        <v>82.890000000000015</v>
      </c>
      <c r="AF16" s="1">
        <f>AF15+'.r file'!AF21</f>
        <v>73.990000000000009</v>
      </c>
    </row>
    <row r="17" spans="1:32" x14ac:dyDescent="0.25">
      <c r="A17" s="6">
        <v>27053.958333333332</v>
      </c>
      <c r="B17" s="1">
        <f>B16+'.r file'!B22</f>
        <v>129</v>
      </c>
      <c r="C17" s="1">
        <f>C16+'.r file'!C22</f>
        <v>0</v>
      </c>
      <c r="D17" s="1">
        <f>D16+'.r file'!D22</f>
        <v>35</v>
      </c>
      <c r="E17" s="1">
        <f>E16+'.r file'!E22</f>
        <v>13</v>
      </c>
      <c r="F17" s="1">
        <f>F16+'.r file'!F22</f>
        <v>41.06</v>
      </c>
      <c r="G17" s="1">
        <f>G16+'.r file'!G22</f>
        <v>21.939999999999998</v>
      </c>
      <c r="H17" s="1">
        <f>H16+'.r file'!H22</f>
        <v>47</v>
      </c>
      <c r="I17" s="1">
        <f>I16+'.r file'!I22</f>
        <v>14.190000000000001</v>
      </c>
      <c r="J17" s="1">
        <f>J16+'.r file'!J22</f>
        <v>21</v>
      </c>
      <c r="K17" s="1">
        <f>K16+'.r file'!K22</f>
        <v>25</v>
      </c>
      <c r="L17" s="1">
        <f>L16+'.r file'!L22</f>
        <v>18.619999999999997</v>
      </c>
      <c r="M17" s="1">
        <f>M16+'.r file'!M22</f>
        <v>73</v>
      </c>
      <c r="N17" s="1">
        <f>N16+'.r file'!N22</f>
        <v>13.71</v>
      </c>
      <c r="O17" s="1">
        <f>O16+'.r file'!O22</f>
        <v>31</v>
      </c>
      <c r="P17" s="1">
        <f>P16+'.r file'!P22</f>
        <v>20.310000000000002</v>
      </c>
      <c r="Q17" s="1">
        <f>Q16+'.r file'!Q22</f>
        <v>25</v>
      </c>
      <c r="R17" s="1">
        <f>R16+'.r file'!R22</f>
        <v>20.96</v>
      </c>
      <c r="S17" s="1">
        <f>S16+'.r file'!S22</f>
        <v>41.71</v>
      </c>
      <c r="T17" s="1">
        <f>T16+'.r file'!T22</f>
        <v>59</v>
      </c>
      <c r="U17" s="1">
        <f>U16+'.r file'!U22</f>
        <v>49.62</v>
      </c>
      <c r="V17" s="1">
        <f>V16+'.r file'!V22</f>
        <v>59</v>
      </c>
      <c r="W17" s="1">
        <f>W16+'.r file'!W22</f>
        <v>33</v>
      </c>
      <c r="X17" s="1">
        <f>X16+'.r file'!X22</f>
        <v>40</v>
      </c>
      <c r="Y17" s="1">
        <f>Y16+'.r file'!Y22</f>
        <v>34</v>
      </c>
      <c r="Z17" s="1">
        <f>Z16+'.r file'!Z22</f>
        <v>31.900000000000002</v>
      </c>
      <c r="AA17" s="1">
        <f>AA16+'.r file'!AA22</f>
        <v>32.710000000000008</v>
      </c>
      <c r="AB17" s="1">
        <f>AB16+'.r file'!AB22</f>
        <v>25.71</v>
      </c>
      <c r="AC17" s="1">
        <f>AC16+'.r file'!AC22</f>
        <v>47</v>
      </c>
      <c r="AD17" s="1">
        <f>AD16+'.r file'!AD22</f>
        <v>10</v>
      </c>
      <c r="AE17" s="1">
        <f>AE16+'.r file'!AE22</f>
        <v>88.240000000000009</v>
      </c>
      <c r="AF17" s="1">
        <f>AF16+'.r file'!AF22</f>
        <v>89.570000000000007</v>
      </c>
    </row>
    <row r="18" spans="1:32" x14ac:dyDescent="0.25">
      <c r="A18" s="6">
        <v>27054</v>
      </c>
      <c r="B18" s="1">
        <f>B17+'.r file'!B23</f>
        <v>147.22999999999999</v>
      </c>
      <c r="C18" s="1">
        <f>C17+'.r file'!C23</f>
        <v>0</v>
      </c>
      <c r="D18" s="1">
        <f>D17+'.r file'!D23</f>
        <v>38</v>
      </c>
      <c r="E18" s="1">
        <f>E17+'.r file'!E23</f>
        <v>14</v>
      </c>
      <c r="F18" s="1">
        <f>F17+'.r file'!F23</f>
        <v>50.71</v>
      </c>
      <c r="G18" s="1">
        <f>G17+'.r file'!G23</f>
        <v>23.83</v>
      </c>
      <c r="H18" s="1">
        <f>H17+'.r file'!H23</f>
        <v>50</v>
      </c>
      <c r="I18" s="1">
        <f>I17+'.r file'!I23</f>
        <v>17.100000000000001</v>
      </c>
      <c r="J18" s="1">
        <f>J17+'.r file'!J23</f>
        <v>22</v>
      </c>
      <c r="K18" s="1">
        <f>K17+'.r file'!K23</f>
        <v>27</v>
      </c>
      <c r="L18" s="1">
        <f>L17+'.r file'!L23</f>
        <v>19.949999999999996</v>
      </c>
      <c r="M18" s="1">
        <f>M17+'.r file'!M23</f>
        <v>77</v>
      </c>
      <c r="N18" s="1">
        <f>N17+'.r file'!N23</f>
        <v>13.91</v>
      </c>
      <c r="O18" s="1">
        <f>O17+'.r file'!O23</f>
        <v>32</v>
      </c>
      <c r="P18" s="1">
        <f>P17+'.r file'!P23</f>
        <v>21.110000000000003</v>
      </c>
      <c r="Q18" s="1">
        <f>Q17+'.r file'!Q23</f>
        <v>27</v>
      </c>
      <c r="R18" s="1">
        <f>R17+'.r file'!R23</f>
        <v>24.61</v>
      </c>
      <c r="S18" s="1">
        <f>S17+'.r file'!S23</f>
        <v>41.81</v>
      </c>
      <c r="T18" s="1">
        <f>T17+'.r file'!T23</f>
        <v>61</v>
      </c>
      <c r="U18" s="1">
        <f>U17+'.r file'!U23</f>
        <v>51.849999999999994</v>
      </c>
      <c r="V18" s="1">
        <f>V17+'.r file'!V23</f>
        <v>60</v>
      </c>
      <c r="W18" s="1">
        <f>W17+'.r file'!W23</f>
        <v>36</v>
      </c>
      <c r="X18" s="1">
        <f>X17+'.r file'!X23</f>
        <v>41</v>
      </c>
      <c r="Y18" s="1">
        <f>Y17+'.r file'!Y23</f>
        <v>35</v>
      </c>
      <c r="Z18" s="1">
        <f>Z17+'.r file'!Z23</f>
        <v>34.32</v>
      </c>
      <c r="AA18" s="1">
        <f>AA17+'.r file'!AA23</f>
        <v>34.810000000000009</v>
      </c>
      <c r="AB18" s="1">
        <f>AB17+'.r file'!AB23</f>
        <v>26.71</v>
      </c>
      <c r="AC18" s="1">
        <f>AC17+'.r file'!AC23</f>
        <v>51</v>
      </c>
      <c r="AD18" s="1">
        <f>AD17+'.r file'!AD23</f>
        <v>11.9</v>
      </c>
      <c r="AE18" s="1">
        <f>AE17+'.r file'!AE23</f>
        <v>98.300000000000011</v>
      </c>
      <c r="AF18" s="1">
        <f>AF17+'.r file'!AF23</f>
        <v>100.47000000000001</v>
      </c>
    </row>
    <row r="19" spans="1:32" x14ac:dyDescent="0.25">
      <c r="A19" s="6">
        <v>27054.041666666668</v>
      </c>
      <c r="B19" s="1">
        <f>B18+'.r file'!B24</f>
        <v>165.56</v>
      </c>
      <c r="C19" s="1">
        <f>C18+'.r file'!C24</f>
        <v>0</v>
      </c>
      <c r="D19" s="1">
        <f>D18+'.r file'!D24</f>
        <v>42</v>
      </c>
      <c r="E19" s="1">
        <f>E18+'.r file'!E24</f>
        <v>16</v>
      </c>
      <c r="F19" s="1">
        <f>F18+'.r file'!F24</f>
        <v>56.76</v>
      </c>
      <c r="G19" s="1">
        <f>G18+'.r file'!G24</f>
        <v>30.099999999999998</v>
      </c>
      <c r="H19" s="1">
        <f>H18+'.r file'!H24</f>
        <v>52</v>
      </c>
      <c r="I19" s="1">
        <f>I18+'.r file'!I24</f>
        <v>18.170000000000002</v>
      </c>
      <c r="J19" s="1">
        <f>J18+'.r file'!J24</f>
        <v>24</v>
      </c>
      <c r="K19" s="1">
        <f>K18+'.r file'!K24</f>
        <v>27</v>
      </c>
      <c r="L19" s="1">
        <f>L18+'.r file'!L24</f>
        <v>21.279999999999994</v>
      </c>
      <c r="M19" s="1">
        <f>M18+'.r file'!M24</f>
        <v>86</v>
      </c>
      <c r="N19" s="1">
        <f>N18+'.r file'!N24</f>
        <v>14.08</v>
      </c>
      <c r="O19" s="1">
        <f>O18+'.r file'!O24</f>
        <v>33</v>
      </c>
      <c r="P19" s="1">
        <f>P18+'.r file'!P24</f>
        <v>21.410000000000004</v>
      </c>
      <c r="Q19" s="1">
        <f>Q18+'.r file'!Q24</f>
        <v>27</v>
      </c>
      <c r="R19" s="1">
        <f>R18+'.r file'!R24</f>
        <v>26.33</v>
      </c>
      <c r="S19" s="1">
        <f>S18+'.r file'!S24</f>
        <v>42.21</v>
      </c>
      <c r="T19" s="1">
        <f>T18+'.r file'!T24</f>
        <v>63</v>
      </c>
      <c r="U19" s="1">
        <f>U18+'.r file'!U24</f>
        <v>54.859999999999992</v>
      </c>
      <c r="V19" s="1">
        <f>V18+'.r file'!V24</f>
        <v>61</v>
      </c>
      <c r="W19" s="1">
        <f>W18+'.r file'!W24</f>
        <v>37</v>
      </c>
      <c r="X19" s="1">
        <f>X18+'.r file'!X24</f>
        <v>41</v>
      </c>
      <c r="Y19" s="1">
        <f>Y18+'.r file'!Y24</f>
        <v>36</v>
      </c>
      <c r="Z19" s="1">
        <f>Z18+'.r file'!Z24</f>
        <v>34.979999999999997</v>
      </c>
      <c r="AA19" s="1">
        <f>AA18+'.r file'!AA24</f>
        <v>35.610000000000007</v>
      </c>
      <c r="AB19" s="1">
        <f>AB18+'.r file'!AB24</f>
        <v>27.91</v>
      </c>
      <c r="AC19" s="1">
        <f>AC18+'.r file'!AC24</f>
        <v>53</v>
      </c>
      <c r="AD19" s="1">
        <f>AD18+'.r file'!AD24</f>
        <v>12.5</v>
      </c>
      <c r="AE19" s="1">
        <f>AE18+'.r file'!AE24</f>
        <v>112.74000000000001</v>
      </c>
      <c r="AF19" s="1">
        <f>AF18+'.r file'!AF24</f>
        <v>107.41000000000001</v>
      </c>
    </row>
    <row r="20" spans="1:32" x14ac:dyDescent="0.25">
      <c r="A20" s="6">
        <v>27054.083333333332</v>
      </c>
      <c r="B20" s="1">
        <f>B19+'.r file'!B25</f>
        <v>179.61</v>
      </c>
      <c r="C20" s="1">
        <f>C19+'.r file'!C25</f>
        <v>5.6</v>
      </c>
      <c r="D20" s="1">
        <f>D19+'.r file'!D25</f>
        <v>49</v>
      </c>
      <c r="E20" s="1">
        <f>E19+'.r file'!E25</f>
        <v>22</v>
      </c>
      <c r="F20" s="1">
        <f>F19+'.r file'!F25</f>
        <v>61.91</v>
      </c>
      <c r="G20" s="1">
        <f>G19+'.r file'!G25</f>
        <v>34.099999999999994</v>
      </c>
      <c r="H20" s="1">
        <f>H19+'.r file'!H25</f>
        <v>61</v>
      </c>
      <c r="I20" s="1">
        <f>I19+'.r file'!I25</f>
        <v>26.410000000000004</v>
      </c>
      <c r="J20" s="1">
        <f>J19+'.r file'!J25</f>
        <v>29</v>
      </c>
      <c r="K20" s="1">
        <f>K19+'.r file'!K25</f>
        <v>34</v>
      </c>
      <c r="L20" s="1">
        <f>L19+'.r file'!L25</f>
        <v>22.609999999999992</v>
      </c>
      <c r="M20" s="1">
        <f>M19+'.r file'!M25</f>
        <v>95</v>
      </c>
      <c r="N20" s="1">
        <f>N19+'.r file'!N25</f>
        <v>14.71</v>
      </c>
      <c r="O20" s="1">
        <f>O19+'.r file'!O25</f>
        <v>35</v>
      </c>
      <c r="P20" s="1">
        <f>P19+'.r file'!P25</f>
        <v>22.210000000000004</v>
      </c>
      <c r="Q20" s="1">
        <f>Q19+'.r file'!Q25</f>
        <v>34</v>
      </c>
      <c r="R20" s="1">
        <f>R19+'.r file'!R25</f>
        <v>28.409999999999997</v>
      </c>
      <c r="S20" s="1">
        <f>S19+'.r file'!S25</f>
        <v>42.410000000000004</v>
      </c>
      <c r="T20" s="1">
        <f>T19+'.r file'!T25</f>
        <v>64</v>
      </c>
      <c r="U20" s="1">
        <f>U19+'.r file'!U25</f>
        <v>60.959999999999994</v>
      </c>
      <c r="V20" s="1">
        <f>V19+'.r file'!V25</f>
        <v>61</v>
      </c>
      <c r="W20" s="1">
        <f>W19+'.r file'!W25</f>
        <v>41</v>
      </c>
      <c r="X20" s="1">
        <f>X19+'.r file'!X25</f>
        <v>41</v>
      </c>
      <c r="Y20" s="1">
        <f>Y19+'.r file'!Y25</f>
        <v>36</v>
      </c>
      <c r="Z20" s="1">
        <f>Z19+'.r file'!Z25</f>
        <v>37.049999999999997</v>
      </c>
      <c r="AA20" s="1">
        <f>AA19+'.r file'!AA25</f>
        <v>39.490000000000009</v>
      </c>
      <c r="AB20" s="1">
        <f>AB19+'.r file'!AB25</f>
        <v>32.03</v>
      </c>
      <c r="AC20" s="1">
        <f>AC19+'.r file'!AC25</f>
        <v>54</v>
      </c>
      <c r="AD20" s="1">
        <f>AD19+'.r file'!AD25</f>
        <v>17.5</v>
      </c>
      <c r="AE20" s="1">
        <f>AE19+'.r file'!AE25</f>
        <v>125.55000000000001</v>
      </c>
      <c r="AF20" s="1">
        <f>AF19+'.r file'!AF25</f>
        <v>119.89000000000001</v>
      </c>
    </row>
    <row r="21" spans="1:32" x14ac:dyDescent="0.25">
      <c r="A21" s="6">
        <v>27054.125</v>
      </c>
      <c r="B21" s="1">
        <f>B20+'.r file'!B26</f>
        <v>201.60000000000002</v>
      </c>
      <c r="C21" s="1">
        <f>C20+'.r file'!C26</f>
        <v>38.9</v>
      </c>
      <c r="D21" s="1">
        <f>D20+'.r file'!D26</f>
        <v>54</v>
      </c>
      <c r="E21" s="1">
        <f>E20+'.r file'!E26</f>
        <v>29</v>
      </c>
      <c r="F21" s="1">
        <f>F20+'.r file'!F26</f>
        <v>68.28</v>
      </c>
      <c r="G21" s="1">
        <f>G20+'.r file'!G26</f>
        <v>36.329999999999991</v>
      </c>
      <c r="H21" s="1">
        <f>H20+'.r file'!H26</f>
        <v>70</v>
      </c>
      <c r="I21" s="1">
        <f>I20+'.r file'!I26</f>
        <v>29.350000000000005</v>
      </c>
      <c r="J21" s="1">
        <f>J20+'.r file'!J26</f>
        <v>33</v>
      </c>
      <c r="K21" s="1">
        <f>K20+'.r file'!K26</f>
        <v>40</v>
      </c>
      <c r="L21" s="1">
        <f>L20+'.r file'!L26</f>
        <v>23.939999999999991</v>
      </c>
      <c r="M21" s="1">
        <f>M20+'.r file'!M26</f>
        <v>113</v>
      </c>
      <c r="N21" s="1">
        <f>N20+'.r file'!N26</f>
        <v>16.96</v>
      </c>
      <c r="O21" s="1">
        <f>O20+'.r file'!O26</f>
        <v>39</v>
      </c>
      <c r="P21" s="1">
        <f>P20+'.r file'!P26</f>
        <v>22.210000000000004</v>
      </c>
      <c r="Q21" s="1">
        <f>Q20+'.r file'!Q26</f>
        <v>40</v>
      </c>
      <c r="R21" s="1">
        <f>R20+'.r file'!R26</f>
        <v>28.409999999999997</v>
      </c>
      <c r="S21" s="1">
        <f>S20+'.r file'!S26</f>
        <v>44.290000000000006</v>
      </c>
      <c r="T21" s="1">
        <f>T20+'.r file'!T26</f>
        <v>65</v>
      </c>
      <c r="U21" s="1">
        <f>U20+'.r file'!U26</f>
        <v>69.72999999999999</v>
      </c>
      <c r="V21" s="1">
        <f>V20+'.r file'!V26</f>
        <v>62</v>
      </c>
      <c r="W21" s="1">
        <f>W20+'.r file'!W26</f>
        <v>48</v>
      </c>
      <c r="X21" s="1">
        <f>X20+'.r file'!X26</f>
        <v>46</v>
      </c>
      <c r="Y21" s="1">
        <f>Y20+'.r file'!Y26</f>
        <v>39</v>
      </c>
      <c r="Z21" s="1">
        <f>Z20+'.r file'!Z26</f>
        <v>44.419999999999995</v>
      </c>
      <c r="AA21" s="1">
        <f>AA20+'.r file'!AA26</f>
        <v>45.560000000000009</v>
      </c>
      <c r="AB21" s="1">
        <f>AB20+'.r file'!AB26</f>
        <v>34.480000000000004</v>
      </c>
      <c r="AC21" s="1">
        <f>AC20+'.r file'!AC26</f>
        <v>59</v>
      </c>
      <c r="AD21" s="1">
        <f>AD20+'.r file'!AD26</f>
        <v>26.9</v>
      </c>
      <c r="AE21" s="1">
        <f>AE20+'.r file'!AE26</f>
        <v>138.43</v>
      </c>
      <c r="AF21" s="1">
        <f>AF20+'.r file'!AF26</f>
        <v>132.08000000000001</v>
      </c>
    </row>
    <row r="22" spans="1:32" x14ac:dyDescent="0.25">
      <c r="A22" s="6">
        <v>27054.166666666668</v>
      </c>
      <c r="B22" s="1">
        <f>B21+'.r file'!B27</f>
        <v>222.73000000000002</v>
      </c>
      <c r="C22" s="1">
        <f>C21+'.r file'!C27</f>
        <v>53.8</v>
      </c>
      <c r="D22" s="1">
        <f>D21+'.r file'!D27</f>
        <v>60</v>
      </c>
      <c r="E22" s="1">
        <f>E21+'.r file'!E27</f>
        <v>33</v>
      </c>
      <c r="F22" s="1">
        <f>F21+'.r file'!F27</f>
        <v>71</v>
      </c>
      <c r="G22" s="1">
        <f>G21+'.r file'!G27</f>
        <v>40.199999999999989</v>
      </c>
      <c r="H22" s="1">
        <f>H21+'.r file'!H27</f>
        <v>72</v>
      </c>
      <c r="I22" s="1">
        <f>I21+'.r file'!I27</f>
        <v>30.210000000000004</v>
      </c>
      <c r="J22" s="1">
        <f>J21+'.r file'!J27</f>
        <v>34</v>
      </c>
      <c r="K22" s="1">
        <f>K21+'.r file'!K27</f>
        <v>40</v>
      </c>
      <c r="L22" s="1">
        <f>L21+'.r file'!L27</f>
        <v>25.269999999999989</v>
      </c>
      <c r="M22" s="1">
        <f>M21+'.r file'!M27</f>
        <v>131</v>
      </c>
      <c r="N22" s="1">
        <f>N21+'.r file'!N27</f>
        <v>18.11</v>
      </c>
      <c r="O22" s="1">
        <f>O21+'.r file'!O27</f>
        <v>41</v>
      </c>
      <c r="P22" s="1">
        <f>P21+'.r file'!P27</f>
        <v>22.490000000000006</v>
      </c>
      <c r="Q22" s="1">
        <f>Q21+'.r file'!Q27</f>
        <v>40</v>
      </c>
      <c r="R22" s="1">
        <f>R21+'.r file'!R27</f>
        <v>29.409999999999997</v>
      </c>
      <c r="S22" s="1">
        <f>S21+'.r file'!S27</f>
        <v>46.040000000000006</v>
      </c>
      <c r="T22" s="1">
        <f>T21+'.r file'!T27</f>
        <v>71</v>
      </c>
      <c r="U22" s="1">
        <f>U21+'.r file'!U27</f>
        <v>83.519999999999982</v>
      </c>
      <c r="V22" s="1">
        <f>V21+'.r file'!V27</f>
        <v>63</v>
      </c>
      <c r="W22" s="1">
        <f>W21+'.r file'!W27</f>
        <v>56</v>
      </c>
      <c r="X22" s="1">
        <f>X21+'.r file'!X27</f>
        <v>52</v>
      </c>
      <c r="Y22" s="1">
        <f>Y21+'.r file'!Y27</f>
        <v>45</v>
      </c>
      <c r="Z22" s="1">
        <f>Z21+'.r file'!Z27</f>
        <v>50.279999999999994</v>
      </c>
      <c r="AA22" s="1">
        <f>AA21+'.r file'!AA27</f>
        <v>52.080000000000013</v>
      </c>
      <c r="AB22" s="1">
        <f>AB21+'.r file'!AB27</f>
        <v>41.03</v>
      </c>
      <c r="AC22" s="1">
        <f>AC21+'.r file'!AC27</f>
        <v>64</v>
      </c>
      <c r="AD22" s="1">
        <f>AD21+'.r file'!AD27</f>
        <v>35.599999999999994</v>
      </c>
      <c r="AE22" s="1">
        <f>AE21+'.r file'!AE27</f>
        <v>155.59</v>
      </c>
      <c r="AF22" s="1">
        <f>AF21+'.r file'!AF27</f>
        <v>140.47000000000003</v>
      </c>
    </row>
    <row r="23" spans="1:32" x14ac:dyDescent="0.25">
      <c r="A23" s="6">
        <v>27054.208333333332</v>
      </c>
      <c r="B23" s="1">
        <f>B22+'.r file'!B28</f>
        <v>232.91000000000003</v>
      </c>
      <c r="C23" s="1">
        <f>C22+'.r file'!C28</f>
        <v>58.099999999999994</v>
      </c>
      <c r="D23" s="1">
        <f>D22+'.r file'!D28</f>
        <v>64</v>
      </c>
      <c r="E23" s="1">
        <f>E22+'.r file'!E28</f>
        <v>33</v>
      </c>
      <c r="F23" s="1">
        <f>F22+'.r file'!F28</f>
        <v>73.09</v>
      </c>
      <c r="G23" s="1">
        <f>G22+'.r file'!G28</f>
        <v>41.879999999999988</v>
      </c>
      <c r="H23" s="1">
        <f>H22+'.r file'!H28</f>
        <v>74</v>
      </c>
      <c r="I23" s="1">
        <f>I22+'.r file'!I28</f>
        <v>31.220000000000006</v>
      </c>
      <c r="J23" s="1">
        <f>J22+'.r file'!J28</f>
        <v>36</v>
      </c>
      <c r="K23" s="1">
        <f>K22+'.r file'!K28</f>
        <v>41</v>
      </c>
      <c r="L23" s="1">
        <f>L22+'.r file'!L28</f>
        <v>26.599999999999987</v>
      </c>
      <c r="M23" s="1">
        <f>M22+'.r file'!M28</f>
        <v>151</v>
      </c>
      <c r="N23" s="1">
        <f>N22+'.r file'!N28</f>
        <v>19.509999999999998</v>
      </c>
      <c r="O23" s="1">
        <f>O22+'.r file'!O28</f>
        <v>45</v>
      </c>
      <c r="P23" s="1">
        <f>P22+'.r file'!P28</f>
        <v>25.510000000000005</v>
      </c>
      <c r="Q23" s="1">
        <f>Q22+'.r file'!Q28</f>
        <v>41</v>
      </c>
      <c r="R23" s="1">
        <f>R22+'.r file'!R28</f>
        <v>29.909999999999997</v>
      </c>
      <c r="S23" s="1">
        <f>S22+'.r file'!S28</f>
        <v>48.900000000000006</v>
      </c>
      <c r="T23" s="1">
        <f>T22+'.r file'!T28</f>
        <v>82</v>
      </c>
      <c r="U23" s="1">
        <f>U22+'.r file'!U28</f>
        <v>99.109999999999985</v>
      </c>
      <c r="V23" s="1">
        <f>V22+'.r file'!V28</f>
        <v>64</v>
      </c>
      <c r="W23" s="1">
        <f>W22+'.r file'!W28</f>
        <v>73</v>
      </c>
      <c r="X23" s="1">
        <f>X22+'.r file'!X28</f>
        <v>60</v>
      </c>
      <c r="Y23" s="1">
        <f>Y22+'.r file'!Y28</f>
        <v>50</v>
      </c>
      <c r="Z23" s="1">
        <f>Z22+'.r file'!Z28</f>
        <v>64.19</v>
      </c>
      <c r="AA23" s="1">
        <f>AA22+'.r file'!AA28</f>
        <v>62.170000000000016</v>
      </c>
      <c r="AB23" s="1">
        <f>AB22+'.r file'!AB28</f>
        <v>52.21</v>
      </c>
      <c r="AC23" s="1">
        <f>AC22+'.r file'!AC28</f>
        <v>78</v>
      </c>
      <c r="AD23" s="1">
        <f>AD22+'.r file'!AD28</f>
        <v>44.399999999999991</v>
      </c>
      <c r="AE23" s="1">
        <f>AE22+'.r file'!AE28</f>
        <v>177.57</v>
      </c>
      <c r="AF23" s="1">
        <f>AF22+'.r file'!AF28</f>
        <v>162.65000000000003</v>
      </c>
    </row>
    <row r="24" spans="1:32" x14ac:dyDescent="0.25">
      <c r="A24" s="6">
        <v>27054.25</v>
      </c>
      <c r="B24" s="1">
        <f>B23+'.r file'!B29</f>
        <v>243.57000000000002</v>
      </c>
      <c r="C24" s="1">
        <f>C23+'.r file'!C29</f>
        <v>93.899999999999991</v>
      </c>
      <c r="D24" s="1">
        <f>D23+'.r file'!D29</f>
        <v>67</v>
      </c>
      <c r="E24" s="1">
        <f>E23+'.r file'!E29</f>
        <v>37</v>
      </c>
      <c r="F24" s="1">
        <f>F23+'.r file'!F29</f>
        <v>76.48</v>
      </c>
      <c r="G24" s="1">
        <f>G23+'.r file'!G29</f>
        <v>43.019999999999989</v>
      </c>
      <c r="H24" s="1">
        <f>H23+'.r file'!H29</f>
        <v>76</v>
      </c>
      <c r="I24" s="1">
        <f>I23+'.r file'!I29</f>
        <v>32.010000000000005</v>
      </c>
      <c r="J24" s="1">
        <f>J23+'.r file'!J29</f>
        <v>39</v>
      </c>
      <c r="K24" s="1">
        <f>K23+'.r file'!K29</f>
        <v>47</v>
      </c>
      <c r="L24" s="1">
        <f>L23+'.r file'!L29</f>
        <v>27.929999999999986</v>
      </c>
      <c r="M24" s="1">
        <f>M23+'.r file'!M29</f>
        <v>170</v>
      </c>
      <c r="N24" s="1">
        <f>N23+'.r file'!N29</f>
        <v>21.81</v>
      </c>
      <c r="O24" s="1">
        <f>O23+'.r file'!O29</f>
        <v>50</v>
      </c>
      <c r="P24" s="1">
        <f>P23+'.r file'!P29</f>
        <v>30.430000000000007</v>
      </c>
      <c r="Q24" s="1">
        <f>Q23+'.r file'!Q29</f>
        <v>47</v>
      </c>
      <c r="R24" s="1">
        <f>R23+'.r file'!R29</f>
        <v>29.909999999999997</v>
      </c>
      <c r="S24" s="1">
        <f>S23+'.r file'!S29</f>
        <v>53.620000000000005</v>
      </c>
      <c r="T24" s="1">
        <f>T23+'.r file'!T29</f>
        <v>92</v>
      </c>
      <c r="U24" s="1">
        <f>U23+'.r file'!U29</f>
        <v>112.47999999999999</v>
      </c>
      <c r="V24" s="1">
        <f>V23+'.r file'!V29</f>
        <v>67</v>
      </c>
      <c r="W24" s="1">
        <f>W23+'.r file'!W29</f>
        <v>83</v>
      </c>
      <c r="X24" s="1">
        <f>X23+'.r file'!X29</f>
        <v>65</v>
      </c>
      <c r="Y24" s="1">
        <f>Y23+'.r file'!Y29</f>
        <v>55</v>
      </c>
      <c r="Z24" s="1">
        <f>Z23+'.r file'!Z29</f>
        <v>72.599999999999994</v>
      </c>
      <c r="AA24" s="1">
        <f>AA23+'.r file'!AA29</f>
        <v>74.060000000000016</v>
      </c>
      <c r="AB24" s="1">
        <f>AB23+'.r file'!AB29</f>
        <v>67.91</v>
      </c>
      <c r="AC24" s="1">
        <f>AC23+'.r file'!AC29</f>
        <v>86</v>
      </c>
      <c r="AD24" s="1">
        <f>AD23+'.r file'!AD29</f>
        <v>57.499999999999993</v>
      </c>
      <c r="AE24" s="1">
        <f>AE23+'.r file'!AE29</f>
        <v>201.59</v>
      </c>
      <c r="AF24" s="1">
        <f>AF23+'.r file'!AF29</f>
        <v>174.01000000000005</v>
      </c>
    </row>
    <row r="25" spans="1:32" x14ac:dyDescent="0.25">
      <c r="A25" s="6">
        <v>27054.291666666668</v>
      </c>
      <c r="B25" s="1">
        <f>B24+'.r file'!B30</f>
        <v>249.99</v>
      </c>
      <c r="C25" s="1">
        <f>C24+'.r file'!C30</f>
        <v>136.6</v>
      </c>
      <c r="D25" s="1">
        <f>D24+'.r file'!D30</f>
        <v>70</v>
      </c>
      <c r="E25" s="1">
        <f>E24+'.r file'!E30</f>
        <v>40</v>
      </c>
      <c r="F25" s="1">
        <f>F24+'.r file'!F30</f>
        <v>77.100000000000009</v>
      </c>
      <c r="G25" s="1">
        <f>G24+'.r file'!G30</f>
        <v>44.109999999999992</v>
      </c>
      <c r="H25" s="1">
        <f>H24+'.r file'!H30</f>
        <v>80</v>
      </c>
      <c r="I25" s="1">
        <f>I24+'.r file'!I30</f>
        <v>32.010000000000005</v>
      </c>
      <c r="J25" s="1">
        <f>J24+'.r file'!J30</f>
        <v>41</v>
      </c>
      <c r="K25" s="1">
        <f>K24+'.r file'!K30</f>
        <v>52</v>
      </c>
      <c r="L25" s="1">
        <f>L24+'.r file'!L30</f>
        <v>29.259999999999984</v>
      </c>
      <c r="M25" s="1">
        <f>M24+'.r file'!M30</f>
        <v>220</v>
      </c>
      <c r="N25" s="1">
        <f>N24+'.r file'!N30</f>
        <v>22.209999999999997</v>
      </c>
      <c r="O25" s="1">
        <f>O24+'.r file'!O30</f>
        <v>51</v>
      </c>
      <c r="P25" s="1">
        <f>P24+'.r file'!P30</f>
        <v>34.100000000000009</v>
      </c>
      <c r="Q25" s="1">
        <f>Q24+'.r file'!Q30</f>
        <v>52</v>
      </c>
      <c r="R25" s="1">
        <f>R24+'.r file'!R30</f>
        <v>30.129999999999995</v>
      </c>
      <c r="S25" s="1">
        <f>S24+'.r file'!S30</f>
        <v>56.290000000000006</v>
      </c>
      <c r="T25" s="1">
        <f>T24+'.r file'!T30</f>
        <v>98</v>
      </c>
      <c r="U25" s="1">
        <f>U24+'.r file'!U30</f>
        <v>127.02999999999999</v>
      </c>
      <c r="V25" s="1">
        <f>V24+'.r file'!V30</f>
        <v>74</v>
      </c>
      <c r="W25" s="1">
        <f>W24+'.r file'!W30</f>
        <v>103</v>
      </c>
      <c r="X25" s="1">
        <f>X24+'.r file'!X30</f>
        <v>74</v>
      </c>
      <c r="Y25" s="1">
        <f>Y24+'.r file'!Y30</f>
        <v>62</v>
      </c>
      <c r="Z25" s="1">
        <f>Z24+'.r file'!Z30</f>
        <v>88.36999999999999</v>
      </c>
      <c r="AA25" s="1">
        <f>AA24+'.r file'!AA30</f>
        <v>87.670000000000016</v>
      </c>
      <c r="AB25" s="1">
        <f>AB24+'.r file'!AB30</f>
        <v>86.199999999999989</v>
      </c>
      <c r="AC25" s="1">
        <f>AC24+'.r file'!AC30</f>
        <v>93</v>
      </c>
      <c r="AD25" s="1">
        <f>AD24+'.r file'!AD30</f>
        <v>72.5</v>
      </c>
      <c r="AE25" s="1">
        <f>AE24+'.r file'!AE30</f>
        <v>213.49</v>
      </c>
      <c r="AF25" s="1">
        <f>AF24+'.r file'!AF30</f>
        <v>178.04000000000005</v>
      </c>
    </row>
    <row r="26" spans="1:32" x14ac:dyDescent="0.25">
      <c r="A26" s="6">
        <v>27054.333333333332</v>
      </c>
      <c r="B26" s="1">
        <f>B25+'.r file'!B31</f>
        <v>264.46000000000004</v>
      </c>
      <c r="C26" s="1">
        <f>C25+'.r file'!C31</f>
        <v>187.89999999999998</v>
      </c>
      <c r="D26" s="1">
        <f>D25+'.r file'!D31</f>
        <v>74</v>
      </c>
      <c r="E26" s="1">
        <f>E25+'.r file'!E31</f>
        <v>41</v>
      </c>
      <c r="F26" s="1">
        <f>F25+'.r file'!F31</f>
        <v>77.100000000000009</v>
      </c>
      <c r="G26" s="1">
        <f>G25+'.r file'!G31</f>
        <v>44.109999999999992</v>
      </c>
      <c r="H26" s="1">
        <f>H25+'.r file'!H31</f>
        <v>85</v>
      </c>
      <c r="I26" s="1">
        <f>I25+'.r file'!I31</f>
        <v>32.010000000000005</v>
      </c>
      <c r="J26" s="1">
        <f>J25+'.r file'!J31</f>
        <v>43</v>
      </c>
      <c r="K26" s="1">
        <f>K25+'.r file'!K31</f>
        <v>61</v>
      </c>
      <c r="L26" s="1">
        <f>L25+'.r file'!L31</f>
        <v>30.589999999999982</v>
      </c>
      <c r="M26" s="1">
        <f>M25+'.r file'!M31</f>
        <v>252</v>
      </c>
      <c r="N26" s="1">
        <f>N25+'.r file'!N31</f>
        <v>24.609999999999996</v>
      </c>
      <c r="O26" s="1">
        <f>O25+'.r file'!O31</f>
        <v>56</v>
      </c>
      <c r="P26" s="1">
        <f>P25+'.r file'!P31</f>
        <v>35.910000000000011</v>
      </c>
      <c r="Q26" s="1">
        <f>Q25+'.r file'!Q31</f>
        <v>61</v>
      </c>
      <c r="R26" s="1">
        <f>R25+'.r file'!R31</f>
        <v>32.799999999999997</v>
      </c>
      <c r="S26" s="1">
        <f>S25+'.r file'!S31</f>
        <v>62.800000000000004</v>
      </c>
      <c r="T26" s="1">
        <f>T25+'.r file'!T31</f>
        <v>108</v>
      </c>
      <c r="U26" s="1">
        <f>U25+'.r file'!U31</f>
        <v>153.23999999999998</v>
      </c>
      <c r="V26" s="1">
        <f>V25+'.r file'!V31</f>
        <v>79</v>
      </c>
      <c r="W26" s="1">
        <f>W25+'.r file'!W31</f>
        <v>118</v>
      </c>
      <c r="X26" s="1">
        <f>X25+'.r file'!X31</f>
        <v>80</v>
      </c>
      <c r="Y26" s="1">
        <f>Y25+'.r file'!Y31</f>
        <v>69</v>
      </c>
      <c r="Z26" s="1">
        <f>Z25+'.r file'!Z31</f>
        <v>101.60999999999999</v>
      </c>
      <c r="AA26" s="1">
        <f>AA25+'.r file'!AA31</f>
        <v>98.160000000000011</v>
      </c>
      <c r="AB26" s="1">
        <f>AB25+'.r file'!AB31</f>
        <v>101.49999999999999</v>
      </c>
      <c r="AC26" s="1">
        <f>AC25+'.r file'!AC31</f>
        <v>100</v>
      </c>
      <c r="AD26" s="1">
        <f>AD25+'.r file'!AD31</f>
        <v>90</v>
      </c>
      <c r="AE26" s="1">
        <f>AE25+'.r file'!AE31</f>
        <v>216.03</v>
      </c>
      <c r="AF26" s="1">
        <f>AF25+'.r file'!AF31</f>
        <v>178.04000000000005</v>
      </c>
    </row>
    <row r="27" spans="1:32" x14ac:dyDescent="0.25">
      <c r="A27" s="6">
        <v>27054.375</v>
      </c>
      <c r="B27" s="1">
        <f>B26+'.r file'!B32</f>
        <v>290.56000000000006</v>
      </c>
      <c r="C27" s="1">
        <f>C26+'.r file'!C32</f>
        <v>189.09999999999997</v>
      </c>
      <c r="D27" s="1">
        <f>D26+'.r file'!D32</f>
        <v>76</v>
      </c>
      <c r="E27" s="1">
        <f>E26+'.r file'!E32</f>
        <v>46</v>
      </c>
      <c r="F27" s="1">
        <f>F26+'.r file'!F32</f>
        <v>77.100000000000009</v>
      </c>
      <c r="G27" s="1">
        <f>G26+'.r file'!G32</f>
        <v>44.209999999999994</v>
      </c>
      <c r="H27" s="1">
        <f>H26+'.r file'!H32</f>
        <v>92</v>
      </c>
      <c r="I27" s="1">
        <f>I26+'.r file'!I32</f>
        <v>32.010000000000005</v>
      </c>
      <c r="J27" s="1">
        <f>J26+'.r file'!J32</f>
        <v>45</v>
      </c>
      <c r="K27" s="1">
        <f>K26+'.r file'!K32</f>
        <v>76</v>
      </c>
      <c r="L27" s="1">
        <f>L26+'.r file'!L32</f>
        <v>31.91999999999998</v>
      </c>
      <c r="M27" s="1">
        <f>M26+'.r file'!M32</f>
        <v>279</v>
      </c>
      <c r="N27" s="1">
        <f>N26+'.r file'!N32</f>
        <v>27.209999999999997</v>
      </c>
      <c r="O27" s="1">
        <f>O26+'.r file'!O32</f>
        <v>62</v>
      </c>
      <c r="P27" s="1">
        <f>P26+'.r file'!P32</f>
        <v>35.910000000000011</v>
      </c>
      <c r="Q27" s="1">
        <f>Q26+'.r file'!Q32</f>
        <v>76</v>
      </c>
      <c r="R27" s="1">
        <f>R26+'.r file'!R32</f>
        <v>35.769999999999996</v>
      </c>
      <c r="S27" s="1">
        <f>S26+'.r file'!S32</f>
        <v>65.430000000000007</v>
      </c>
      <c r="T27" s="1">
        <f>T26+'.r file'!T32</f>
        <v>110</v>
      </c>
      <c r="U27" s="1">
        <f>U26+'.r file'!U32</f>
        <v>169.58999999999997</v>
      </c>
      <c r="V27" s="1">
        <f>V26+'.r file'!V32</f>
        <v>99</v>
      </c>
      <c r="W27" s="1">
        <f>W26+'.r file'!W32</f>
        <v>131</v>
      </c>
      <c r="X27" s="1">
        <f>X26+'.r file'!X32</f>
        <v>84</v>
      </c>
      <c r="Y27" s="1">
        <f>Y26+'.r file'!Y32</f>
        <v>72</v>
      </c>
      <c r="Z27" s="1">
        <f>Z26+'.r file'!Z32</f>
        <v>109.99999999999999</v>
      </c>
      <c r="AA27" s="1">
        <f>AA26+'.r file'!AA32</f>
        <v>107.01</v>
      </c>
      <c r="AB27" s="1">
        <f>AB26+'.r file'!AB32</f>
        <v>112.20999999999998</v>
      </c>
      <c r="AC27" s="1">
        <f>AC26+'.r file'!AC32</f>
        <v>107</v>
      </c>
      <c r="AD27" s="1">
        <f>AD26+'.r file'!AD32</f>
        <v>99.4</v>
      </c>
      <c r="AE27" s="1">
        <f>AE26+'.r file'!AE32</f>
        <v>216.03</v>
      </c>
      <c r="AF27" s="1">
        <f>AF26+'.r file'!AF32</f>
        <v>178.04000000000005</v>
      </c>
    </row>
    <row r="28" spans="1:32" x14ac:dyDescent="0.25">
      <c r="A28" s="6">
        <v>27054.416666666668</v>
      </c>
      <c r="B28" s="1">
        <f>B27+'.r file'!B33</f>
        <v>299.63000000000005</v>
      </c>
      <c r="C28" s="1">
        <f>C27+'.r file'!C33</f>
        <v>189.09999999999997</v>
      </c>
      <c r="D28" s="1">
        <f>D27+'.r file'!D33</f>
        <v>76</v>
      </c>
      <c r="E28" s="1">
        <f>E27+'.r file'!E33</f>
        <v>49</v>
      </c>
      <c r="F28" s="1">
        <f>F27+'.r file'!F33</f>
        <v>77.100000000000009</v>
      </c>
      <c r="G28" s="1">
        <f>G27+'.r file'!G33</f>
        <v>44.509999999999991</v>
      </c>
      <c r="H28" s="1">
        <f>H27+'.r file'!H33</f>
        <v>97</v>
      </c>
      <c r="I28" s="1">
        <f>I27+'.r file'!I33</f>
        <v>34.710000000000008</v>
      </c>
      <c r="J28" s="1">
        <f>J27+'.r file'!J33</f>
        <v>48</v>
      </c>
      <c r="K28" s="1">
        <f>K27+'.r file'!K33</f>
        <v>89</v>
      </c>
      <c r="L28" s="1">
        <f>L27+'.r file'!L33</f>
        <v>35.70999999999998</v>
      </c>
      <c r="M28" s="1">
        <f>M27+'.r file'!M33</f>
        <v>294</v>
      </c>
      <c r="N28" s="1">
        <f>N27+'.r file'!N33</f>
        <v>27.209999999999997</v>
      </c>
      <c r="O28" s="1">
        <f>O27+'.r file'!O33</f>
        <v>64</v>
      </c>
      <c r="P28" s="1">
        <f>P27+'.r file'!P33</f>
        <v>39.030000000000008</v>
      </c>
      <c r="Q28" s="1">
        <f>Q27+'.r file'!Q33</f>
        <v>89</v>
      </c>
      <c r="R28" s="1">
        <f>R27+'.r file'!R33</f>
        <v>36.4</v>
      </c>
      <c r="S28" s="1">
        <f>S27+'.r file'!S33</f>
        <v>73.42</v>
      </c>
      <c r="T28" s="1">
        <f>T27+'.r file'!T33</f>
        <v>121</v>
      </c>
      <c r="U28" s="1">
        <f>U27+'.r file'!U33</f>
        <v>187.51</v>
      </c>
      <c r="V28" s="1">
        <f>V27+'.r file'!V33</f>
        <v>105</v>
      </c>
      <c r="W28" s="1">
        <f>W27+'.r file'!W33</f>
        <v>168</v>
      </c>
      <c r="X28" s="1">
        <f>X27+'.r file'!X33</f>
        <v>107</v>
      </c>
      <c r="Y28" s="1">
        <f>Y27+'.r file'!Y33</f>
        <v>84</v>
      </c>
      <c r="Z28" s="1">
        <f>Z27+'.r file'!Z33</f>
        <v>139.04</v>
      </c>
      <c r="AA28" s="1">
        <f>AA27+'.r file'!AA33</f>
        <v>134.29000000000002</v>
      </c>
      <c r="AB28" s="1">
        <f>AB27+'.r file'!AB33</f>
        <v>138.02999999999997</v>
      </c>
      <c r="AC28" s="1">
        <f>AC27+'.r file'!AC33</f>
        <v>113</v>
      </c>
      <c r="AD28" s="1">
        <f>AD27+'.r file'!AD33</f>
        <v>146.19999999999999</v>
      </c>
      <c r="AE28" s="1">
        <f>AE27+'.r file'!AE33</f>
        <v>216.03</v>
      </c>
      <c r="AF28" s="1">
        <f>AF27+'.r file'!AF33</f>
        <v>178.04000000000005</v>
      </c>
    </row>
    <row r="29" spans="1:32" x14ac:dyDescent="0.25">
      <c r="A29" s="6">
        <v>27054.458333333332</v>
      </c>
      <c r="B29" s="1">
        <f>B28+'.r file'!B34</f>
        <v>300.07000000000005</v>
      </c>
      <c r="C29" s="1">
        <f>C28+'.r file'!C34</f>
        <v>189.69999999999996</v>
      </c>
      <c r="D29" s="1">
        <f>D28+'.r file'!D34</f>
        <v>76</v>
      </c>
      <c r="E29" s="1">
        <f>E28+'.r file'!E34</f>
        <v>51</v>
      </c>
      <c r="F29" s="1">
        <f>F28+'.r file'!F34</f>
        <v>77.100000000000009</v>
      </c>
      <c r="G29" s="1">
        <f>G28+'.r file'!G34</f>
        <v>44.509999999999991</v>
      </c>
      <c r="H29" s="1">
        <f>H28+'.r file'!H34</f>
        <v>107</v>
      </c>
      <c r="I29" s="1">
        <f>I28+'.r file'!I34</f>
        <v>36.620000000000005</v>
      </c>
      <c r="J29" s="1">
        <f>J28+'.r file'!J34</f>
        <v>51</v>
      </c>
      <c r="K29" s="1">
        <f>K28+'.r file'!K34</f>
        <v>97</v>
      </c>
      <c r="L29" s="1">
        <f>L28+'.r file'!L34</f>
        <v>39.499999999999979</v>
      </c>
      <c r="M29" s="1">
        <f>M28+'.r file'!M34</f>
        <v>312</v>
      </c>
      <c r="N29" s="1">
        <f>N28+'.r file'!N34</f>
        <v>27.209999999999997</v>
      </c>
      <c r="O29" s="1">
        <f>O28+'.r file'!O34</f>
        <v>70</v>
      </c>
      <c r="P29" s="1">
        <f>P28+'.r file'!P34</f>
        <v>40.63000000000001</v>
      </c>
      <c r="Q29" s="1">
        <f>Q28+'.r file'!Q34</f>
        <v>97</v>
      </c>
      <c r="R29" s="1">
        <f>R28+'.r file'!R34</f>
        <v>37.559999999999995</v>
      </c>
      <c r="S29" s="1">
        <f>S28+'.r file'!S34</f>
        <v>88.17</v>
      </c>
      <c r="T29" s="1">
        <f>T28+'.r file'!T34</f>
        <v>134</v>
      </c>
      <c r="U29" s="1">
        <f>U28+'.r file'!U34</f>
        <v>212.54999999999998</v>
      </c>
      <c r="V29" s="1">
        <f>V28+'.r file'!V34</f>
        <v>121</v>
      </c>
      <c r="W29" s="1">
        <f>W28+'.r file'!W34</f>
        <v>195</v>
      </c>
      <c r="X29" s="1">
        <f>X28+'.r file'!X34</f>
        <v>132</v>
      </c>
      <c r="Y29" s="1">
        <f>Y28+'.r file'!Y34</f>
        <v>109</v>
      </c>
      <c r="Z29" s="1">
        <f>Z28+'.r file'!Z34</f>
        <v>171.10999999999999</v>
      </c>
      <c r="AA29" s="1">
        <f>AA28+'.r file'!AA34</f>
        <v>162.82000000000002</v>
      </c>
      <c r="AB29" s="1">
        <f>AB28+'.r file'!AB34</f>
        <v>164.36999999999998</v>
      </c>
      <c r="AC29" s="1">
        <f>AC28+'.r file'!AC34</f>
        <v>129</v>
      </c>
      <c r="AD29" s="1">
        <f>AD28+'.r file'!AD34</f>
        <v>186.2</v>
      </c>
      <c r="AE29" s="1">
        <f>AE28+'.r file'!AE34</f>
        <v>216.03</v>
      </c>
      <c r="AF29" s="1">
        <f>AF28+'.r file'!AF34</f>
        <v>178.04000000000005</v>
      </c>
    </row>
    <row r="30" spans="1:32" x14ac:dyDescent="0.25">
      <c r="A30" s="6">
        <v>27054.5</v>
      </c>
      <c r="B30" s="1">
        <f>B29+'.r file'!B35</f>
        <v>300.53000000000003</v>
      </c>
      <c r="C30" s="1">
        <f>C29+'.r file'!C35</f>
        <v>189.69999999999996</v>
      </c>
      <c r="D30" s="1">
        <f>D29+'.r file'!D35</f>
        <v>76</v>
      </c>
      <c r="E30" s="1">
        <f>E29+'.r file'!E35</f>
        <v>52</v>
      </c>
      <c r="F30" s="1">
        <f>F29+'.r file'!F35</f>
        <v>77.100000000000009</v>
      </c>
      <c r="G30" s="1">
        <f>G29+'.r file'!G35</f>
        <v>44.509999999999991</v>
      </c>
      <c r="H30" s="1">
        <f>H29+'.r file'!H35</f>
        <v>116</v>
      </c>
      <c r="I30" s="1">
        <f>I29+'.r file'!I35</f>
        <v>37.610000000000007</v>
      </c>
      <c r="J30" s="1">
        <f>J29+'.r file'!J35</f>
        <v>51</v>
      </c>
      <c r="K30" s="1">
        <f>K29+'.r file'!K35</f>
        <v>100</v>
      </c>
      <c r="L30" s="1">
        <f>L29+'.r file'!L35</f>
        <v>43.289999999999978</v>
      </c>
      <c r="M30" s="1">
        <f>M29+'.r file'!M35</f>
        <v>336</v>
      </c>
      <c r="N30" s="1">
        <f>N29+'.r file'!N35</f>
        <v>27.209999999999997</v>
      </c>
      <c r="O30" s="1">
        <f>O29+'.r file'!O35</f>
        <v>79</v>
      </c>
      <c r="P30" s="1">
        <f>P29+'.r file'!P35</f>
        <v>43.02000000000001</v>
      </c>
      <c r="Q30" s="1">
        <f>Q29+'.r file'!Q35</f>
        <v>100</v>
      </c>
      <c r="R30" s="1">
        <f>R29+'.r file'!R35</f>
        <v>40.929999999999993</v>
      </c>
      <c r="S30" s="1">
        <f>S29+'.r file'!S35</f>
        <v>94.740000000000009</v>
      </c>
      <c r="T30" s="1">
        <f>T29+'.r file'!T35</f>
        <v>143</v>
      </c>
      <c r="U30" s="1">
        <f>U29+'.r file'!U35</f>
        <v>232.35</v>
      </c>
      <c r="V30" s="1">
        <f>V29+'.r file'!V35</f>
        <v>130</v>
      </c>
      <c r="W30" s="1">
        <f>W29+'.r file'!W35</f>
        <v>223</v>
      </c>
      <c r="X30" s="1">
        <f>X29+'.r file'!X35</f>
        <v>154</v>
      </c>
      <c r="Y30" s="1">
        <f>Y29+'.r file'!Y35</f>
        <v>125</v>
      </c>
      <c r="Z30" s="1">
        <f>Z29+'.r file'!Z35</f>
        <v>199.69</v>
      </c>
      <c r="AA30" s="1">
        <f>AA29+'.r file'!AA35</f>
        <v>200.70000000000002</v>
      </c>
      <c r="AB30" s="1">
        <f>AB29+'.r file'!AB35</f>
        <v>205.83999999999997</v>
      </c>
      <c r="AC30" s="1">
        <f>AC29+'.r file'!AC35</f>
        <v>156</v>
      </c>
      <c r="AD30" s="1">
        <f>AD29+'.r file'!AD35</f>
        <v>219.39999999999998</v>
      </c>
      <c r="AE30" s="1">
        <f>AE29+'.r file'!AE35</f>
        <v>216.03</v>
      </c>
      <c r="AF30" s="1">
        <f>AF29+'.r file'!AF35</f>
        <v>178.04000000000005</v>
      </c>
    </row>
    <row r="31" spans="1:32" x14ac:dyDescent="0.25">
      <c r="A31" s="6">
        <v>27054.541666666668</v>
      </c>
      <c r="B31" s="1">
        <f>B30+'.r file'!B36</f>
        <v>300.53000000000003</v>
      </c>
      <c r="C31" s="1">
        <f>C30+'.r file'!C36</f>
        <v>192.19999999999996</v>
      </c>
      <c r="D31" s="1">
        <f>D30+'.r file'!D36</f>
        <v>76</v>
      </c>
      <c r="E31" s="1">
        <f>E30+'.r file'!E36</f>
        <v>53</v>
      </c>
      <c r="F31" s="1">
        <f>F30+'.r file'!F36</f>
        <v>77.100000000000009</v>
      </c>
      <c r="G31" s="1">
        <f>G30+'.r file'!G36</f>
        <v>44.609999999999992</v>
      </c>
      <c r="H31" s="1">
        <f>H30+'.r file'!H36</f>
        <v>122</v>
      </c>
      <c r="I31" s="1">
        <f>I30+'.r file'!I36</f>
        <v>38.100000000000009</v>
      </c>
      <c r="J31" s="1">
        <f>J30+'.r file'!J36</f>
        <v>51</v>
      </c>
      <c r="K31" s="1">
        <f>K30+'.r file'!K36</f>
        <v>104</v>
      </c>
      <c r="L31" s="1">
        <f>L30+'.r file'!L36</f>
        <v>47.079999999999977</v>
      </c>
      <c r="M31" s="1">
        <f>M30+'.r file'!M36</f>
        <v>395</v>
      </c>
      <c r="N31" s="1">
        <f>N30+'.r file'!N36</f>
        <v>27.209999999999997</v>
      </c>
      <c r="O31" s="1">
        <f>O30+'.r file'!O36</f>
        <v>88</v>
      </c>
      <c r="P31" s="1">
        <f>P30+'.r file'!P36</f>
        <v>47.620000000000012</v>
      </c>
      <c r="Q31" s="1">
        <f>Q30+'.r file'!Q36</f>
        <v>104</v>
      </c>
      <c r="R31" s="1">
        <f>R30+'.r file'!R36</f>
        <v>45.29999999999999</v>
      </c>
      <c r="S31" s="1">
        <f>S30+'.r file'!S36</f>
        <v>101.04</v>
      </c>
      <c r="T31" s="1">
        <f>T30+'.r file'!T36</f>
        <v>150</v>
      </c>
      <c r="U31" s="1">
        <f>U30+'.r file'!U36</f>
        <v>254.26</v>
      </c>
      <c r="V31" s="1">
        <f>V30+'.r file'!V36</f>
        <v>152</v>
      </c>
      <c r="W31" s="1">
        <f>W30+'.r file'!W36</f>
        <v>263</v>
      </c>
      <c r="X31" s="1">
        <f>X30+'.r file'!X36</f>
        <v>165</v>
      </c>
      <c r="Y31" s="1">
        <f>Y30+'.r file'!Y36</f>
        <v>137</v>
      </c>
      <c r="Z31" s="1">
        <f>Z30+'.r file'!Z36</f>
        <v>223.86</v>
      </c>
      <c r="AA31" s="1">
        <f>AA30+'.r file'!AA36</f>
        <v>220.23000000000002</v>
      </c>
      <c r="AB31" s="1">
        <f>AB30+'.r file'!AB36</f>
        <v>225.89</v>
      </c>
      <c r="AC31" s="1">
        <f>AC30+'.r file'!AC36</f>
        <v>172</v>
      </c>
      <c r="AD31" s="1">
        <f>AD30+'.r file'!AD36</f>
        <v>238.09999999999997</v>
      </c>
      <c r="AE31" s="1">
        <f>AE30+'.r file'!AE36</f>
        <v>216.44</v>
      </c>
      <c r="AF31" s="1">
        <f>AF30+'.r file'!AF36</f>
        <v>178.04000000000005</v>
      </c>
    </row>
    <row r="32" spans="1:32" x14ac:dyDescent="0.25">
      <c r="A32" s="6">
        <v>27054.583333333332</v>
      </c>
      <c r="B32" s="1">
        <f>B31+'.r file'!B37</f>
        <v>301.11</v>
      </c>
      <c r="C32" s="1">
        <f>C31+'.r file'!C37</f>
        <v>200.89999999999995</v>
      </c>
      <c r="D32" s="1">
        <f>D31+'.r file'!D37</f>
        <v>76</v>
      </c>
      <c r="E32" s="1">
        <f>E31+'.r file'!E37</f>
        <v>58</v>
      </c>
      <c r="F32" s="1">
        <f>F31+'.r file'!F37</f>
        <v>77.100000000000009</v>
      </c>
      <c r="G32" s="1">
        <f>G31+'.r file'!G37</f>
        <v>44.709999999999994</v>
      </c>
      <c r="H32" s="1">
        <f>H31+'.r file'!H37</f>
        <v>127</v>
      </c>
      <c r="I32" s="1">
        <f>I31+'.r file'!I37</f>
        <v>40.430000000000007</v>
      </c>
      <c r="J32" s="1">
        <f>J31+'.r file'!J37</f>
        <v>54</v>
      </c>
      <c r="K32" s="1">
        <f>K31+'.r file'!K37</f>
        <v>110</v>
      </c>
      <c r="L32" s="1">
        <f>L31+'.r file'!L37</f>
        <v>50.869999999999976</v>
      </c>
      <c r="M32" s="1">
        <f>M31+'.r file'!M37</f>
        <v>431</v>
      </c>
      <c r="N32" s="1">
        <f>N31+'.r file'!N37</f>
        <v>27.209999999999997</v>
      </c>
      <c r="O32" s="1">
        <f>O31+'.r file'!O37</f>
        <v>98</v>
      </c>
      <c r="P32" s="1">
        <f>P31+'.r file'!P37</f>
        <v>49.720000000000013</v>
      </c>
      <c r="Q32" s="1">
        <f>Q31+'.r file'!Q37</f>
        <v>110</v>
      </c>
      <c r="R32" s="1">
        <f>R31+'.r file'!R37</f>
        <v>46.289999999999992</v>
      </c>
      <c r="S32" s="1">
        <f>S31+'.r file'!S37</f>
        <v>102.53</v>
      </c>
      <c r="T32" s="1">
        <f>T31+'.r file'!T37</f>
        <v>175</v>
      </c>
      <c r="U32" s="1">
        <f>U31+'.r file'!U37</f>
        <v>320.68</v>
      </c>
      <c r="V32" s="1">
        <f>V31+'.r file'!V37</f>
        <v>180</v>
      </c>
      <c r="W32" s="1">
        <f>W31+'.r file'!W37</f>
        <v>275</v>
      </c>
      <c r="X32" s="1">
        <f>X31+'.r file'!X37</f>
        <v>170</v>
      </c>
      <c r="Y32" s="1">
        <f>Y31+'.r file'!Y37</f>
        <v>140</v>
      </c>
      <c r="Z32" s="1">
        <f>Z31+'.r file'!Z37</f>
        <v>233.35000000000002</v>
      </c>
      <c r="AA32" s="1">
        <f>AA31+'.r file'!AA37</f>
        <v>224.72000000000003</v>
      </c>
      <c r="AB32" s="1">
        <f>AB31+'.r file'!AB37</f>
        <v>230.05999999999997</v>
      </c>
      <c r="AC32" s="1">
        <f>AC31+'.r file'!AC37</f>
        <v>179</v>
      </c>
      <c r="AD32" s="1">
        <f>AD31+'.r file'!AD37</f>
        <v>241.89999999999998</v>
      </c>
      <c r="AE32" s="1">
        <f>AE31+'.r file'!AE37</f>
        <v>219.73</v>
      </c>
      <c r="AF32" s="1">
        <f>AF31+'.r file'!AF37</f>
        <v>189.33000000000004</v>
      </c>
    </row>
    <row r="33" spans="1:32" x14ac:dyDescent="0.25">
      <c r="A33" s="6">
        <v>27054.625</v>
      </c>
      <c r="B33" s="1">
        <f>B32+'.r file'!B38</f>
        <v>304.41000000000003</v>
      </c>
      <c r="C33" s="1">
        <f>C32+'.r file'!C38</f>
        <v>202.09999999999994</v>
      </c>
      <c r="D33" s="1">
        <f>D32+'.r file'!D38</f>
        <v>76</v>
      </c>
      <c r="E33" s="1">
        <f>E32+'.r file'!E38</f>
        <v>62</v>
      </c>
      <c r="F33" s="1">
        <f>F32+'.r file'!F38</f>
        <v>81.400000000000006</v>
      </c>
      <c r="G33" s="1">
        <f>G32+'.r file'!G38</f>
        <v>45.009999999999991</v>
      </c>
      <c r="H33" s="1">
        <f>H32+'.r file'!H38</f>
        <v>131</v>
      </c>
      <c r="I33" s="1">
        <f>I32+'.r file'!I38</f>
        <v>42.860000000000007</v>
      </c>
      <c r="J33" s="1">
        <f>J32+'.r file'!J38</f>
        <v>56</v>
      </c>
      <c r="K33" s="1">
        <f>K32+'.r file'!K38</f>
        <v>116</v>
      </c>
      <c r="L33" s="1">
        <f>L32+'.r file'!L38</f>
        <v>54.659999999999975</v>
      </c>
      <c r="M33" s="1">
        <f>M32+'.r file'!M38</f>
        <v>455</v>
      </c>
      <c r="N33" s="1">
        <f>N32+'.r file'!N38</f>
        <v>27.209999999999997</v>
      </c>
      <c r="O33" s="1">
        <f>O32+'.r file'!O38</f>
        <v>108</v>
      </c>
      <c r="P33" s="1">
        <f>P32+'.r file'!P38</f>
        <v>52.730000000000011</v>
      </c>
      <c r="Q33" s="1">
        <f>Q32+'.r file'!Q38</f>
        <v>116</v>
      </c>
      <c r="R33" s="1">
        <f>R32+'.r file'!R38</f>
        <v>46.589999999999989</v>
      </c>
      <c r="S33" s="1">
        <f>S32+'.r file'!S38</f>
        <v>106.06</v>
      </c>
      <c r="T33" s="1">
        <f>T32+'.r file'!T38</f>
        <v>202</v>
      </c>
      <c r="U33" s="1">
        <f>U32+'.r file'!U38</f>
        <v>329.2</v>
      </c>
      <c r="V33" s="1">
        <f>V32+'.r file'!V38</f>
        <v>220</v>
      </c>
      <c r="W33" s="1">
        <f>W32+'.r file'!W38</f>
        <v>282</v>
      </c>
      <c r="X33" s="1">
        <f>X32+'.r file'!X38</f>
        <v>171</v>
      </c>
      <c r="Y33" s="1">
        <f>Y32+'.r file'!Y38</f>
        <v>141</v>
      </c>
      <c r="Z33" s="1">
        <f>Z32+'.r file'!Z38</f>
        <v>241.61</v>
      </c>
      <c r="AA33" s="1">
        <f>AA32+'.r file'!AA38</f>
        <v>227.06000000000003</v>
      </c>
      <c r="AB33" s="1">
        <f>AB32+'.r file'!AB38</f>
        <v>230.89999999999998</v>
      </c>
      <c r="AC33" s="1">
        <f>AC32+'.r file'!AC38</f>
        <v>186</v>
      </c>
      <c r="AD33" s="1">
        <f>AD32+'.r file'!AD38</f>
        <v>245.59999999999997</v>
      </c>
      <c r="AE33" s="1">
        <f>AE32+'.r file'!AE38</f>
        <v>222.11999999999998</v>
      </c>
      <c r="AF33" s="1">
        <f>AF32+'.r file'!AF38</f>
        <v>193.24000000000004</v>
      </c>
    </row>
    <row r="34" spans="1:32" x14ac:dyDescent="0.25">
      <c r="A34" s="6">
        <v>27054.666666666668</v>
      </c>
      <c r="B34" s="1">
        <f>B33+'.r file'!B39</f>
        <v>307.99</v>
      </c>
      <c r="C34" s="1">
        <f>C33+'.r file'!C39</f>
        <v>215.69999999999993</v>
      </c>
      <c r="D34" s="1">
        <f>D33+'.r file'!D39</f>
        <v>76</v>
      </c>
      <c r="E34" s="1">
        <f>E33+'.r file'!E39</f>
        <v>62</v>
      </c>
      <c r="F34" s="1">
        <f>F33+'.r file'!F39</f>
        <v>82.63000000000001</v>
      </c>
      <c r="G34" s="1">
        <f>G33+'.r file'!G39</f>
        <v>45.409999999999989</v>
      </c>
      <c r="H34" s="1">
        <f>H33+'.r file'!H39</f>
        <v>133</v>
      </c>
      <c r="I34" s="1">
        <f>I33+'.r file'!I39</f>
        <v>45.300000000000004</v>
      </c>
      <c r="J34" s="1">
        <f>J33+'.r file'!J39</f>
        <v>58</v>
      </c>
      <c r="K34" s="1">
        <f>K33+'.r file'!K39</f>
        <v>119</v>
      </c>
      <c r="L34" s="1">
        <f>L33+'.r file'!L39</f>
        <v>58.449999999999974</v>
      </c>
      <c r="M34" s="1">
        <f>M33+'.r file'!M39</f>
        <v>464</v>
      </c>
      <c r="N34" s="1">
        <f>N33+'.r file'!N39</f>
        <v>27.209999999999997</v>
      </c>
      <c r="O34" s="1">
        <f>O33+'.r file'!O39</f>
        <v>125</v>
      </c>
      <c r="P34" s="1">
        <f>P33+'.r file'!P39</f>
        <v>60.540000000000013</v>
      </c>
      <c r="Q34" s="1">
        <f>Q33+'.r file'!Q39</f>
        <v>119</v>
      </c>
      <c r="R34" s="1">
        <f>R33+'.r file'!R39</f>
        <v>48.889999999999986</v>
      </c>
      <c r="S34" s="1">
        <f>S33+'.r file'!S39</f>
        <v>115.16</v>
      </c>
      <c r="T34" s="1">
        <f>T33+'.r file'!T39</f>
        <v>205</v>
      </c>
      <c r="U34" s="1">
        <f>U33+'.r file'!U39</f>
        <v>332.77</v>
      </c>
      <c r="V34" s="1">
        <f>V33+'.r file'!V39</f>
        <v>229</v>
      </c>
      <c r="W34" s="1">
        <f>W33+'.r file'!W39</f>
        <v>284</v>
      </c>
      <c r="X34" s="1">
        <f>X33+'.r file'!X39</f>
        <v>173</v>
      </c>
      <c r="Y34" s="1">
        <f>Y33+'.r file'!Y39</f>
        <v>144</v>
      </c>
      <c r="Z34" s="1">
        <f>Z33+'.r file'!Z39</f>
        <v>242.15</v>
      </c>
      <c r="AA34" s="1">
        <f>AA33+'.r file'!AA39</f>
        <v>227.92000000000004</v>
      </c>
      <c r="AB34" s="1">
        <f>AB33+'.r file'!AB39</f>
        <v>230.89999999999998</v>
      </c>
      <c r="AC34" s="1">
        <f>AC33+'.r file'!AC39</f>
        <v>186</v>
      </c>
      <c r="AD34" s="1">
        <f>AD33+'.r file'!AD39</f>
        <v>249.39999999999998</v>
      </c>
      <c r="AE34" s="1">
        <f>AE33+'.r file'!AE39</f>
        <v>227.76999999999998</v>
      </c>
      <c r="AF34" s="1">
        <f>AF33+'.r file'!AF39</f>
        <v>200.14000000000004</v>
      </c>
    </row>
    <row r="35" spans="1:32" x14ac:dyDescent="0.25">
      <c r="A35" s="6">
        <v>27054.708333333332</v>
      </c>
      <c r="B35" s="1">
        <f>B34+'.r file'!B40</f>
        <v>316.62</v>
      </c>
      <c r="C35" s="1">
        <f>C34+'.r file'!C40</f>
        <v>232.39999999999992</v>
      </c>
      <c r="D35" s="1">
        <f>D34+'.r file'!D40</f>
        <v>81</v>
      </c>
      <c r="E35" s="1">
        <f>E34+'.r file'!E40</f>
        <v>62</v>
      </c>
      <c r="F35" s="1">
        <f>F34+'.r file'!F40</f>
        <v>97.29</v>
      </c>
      <c r="G35" s="1">
        <f>G34+'.r file'!G40</f>
        <v>45.709999999999987</v>
      </c>
      <c r="H35" s="1">
        <f>H34+'.r file'!H40</f>
        <v>139</v>
      </c>
      <c r="I35" s="1">
        <f>I34+'.r file'!I40</f>
        <v>45.500000000000007</v>
      </c>
      <c r="J35" s="1">
        <f>J34+'.r file'!J40</f>
        <v>60</v>
      </c>
      <c r="K35" s="1">
        <f>K34+'.r file'!K40</f>
        <v>119</v>
      </c>
      <c r="L35" s="1">
        <f>L34+'.r file'!L40</f>
        <v>62.239999999999974</v>
      </c>
      <c r="M35" s="1">
        <f>M34+'.r file'!M40</f>
        <v>484</v>
      </c>
      <c r="N35" s="1">
        <f>N34+'.r file'!N40</f>
        <v>27.209999999999997</v>
      </c>
      <c r="O35" s="1">
        <f>O34+'.r file'!O40</f>
        <v>138</v>
      </c>
      <c r="P35" s="1">
        <f>P34+'.r file'!P40</f>
        <v>70.02000000000001</v>
      </c>
      <c r="Q35" s="1">
        <f>Q34+'.r file'!Q40</f>
        <v>119</v>
      </c>
      <c r="R35" s="1">
        <f>R34+'.r file'!R40</f>
        <v>52.189999999999984</v>
      </c>
      <c r="S35" s="1">
        <f>S34+'.r file'!S40</f>
        <v>118.22999999999999</v>
      </c>
      <c r="T35" s="1">
        <f>T34+'.r file'!T40</f>
        <v>212</v>
      </c>
      <c r="U35" s="1">
        <f>U34+'.r file'!U40</f>
        <v>340.09999999999997</v>
      </c>
      <c r="V35" s="1">
        <f>V34+'.r file'!V40</f>
        <v>230</v>
      </c>
      <c r="W35" s="1">
        <f>W34+'.r file'!W40</f>
        <v>288</v>
      </c>
      <c r="X35" s="1">
        <f>X34+'.r file'!X40</f>
        <v>174</v>
      </c>
      <c r="Y35" s="1">
        <f>Y34+'.r file'!Y40</f>
        <v>144</v>
      </c>
      <c r="Z35" s="1">
        <f>Z34+'.r file'!Z40</f>
        <v>244.28</v>
      </c>
      <c r="AA35" s="1">
        <f>AA34+'.r file'!AA40</f>
        <v>228.08000000000004</v>
      </c>
      <c r="AB35" s="1">
        <f>AB34+'.r file'!AB40</f>
        <v>232.24999999999997</v>
      </c>
      <c r="AC35" s="1">
        <f>AC34+'.r file'!AC40</f>
        <v>191</v>
      </c>
      <c r="AD35" s="1">
        <f>AD34+'.r file'!AD40</f>
        <v>250.59999999999997</v>
      </c>
      <c r="AE35" s="1">
        <f>AE34+'.r file'!AE40</f>
        <v>230.40999999999997</v>
      </c>
      <c r="AF35" s="1">
        <f>AF34+'.r file'!AF40</f>
        <v>202.34000000000003</v>
      </c>
    </row>
    <row r="36" spans="1:32" x14ac:dyDescent="0.25">
      <c r="A36" s="6">
        <v>27054.75</v>
      </c>
      <c r="B36" s="1">
        <f>B35+'.r file'!B41</f>
        <v>337.36</v>
      </c>
      <c r="C36" s="1">
        <f>C35+'.r file'!C41</f>
        <v>240.39999999999992</v>
      </c>
      <c r="D36" s="1">
        <f>D35+'.r file'!D41</f>
        <v>81</v>
      </c>
      <c r="E36" s="1">
        <f>E35+'.r file'!E41</f>
        <v>62</v>
      </c>
      <c r="F36" s="1">
        <f>F35+'.r file'!F41</f>
        <v>102.4</v>
      </c>
      <c r="G36" s="1">
        <f>G35+'.r file'!G41</f>
        <v>46.119999999999983</v>
      </c>
      <c r="H36" s="1">
        <f>H35+'.r file'!H41</f>
        <v>143</v>
      </c>
      <c r="I36" s="1">
        <f>I35+'.r file'!I41</f>
        <v>45.500000000000007</v>
      </c>
      <c r="J36" s="1">
        <f>J35+'.r file'!J41</f>
        <v>60</v>
      </c>
      <c r="K36" s="1">
        <f>K35+'.r file'!K41</f>
        <v>119</v>
      </c>
      <c r="L36" s="1">
        <f>L35+'.r file'!L41</f>
        <v>66.029999999999973</v>
      </c>
      <c r="M36" s="1">
        <f>M35+'.r file'!M41</f>
        <v>491</v>
      </c>
      <c r="N36" s="1">
        <f>N35+'.r file'!N41</f>
        <v>27.209999999999997</v>
      </c>
      <c r="O36" s="1">
        <f>O35+'.r file'!O41</f>
        <v>148</v>
      </c>
      <c r="P36" s="1">
        <f>P35+'.r file'!P41</f>
        <v>75.63000000000001</v>
      </c>
      <c r="Q36" s="1">
        <f>Q35+'.r file'!Q41</f>
        <v>119</v>
      </c>
      <c r="R36" s="1">
        <f>R35+'.r file'!R41</f>
        <v>53.989999999999981</v>
      </c>
      <c r="S36" s="1">
        <f>S35+'.r file'!S41</f>
        <v>119.63</v>
      </c>
      <c r="T36" s="1">
        <f>T35+'.r file'!T41</f>
        <v>212</v>
      </c>
      <c r="U36" s="1">
        <f>U35+'.r file'!U41</f>
        <v>343.72999999999996</v>
      </c>
      <c r="V36" s="1">
        <f>V35+'.r file'!V41</f>
        <v>241</v>
      </c>
      <c r="W36" s="1">
        <f>W35+'.r file'!W41</f>
        <v>290</v>
      </c>
      <c r="X36" s="1">
        <f>X35+'.r file'!X41</f>
        <v>181</v>
      </c>
      <c r="Y36" s="1">
        <f>Y35+'.r file'!Y41</f>
        <v>148</v>
      </c>
      <c r="Z36" s="1">
        <f>Z35+'.r file'!Z41</f>
        <v>247.55</v>
      </c>
      <c r="AA36" s="1">
        <f>AA35+'.r file'!AA41</f>
        <v>229.77000000000004</v>
      </c>
      <c r="AB36" s="1">
        <f>AB35+'.r file'!AB41</f>
        <v>232.89999999999998</v>
      </c>
      <c r="AC36" s="1">
        <f>AC35+'.r file'!AC41</f>
        <v>195</v>
      </c>
      <c r="AD36" s="1">
        <f>AD35+'.r file'!AD41</f>
        <v>254.39999999999998</v>
      </c>
      <c r="AE36" s="1">
        <f>AE35+'.r file'!AE41</f>
        <v>235.38999999999996</v>
      </c>
      <c r="AF36" s="1">
        <f>AF35+'.r file'!AF41</f>
        <v>202.98000000000002</v>
      </c>
    </row>
    <row r="37" spans="1:32" x14ac:dyDescent="0.25">
      <c r="A37" s="6">
        <v>27054.791666666668</v>
      </c>
      <c r="B37" s="1">
        <f>B36+'.r file'!B42</f>
        <v>356.64</v>
      </c>
      <c r="C37" s="1">
        <f>C36+'.r file'!C42</f>
        <v>241.59999999999991</v>
      </c>
      <c r="D37" s="1">
        <f>D36+'.r file'!D42</f>
        <v>84</v>
      </c>
      <c r="E37" s="1">
        <f>E36+'.r file'!E42</f>
        <v>62</v>
      </c>
      <c r="F37" s="1">
        <f>F36+'.r file'!F42</f>
        <v>102.60000000000001</v>
      </c>
      <c r="G37" s="1">
        <f>G36+'.r file'!G42</f>
        <v>46.609999999999985</v>
      </c>
      <c r="H37" s="1">
        <f>H36+'.r file'!H42</f>
        <v>144</v>
      </c>
      <c r="I37" s="1">
        <f>I36+'.r file'!I42</f>
        <v>45.70000000000001</v>
      </c>
      <c r="J37" s="1">
        <f>J36+'.r file'!J42</f>
        <v>60</v>
      </c>
      <c r="K37" s="1">
        <f>K36+'.r file'!K42</f>
        <v>119</v>
      </c>
      <c r="L37" s="1">
        <f>L36+'.r file'!L42</f>
        <v>69.819999999999979</v>
      </c>
      <c r="M37" s="1">
        <f>M36+'.r file'!M42</f>
        <v>497</v>
      </c>
      <c r="N37" s="1">
        <f>N36+'.r file'!N42</f>
        <v>27.209999999999997</v>
      </c>
      <c r="O37" s="1">
        <f>O36+'.r file'!O42</f>
        <v>151</v>
      </c>
      <c r="P37" s="1">
        <f>P36+'.r file'!P42</f>
        <v>77.210000000000008</v>
      </c>
      <c r="Q37" s="1">
        <f>Q36+'.r file'!Q42</f>
        <v>119</v>
      </c>
      <c r="R37" s="1">
        <f>R36+'.r file'!R42</f>
        <v>54.789999999999978</v>
      </c>
      <c r="S37" s="1">
        <f>S36+'.r file'!S42</f>
        <v>119.97999999999999</v>
      </c>
      <c r="T37" s="1">
        <f>T36+'.r file'!T42</f>
        <v>212</v>
      </c>
      <c r="U37" s="1">
        <f>U36+'.r file'!U42</f>
        <v>350.55999999999995</v>
      </c>
      <c r="V37" s="1">
        <f>V36+'.r file'!V42</f>
        <v>252</v>
      </c>
      <c r="W37" s="1">
        <f>W36+'.r file'!W42</f>
        <v>297</v>
      </c>
      <c r="X37" s="1">
        <f>X36+'.r file'!X42</f>
        <v>183</v>
      </c>
      <c r="Y37" s="1">
        <f>Y36+'.r file'!Y42</f>
        <v>149</v>
      </c>
      <c r="Z37" s="1">
        <f>Z36+'.r file'!Z42</f>
        <v>253.08</v>
      </c>
      <c r="AA37" s="1">
        <f>AA36+'.r file'!AA42</f>
        <v>236.48000000000005</v>
      </c>
      <c r="AB37" s="1">
        <f>AB36+'.r file'!AB42</f>
        <v>240.7</v>
      </c>
      <c r="AC37" s="1">
        <f>AC36+'.r file'!AC42</f>
        <v>201</v>
      </c>
      <c r="AD37" s="1">
        <f>AD36+'.r file'!AD42</f>
        <v>262.5</v>
      </c>
      <c r="AE37" s="1">
        <f>AE36+'.r file'!AE42</f>
        <v>249.12999999999997</v>
      </c>
      <c r="AF37" s="1">
        <f>AF36+'.r file'!AF42</f>
        <v>207.34000000000003</v>
      </c>
    </row>
    <row r="38" spans="1:32" x14ac:dyDescent="0.25">
      <c r="A38" s="6">
        <v>27054.833333333332</v>
      </c>
      <c r="B38" s="1">
        <f>B37+'.r file'!B43</f>
        <v>359.74</v>
      </c>
      <c r="C38" s="1">
        <f>C37+'.r file'!C43</f>
        <v>242.89999999999992</v>
      </c>
      <c r="D38" s="1">
        <f>D37+'.r file'!D43</f>
        <v>89</v>
      </c>
      <c r="E38" s="1">
        <f>E37+'.r file'!E43</f>
        <v>62</v>
      </c>
      <c r="F38" s="1">
        <f>F37+'.r file'!F43</f>
        <v>102.60000000000001</v>
      </c>
      <c r="G38" s="1">
        <f>G37+'.r file'!G43</f>
        <v>46.709999999999987</v>
      </c>
      <c r="H38" s="1">
        <f>H37+'.r file'!H43</f>
        <v>149</v>
      </c>
      <c r="I38" s="1">
        <f>I37+'.r file'!I43</f>
        <v>46.000000000000007</v>
      </c>
      <c r="J38" s="1">
        <f>J37+'.r file'!J43</f>
        <v>60</v>
      </c>
      <c r="K38" s="1">
        <f>K37+'.r file'!K43</f>
        <v>119</v>
      </c>
      <c r="L38" s="1">
        <f>L37+'.r file'!L43</f>
        <v>73.609999999999985</v>
      </c>
      <c r="M38" s="1">
        <f>M37+'.r file'!M43</f>
        <v>508</v>
      </c>
      <c r="N38" s="1">
        <f>N37+'.r file'!N43</f>
        <v>27.209999999999997</v>
      </c>
      <c r="O38" s="1">
        <f>O37+'.r file'!O43</f>
        <v>156</v>
      </c>
      <c r="P38" s="1">
        <f>P37+'.r file'!P43</f>
        <v>77.210000000000008</v>
      </c>
      <c r="Q38" s="1">
        <f>Q37+'.r file'!Q43</f>
        <v>119</v>
      </c>
      <c r="R38" s="1">
        <f>R37+'.r file'!R43</f>
        <v>57.359999999999978</v>
      </c>
      <c r="S38" s="1">
        <f>S37+'.r file'!S43</f>
        <v>120.72999999999999</v>
      </c>
      <c r="T38" s="1">
        <f>T37+'.r file'!T43</f>
        <v>213</v>
      </c>
      <c r="U38" s="1">
        <f>U37+'.r file'!U43</f>
        <v>374.82999999999993</v>
      </c>
      <c r="V38" s="1">
        <f>V37+'.r file'!V43</f>
        <v>278</v>
      </c>
      <c r="W38" s="1">
        <f>W37+'.r file'!W43</f>
        <v>309</v>
      </c>
      <c r="X38" s="1">
        <f>X37+'.r file'!X43</f>
        <v>197</v>
      </c>
      <c r="Y38" s="1">
        <f>Y37+'.r file'!Y43</f>
        <v>161</v>
      </c>
      <c r="Z38" s="1">
        <f>Z37+'.r file'!Z43</f>
        <v>267.94</v>
      </c>
      <c r="AA38" s="1">
        <f>AA37+'.r file'!AA43</f>
        <v>245.64000000000004</v>
      </c>
      <c r="AB38" s="1">
        <f>AB37+'.r file'!AB43</f>
        <v>251.95</v>
      </c>
      <c r="AC38" s="1">
        <f>AC37+'.r file'!AC43</f>
        <v>219</v>
      </c>
      <c r="AD38" s="1">
        <f>AD37+'.r file'!AD43</f>
        <v>271.89999999999998</v>
      </c>
      <c r="AE38" s="1">
        <f>AE37+'.r file'!AE43</f>
        <v>252.92999999999998</v>
      </c>
      <c r="AF38" s="1">
        <f>AF37+'.r file'!AF43</f>
        <v>208.36000000000004</v>
      </c>
    </row>
    <row r="39" spans="1:32" x14ac:dyDescent="0.25">
      <c r="A39" s="6">
        <v>27054.875</v>
      </c>
      <c r="B39" s="1">
        <f>B38+'.r file'!B44</f>
        <v>361.76</v>
      </c>
      <c r="C39" s="1">
        <f>C38+'.r file'!C44</f>
        <v>244.69999999999993</v>
      </c>
      <c r="D39" s="1">
        <f>D38+'.r file'!D44</f>
        <v>100</v>
      </c>
      <c r="E39" s="1">
        <f>E38+'.r file'!E44</f>
        <v>62</v>
      </c>
      <c r="F39" s="1">
        <f>F38+'.r file'!F44</f>
        <v>103.2</v>
      </c>
      <c r="G39" s="1">
        <f>G38+'.r file'!G44</f>
        <v>47.009999999999984</v>
      </c>
      <c r="H39" s="1">
        <f>H38+'.r file'!H44</f>
        <v>150</v>
      </c>
      <c r="I39" s="1">
        <f>I38+'.r file'!I44</f>
        <v>46.000000000000007</v>
      </c>
      <c r="J39" s="1">
        <f>J38+'.r file'!J44</f>
        <v>61</v>
      </c>
      <c r="K39" s="1">
        <f>K38+'.r file'!K44</f>
        <v>120</v>
      </c>
      <c r="L39" s="1">
        <f>L38+'.r file'!L44</f>
        <v>77.399999999999991</v>
      </c>
      <c r="M39" s="1">
        <f>M38+'.r file'!M44</f>
        <v>521</v>
      </c>
      <c r="N39" s="1">
        <f>N38+'.r file'!N44</f>
        <v>27.209999999999997</v>
      </c>
      <c r="O39" s="1">
        <f>O38+'.r file'!O44</f>
        <v>162</v>
      </c>
      <c r="P39" s="1">
        <f>P38+'.r file'!P44</f>
        <v>78.910000000000011</v>
      </c>
      <c r="Q39" s="1">
        <f>Q38+'.r file'!Q44</f>
        <v>120</v>
      </c>
      <c r="R39" s="1">
        <f>R38+'.r file'!R44</f>
        <v>59.589999999999975</v>
      </c>
      <c r="S39" s="1">
        <f>S38+'.r file'!S44</f>
        <v>128.85999999999999</v>
      </c>
      <c r="T39" s="1">
        <f>T38+'.r file'!T44</f>
        <v>216</v>
      </c>
      <c r="U39" s="1">
        <f>U38+'.r file'!U44</f>
        <v>388.9799999999999</v>
      </c>
      <c r="V39" s="1">
        <f>V38+'.r file'!V44</f>
        <v>303</v>
      </c>
      <c r="W39" s="1">
        <f>W38+'.r file'!W44</f>
        <v>332</v>
      </c>
      <c r="X39" s="1">
        <f>X38+'.r file'!X44</f>
        <v>222</v>
      </c>
      <c r="Y39" s="1">
        <f>Y38+'.r file'!Y44</f>
        <v>179</v>
      </c>
      <c r="Z39" s="1">
        <f>Z38+'.r file'!Z44</f>
        <v>285.95999999999998</v>
      </c>
      <c r="AA39" s="1">
        <f>AA38+'.r file'!AA44</f>
        <v>263.53000000000003</v>
      </c>
      <c r="AB39" s="1">
        <f>AB38+'.r file'!AB44</f>
        <v>260.96999999999997</v>
      </c>
      <c r="AC39" s="1">
        <f>AC38+'.r file'!AC44</f>
        <v>247</v>
      </c>
      <c r="AD39" s="1">
        <f>AD38+'.r file'!AD44</f>
        <v>280.59999999999997</v>
      </c>
      <c r="AE39" s="1">
        <f>AE38+'.r file'!AE44</f>
        <v>254.73</v>
      </c>
      <c r="AF39" s="1">
        <f>AF38+'.r file'!AF44</f>
        <v>209.04000000000005</v>
      </c>
    </row>
    <row r="40" spans="1:32" x14ac:dyDescent="0.25">
      <c r="A40" s="6">
        <v>27054.916666666668</v>
      </c>
      <c r="B40" s="1">
        <f>B39+'.r file'!B45</f>
        <v>362.55</v>
      </c>
      <c r="C40" s="1">
        <f>C39+'.r file'!C45</f>
        <v>245.99999999999994</v>
      </c>
      <c r="D40" s="1">
        <f>D39+'.r file'!D45</f>
        <v>110</v>
      </c>
      <c r="E40" s="1">
        <f>E39+'.r file'!E45</f>
        <v>62</v>
      </c>
      <c r="F40" s="1">
        <f>F39+'.r file'!F45</f>
        <v>103.5</v>
      </c>
      <c r="G40" s="1">
        <f>G39+'.r file'!G45</f>
        <v>47.379999999999981</v>
      </c>
      <c r="H40" s="1">
        <f>H39+'.r file'!H45</f>
        <v>152</v>
      </c>
      <c r="I40" s="1">
        <f>I39+'.r file'!I45</f>
        <v>46.180000000000007</v>
      </c>
      <c r="J40" s="1">
        <f>J39+'.r file'!J45</f>
        <v>61</v>
      </c>
      <c r="K40" s="1">
        <f>K39+'.r file'!K45</f>
        <v>120</v>
      </c>
      <c r="L40" s="1">
        <f>L39+'.r file'!L45</f>
        <v>81.19</v>
      </c>
      <c r="M40" s="1">
        <f>M39+'.r file'!M45</f>
        <v>557</v>
      </c>
      <c r="N40" s="1">
        <f>N39+'.r file'!N45</f>
        <v>27.209999999999997</v>
      </c>
      <c r="O40" s="1">
        <f>O39+'.r file'!O45</f>
        <v>173</v>
      </c>
      <c r="P40" s="1">
        <f>P39+'.r file'!P45</f>
        <v>81.02000000000001</v>
      </c>
      <c r="Q40" s="1">
        <f>Q39+'.r file'!Q45</f>
        <v>120</v>
      </c>
      <c r="R40" s="1">
        <f>R39+'.r file'!R45</f>
        <v>63.419999999999973</v>
      </c>
      <c r="S40" s="1">
        <f>S39+'.r file'!S45</f>
        <v>139.1</v>
      </c>
      <c r="T40" s="1">
        <f>T39+'.r file'!T45</f>
        <v>245</v>
      </c>
      <c r="U40" s="1">
        <f>U39+'.r file'!U45</f>
        <v>403.63999999999993</v>
      </c>
      <c r="V40" s="1">
        <f>V39+'.r file'!V45</f>
        <v>329</v>
      </c>
      <c r="W40" s="1">
        <f>W39+'.r file'!W45</f>
        <v>380</v>
      </c>
      <c r="X40" s="1">
        <f>X39+'.r file'!X45</f>
        <v>249</v>
      </c>
      <c r="Y40" s="1">
        <f>Y39+'.r file'!Y45</f>
        <v>199</v>
      </c>
      <c r="Z40" s="1">
        <f>Z39+'.r file'!Z45</f>
        <v>324.39</v>
      </c>
      <c r="AA40" s="1">
        <f>AA39+'.r file'!AA45</f>
        <v>281.63000000000005</v>
      </c>
      <c r="AB40" s="1">
        <f>AB39+'.r file'!AB45</f>
        <v>277.13</v>
      </c>
      <c r="AC40" s="1">
        <f>AC39+'.r file'!AC45</f>
        <v>264</v>
      </c>
      <c r="AD40" s="1">
        <f>AD39+'.r file'!AD45</f>
        <v>289.99999999999994</v>
      </c>
      <c r="AE40" s="1">
        <f>AE39+'.r file'!AE45</f>
        <v>254.73</v>
      </c>
      <c r="AF40" s="1">
        <f>AF39+'.r file'!AF45</f>
        <v>209.64000000000004</v>
      </c>
    </row>
    <row r="41" spans="1:32" x14ac:dyDescent="0.25">
      <c r="A41" s="6">
        <v>27054.958333333332</v>
      </c>
      <c r="B41" s="1">
        <f>B40+'.r file'!B46</f>
        <v>364.03000000000003</v>
      </c>
      <c r="C41" s="1">
        <f>C40+'.r file'!C46</f>
        <v>246.59999999999994</v>
      </c>
      <c r="D41" s="1">
        <f>D40+'.r file'!D46</f>
        <v>132</v>
      </c>
      <c r="E41" s="1">
        <f>E40+'.r file'!E46</f>
        <v>63</v>
      </c>
      <c r="F41" s="1">
        <f>F40+'.r file'!F46</f>
        <v>103.5</v>
      </c>
      <c r="G41" s="1">
        <f>G40+'.r file'!G46</f>
        <v>47.70999999999998</v>
      </c>
      <c r="H41" s="1">
        <f>H40+'.r file'!H46</f>
        <v>155</v>
      </c>
      <c r="I41" s="1">
        <f>I40+'.r file'!I46</f>
        <v>46.400000000000006</v>
      </c>
      <c r="J41" s="1">
        <f>J40+'.r file'!J46</f>
        <v>62</v>
      </c>
      <c r="K41" s="1">
        <f>K40+'.r file'!K46</f>
        <v>121</v>
      </c>
      <c r="L41" s="1">
        <f>L40+'.r file'!L46</f>
        <v>84.98</v>
      </c>
      <c r="M41" s="1">
        <f>M40+'.r file'!M46</f>
        <v>588</v>
      </c>
      <c r="N41" s="1">
        <f>N40+'.r file'!N46</f>
        <v>27.209999999999997</v>
      </c>
      <c r="O41" s="1">
        <f>O40+'.r file'!O46</f>
        <v>189</v>
      </c>
      <c r="P41" s="1">
        <f>P40+'.r file'!P46</f>
        <v>83.110000000000014</v>
      </c>
      <c r="Q41" s="1">
        <f>Q40+'.r file'!Q46</f>
        <v>121</v>
      </c>
      <c r="R41" s="1">
        <f>R40+'.r file'!R46</f>
        <v>68.789999999999978</v>
      </c>
      <c r="S41" s="1">
        <f>S40+'.r file'!S46</f>
        <v>145.93</v>
      </c>
      <c r="T41" s="1">
        <f>T40+'.r file'!T46</f>
        <v>265</v>
      </c>
      <c r="U41" s="1">
        <f>U40+'.r file'!U46</f>
        <v>421.25999999999993</v>
      </c>
      <c r="V41" s="1">
        <f>V40+'.r file'!V46</f>
        <v>334</v>
      </c>
      <c r="W41" s="1">
        <f>W40+'.r file'!W46</f>
        <v>438</v>
      </c>
      <c r="X41" s="1">
        <f>X40+'.r file'!X46</f>
        <v>268</v>
      </c>
      <c r="Y41" s="1">
        <f>Y40+'.r file'!Y46</f>
        <v>214</v>
      </c>
      <c r="Z41" s="1">
        <f>Z40+'.r file'!Z46</f>
        <v>369.53999999999996</v>
      </c>
      <c r="AA41" s="1">
        <f>AA40+'.r file'!AA46</f>
        <v>300.52000000000004</v>
      </c>
      <c r="AB41" s="1">
        <f>AB40+'.r file'!AB46</f>
        <v>295.61</v>
      </c>
      <c r="AC41" s="1">
        <f>AC40+'.r file'!AC46</f>
        <v>278</v>
      </c>
      <c r="AD41" s="1">
        <f>AD40+'.r file'!AD46</f>
        <v>314.99999999999994</v>
      </c>
      <c r="AE41" s="1">
        <f>AE40+'.r file'!AE46</f>
        <v>254.73</v>
      </c>
      <c r="AF41" s="1">
        <f>AF40+'.r file'!AF46</f>
        <v>209.64000000000004</v>
      </c>
    </row>
    <row r="42" spans="1:32" x14ac:dyDescent="0.25">
      <c r="A42" s="6">
        <v>27055</v>
      </c>
      <c r="B42" s="1">
        <f>B41+'.r file'!B47</f>
        <v>364.78000000000003</v>
      </c>
      <c r="C42" s="1">
        <f>C41+'.r file'!C47</f>
        <v>247.19999999999993</v>
      </c>
      <c r="D42" s="1">
        <f>D41+'.r file'!D47</f>
        <v>141</v>
      </c>
      <c r="E42" s="1">
        <f>E41+'.r file'!E47</f>
        <v>66</v>
      </c>
      <c r="F42" s="1">
        <f>F41+'.r file'!F47</f>
        <v>103.5</v>
      </c>
      <c r="G42" s="1">
        <f>G41+'.r file'!G47</f>
        <v>47.70999999999998</v>
      </c>
      <c r="H42" s="1">
        <f>H41+'.r file'!H47</f>
        <v>159</v>
      </c>
      <c r="I42" s="1">
        <f>I41+'.r file'!I47</f>
        <v>48.170000000000009</v>
      </c>
      <c r="J42" s="1">
        <f>J41+'.r file'!J47</f>
        <v>62</v>
      </c>
      <c r="K42" s="1">
        <f>K41+'.r file'!K47</f>
        <v>123</v>
      </c>
      <c r="L42" s="1">
        <f>L41+'.r file'!L47</f>
        <v>88.77000000000001</v>
      </c>
      <c r="M42" s="1">
        <f>M41+'.r file'!M47</f>
        <v>596</v>
      </c>
      <c r="N42" s="1">
        <f>N41+'.r file'!N47</f>
        <v>27.209999999999997</v>
      </c>
      <c r="O42" s="1">
        <f>O41+'.r file'!O47</f>
        <v>198</v>
      </c>
      <c r="P42" s="1">
        <f>P41+'.r file'!P47</f>
        <v>84.410000000000011</v>
      </c>
      <c r="Q42" s="1">
        <f>Q41+'.r file'!Q47</f>
        <v>123</v>
      </c>
      <c r="R42" s="1">
        <f>R41+'.r file'!R47</f>
        <v>77.70999999999998</v>
      </c>
      <c r="S42" s="1">
        <f>S41+'.r file'!S47</f>
        <v>149.91</v>
      </c>
      <c r="T42" s="1">
        <f>T41+'.r file'!T47</f>
        <v>271</v>
      </c>
      <c r="U42" s="1">
        <f>U41+'.r file'!U47</f>
        <v>457.64999999999992</v>
      </c>
      <c r="V42" s="1">
        <f>V41+'.r file'!V47</f>
        <v>338</v>
      </c>
      <c r="W42" s="1">
        <f>W41+'.r file'!W47</f>
        <v>531</v>
      </c>
      <c r="X42" s="1">
        <f>X41+'.r file'!X47</f>
        <v>325</v>
      </c>
      <c r="Y42" s="1">
        <f>Y41+'.r file'!Y47</f>
        <v>234</v>
      </c>
      <c r="Z42" s="1">
        <f>Z41+'.r file'!Z47</f>
        <v>423.21999999999997</v>
      </c>
      <c r="AA42" s="1">
        <f>AA41+'.r file'!AA47</f>
        <v>336.84000000000003</v>
      </c>
      <c r="AB42" s="1">
        <f>AB41+'.r file'!AB47</f>
        <v>328.22</v>
      </c>
      <c r="AC42" s="1">
        <f>AC41+'.r file'!AC47</f>
        <v>312</v>
      </c>
      <c r="AD42" s="1">
        <f>AD41+'.r file'!AD47</f>
        <v>348.69999999999993</v>
      </c>
      <c r="AE42" s="1">
        <f>AE41+'.r file'!AE47</f>
        <v>254.73</v>
      </c>
      <c r="AF42" s="1">
        <f>AF41+'.r file'!AF47</f>
        <v>209.64000000000004</v>
      </c>
    </row>
    <row r="43" spans="1:32" x14ac:dyDescent="0.25">
      <c r="A43" s="6">
        <v>27055.041666666668</v>
      </c>
      <c r="B43" s="1">
        <f>B42+'.r file'!B48</f>
        <v>365.55</v>
      </c>
      <c r="C43" s="1">
        <f>C42+'.r file'!C48</f>
        <v>247.19999999999993</v>
      </c>
      <c r="D43" s="1">
        <f>D42+'.r file'!D48</f>
        <v>153</v>
      </c>
      <c r="E43" s="1">
        <f>E42+'.r file'!E48</f>
        <v>75</v>
      </c>
      <c r="F43" s="1">
        <f>F42+'.r file'!F48</f>
        <v>103.5</v>
      </c>
      <c r="G43" s="1">
        <f>G42+'.r file'!G48</f>
        <v>47.70999999999998</v>
      </c>
      <c r="H43" s="1">
        <f>H42+'.r file'!H48</f>
        <v>163</v>
      </c>
      <c r="I43" s="1">
        <f>I42+'.r file'!I48</f>
        <v>49.45000000000001</v>
      </c>
      <c r="J43" s="1">
        <f>J42+'.r file'!J48</f>
        <v>64</v>
      </c>
      <c r="K43" s="1">
        <f>K42+'.r file'!K48</f>
        <v>125</v>
      </c>
      <c r="L43" s="1">
        <f>L42+'.r file'!L48</f>
        <v>92.560000000000016</v>
      </c>
      <c r="M43" s="1">
        <f>M42+'.r file'!M48</f>
        <v>598</v>
      </c>
      <c r="N43" s="1">
        <f>N42+'.r file'!N48</f>
        <v>27.209999999999997</v>
      </c>
      <c r="O43" s="1">
        <f>O42+'.r file'!O48</f>
        <v>204</v>
      </c>
      <c r="P43" s="1">
        <f>P42+'.r file'!P48</f>
        <v>85.51</v>
      </c>
      <c r="Q43" s="1">
        <f>Q42+'.r file'!Q48</f>
        <v>125</v>
      </c>
      <c r="R43" s="1">
        <f>R42+'.r file'!R48</f>
        <v>87.879999999999981</v>
      </c>
      <c r="S43" s="1">
        <f>S42+'.r file'!S48</f>
        <v>155.32999999999998</v>
      </c>
      <c r="T43" s="1">
        <f>T42+'.r file'!T48</f>
        <v>275</v>
      </c>
      <c r="U43" s="1">
        <f>U42+'.r file'!U48</f>
        <v>464.64999999999992</v>
      </c>
      <c r="V43" s="1">
        <f>V42+'.r file'!V48</f>
        <v>353</v>
      </c>
      <c r="W43" s="1">
        <f>W42+'.r file'!W48</f>
        <v>540</v>
      </c>
      <c r="X43" s="1">
        <f>X42+'.r file'!X48</f>
        <v>372</v>
      </c>
      <c r="Y43" s="1">
        <f>Y42+'.r file'!Y48</f>
        <v>272</v>
      </c>
      <c r="Z43" s="1">
        <f>Z42+'.r file'!Z48</f>
        <v>478.51</v>
      </c>
      <c r="AA43" s="1">
        <f>AA42+'.r file'!AA48</f>
        <v>353.63000000000005</v>
      </c>
      <c r="AB43" s="1">
        <f>AB42+'.r file'!AB48</f>
        <v>361.15000000000003</v>
      </c>
      <c r="AC43" s="1">
        <f>AC42+'.r file'!AC48</f>
        <v>358</v>
      </c>
      <c r="AD43" s="1">
        <f>AD42+'.r file'!AD48</f>
        <v>365.59999999999991</v>
      </c>
      <c r="AE43" s="1">
        <f>AE42+'.r file'!AE48</f>
        <v>254.73</v>
      </c>
      <c r="AF43" s="1">
        <f>AF42+'.r file'!AF48</f>
        <v>210.74000000000004</v>
      </c>
    </row>
    <row r="44" spans="1:32" x14ac:dyDescent="0.25">
      <c r="A44" s="6">
        <v>27055.083333333332</v>
      </c>
      <c r="B44" s="1">
        <f>B43+'.r file'!B49</f>
        <v>365.55</v>
      </c>
      <c r="C44" s="1">
        <f>C43+'.r file'!C49</f>
        <v>247.19999999999993</v>
      </c>
      <c r="D44" s="1">
        <f>D43+'.r file'!D49</f>
        <v>165</v>
      </c>
      <c r="E44" s="1">
        <f>E43+'.r file'!E49</f>
        <v>84</v>
      </c>
      <c r="F44" s="1">
        <f>F43+'.r file'!F49</f>
        <v>103.5</v>
      </c>
      <c r="G44" s="1">
        <f>G43+'.r file'!G49</f>
        <v>47.70999999999998</v>
      </c>
      <c r="H44" s="1">
        <f>H43+'.r file'!H49</f>
        <v>165</v>
      </c>
      <c r="I44" s="1">
        <f>I43+'.r file'!I49</f>
        <v>50.210000000000008</v>
      </c>
      <c r="J44" s="1">
        <f>J43+'.r file'!J49</f>
        <v>64</v>
      </c>
      <c r="K44" s="1">
        <f>K43+'.r file'!K49</f>
        <v>126</v>
      </c>
      <c r="L44" s="1">
        <f>L43+'.r file'!L49</f>
        <v>96.350000000000023</v>
      </c>
      <c r="M44" s="1">
        <f>M43+'.r file'!M49</f>
        <v>605</v>
      </c>
      <c r="N44" s="1">
        <f>N43+'.r file'!N49</f>
        <v>27.209999999999997</v>
      </c>
      <c r="O44" s="1">
        <f>O43+'.r file'!O49</f>
        <v>209</v>
      </c>
      <c r="P44" s="1">
        <f>P43+'.r file'!P49</f>
        <v>89</v>
      </c>
      <c r="Q44" s="1">
        <f>Q43+'.r file'!Q49</f>
        <v>126</v>
      </c>
      <c r="R44" s="1">
        <f>R43+'.r file'!R49</f>
        <v>100.82999999999998</v>
      </c>
      <c r="S44" s="1">
        <f>S43+'.r file'!S49</f>
        <v>161.19</v>
      </c>
      <c r="T44" s="1">
        <f>T43+'.r file'!T49</f>
        <v>285</v>
      </c>
      <c r="U44" s="1">
        <f>U43+'.r file'!U49</f>
        <v>475.37999999999994</v>
      </c>
      <c r="V44" s="1">
        <f>V43+'.r file'!V49</f>
        <v>360</v>
      </c>
      <c r="W44" s="1">
        <f>W43+'.r file'!W49</f>
        <v>564</v>
      </c>
      <c r="X44" s="1">
        <f>X43+'.r file'!X49</f>
        <v>412</v>
      </c>
      <c r="Y44" s="1">
        <f>Y43+'.r file'!Y49</f>
        <v>301</v>
      </c>
      <c r="Z44" s="1">
        <f>Z43+'.r file'!Z49</f>
        <v>503.98</v>
      </c>
      <c r="AA44" s="1">
        <f>AA43+'.r file'!AA49</f>
        <v>363.80000000000007</v>
      </c>
      <c r="AB44" s="1">
        <f>AB43+'.r file'!AB49</f>
        <v>375.12000000000006</v>
      </c>
      <c r="AC44" s="1">
        <f>AC43+'.r file'!AC49</f>
        <v>373</v>
      </c>
      <c r="AD44" s="1">
        <f>AD43+'.r file'!AD49</f>
        <v>387.49999999999989</v>
      </c>
      <c r="AE44" s="1">
        <f>AE43+'.r file'!AE49</f>
        <v>255.53</v>
      </c>
      <c r="AF44" s="1">
        <f>AF43+'.r file'!AF49</f>
        <v>210.94000000000003</v>
      </c>
    </row>
    <row r="45" spans="1:32" x14ac:dyDescent="0.25">
      <c r="A45" s="6">
        <v>27055.125</v>
      </c>
      <c r="B45" s="1">
        <f>B44+'.r file'!B50</f>
        <v>365.95</v>
      </c>
      <c r="C45" s="1">
        <f>C44+'.r file'!C50</f>
        <v>247.19999999999993</v>
      </c>
      <c r="D45" s="1">
        <f>D44+'.r file'!D50</f>
        <v>178</v>
      </c>
      <c r="E45" s="1">
        <f>E44+'.r file'!E50</f>
        <v>110</v>
      </c>
      <c r="F45" s="1">
        <f>F44+'.r file'!F50</f>
        <v>103.5</v>
      </c>
      <c r="G45" s="1">
        <f>G44+'.r file'!G50</f>
        <v>47.70999999999998</v>
      </c>
      <c r="H45" s="1">
        <f>H44+'.r file'!H50</f>
        <v>167</v>
      </c>
      <c r="I45" s="1">
        <f>I44+'.r file'!I50</f>
        <v>51.410000000000011</v>
      </c>
      <c r="J45" s="1">
        <f>J44+'.r file'!J50</f>
        <v>65</v>
      </c>
      <c r="K45" s="1">
        <f>K44+'.r file'!K50</f>
        <v>134</v>
      </c>
      <c r="L45" s="1">
        <f>L44+'.r file'!L50</f>
        <v>100.14000000000003</v>
      </c>
      <c r="M45" s="1">
        <f>M44+'.r file'!M50</f>
        <v>612</v>
      </c>
      <c r="N45" s="1">
        <f>N44+'.r file'!N50</f>
        <v>27.209999999999997</v>
      </c>
      <c r="O45" s="1">
        <f>O44+'.r file'!O50</f>
        <v>212</v>
      </c>
      <c r="P45" s="1">
        <f>P44+'.r file'!P50</f>
        <v>91.8</v>
      </c>
      <c r="Q45" s="1">
        <f>Q44+'.r file'!Q50</f>
        <v>134</v>
      </c>
      <c r="R45" s="1">
        <f>R44+'.r file'!R50</f>
        <v>109.50999999999999</v>
      </c>
      <c r="S45" s="1">
        <f>S44+'.r file'!S50</f>
        <v>164.78</v>
      </c>
      <c r="T45" s="1">
        <f>T44+'.r file'!T50</f>
        <v>293</v>
      </c>
      <c r="U45" s="1">
        <f>U44+'.r file'!U50</f>
        <v>480.35999999999996</v>
      </c>
      <c r="V45" s="1">
        <f>V44+'.r file'!V50</f>
        <v>371</v>
      </c>
      <c r="W45" s="1">
        <f>W44+'.r file'!W50</f>
        <v>569</v>
      </c>
      <c r="X45" s="1">
        <f>X44+'.r file'!X50</f>
        <v>450</v>
      </c>
      <c r="Y45" s="1">
        <f>Y44+'.r file'!Y50</f>
        <v>330</v>
      </c>
      <c r="Z45" s="1">
        <f>Z44+'.r file'!Z50</f>
        <v>508.20000000000005</v>
      </c>
      <c r="AA45" s="1">
        <f>AA44+'.r file'!AA50</f>
        <v>372.55000000000007</v>
      </c>
      <c r="AB45" s="1">
        <f>AB44+'.r file'!AB50</f>
        <v>382.88000000000005</v>
      </c>
      <c r="AC45" s="1">
        <f>AC44+'.r file'!AC50</f>
        <v>389</v>
      </c>
      <c r="AD45" s="1">
        <f>AD44+'.r file'!AD50</f>
        <v>393.69999999999987</v>
      </c>
      <c r="AE45" s="1">
        <f>AE44+'.r file'!AE50</f>
        <v>255.53</v>
      </c>
      <c r="AF45" s="1">
        <f>AF44+'.r file'!AF50</f>
        <v>210.94000000000003</v>
      </c>
    </row>
    <row r="46" spans="1:32" x14ac:dyDescent="0.25">
      <c r="A46" s="6">
        <v>27055.166666666668</v>
      </c>
      <c r="B46" s="1">
        <f>B45+'.r file'!B51</f>
        <v>366.05</v>
      </c>
      <c r="C46" s="1">
        <f>C45+'.r file'!C51</f>
        <v>247.19999999999993</v>
      </c>
      <c r="D46" s="1">
        <f>D45+'.r file'!D51</f>
        <v>181</v>
      </c>
      <c r="E46" s="1">
        <f>E45+'.r file'!E51</f>
        <v>129</v>
      </c>
      <c r="F46" s="1">
        <f>F45+'.r file'!F51</f>
        <v>103.5</v>
      </c>
      <c r="G46" s="1">
        <f>G45+'.r file'!G51</f>
        <v>47.70999999999998</v>
      </c>
      <c r="H46" s="1">
        <f>H45+'.r file'!H51</f>
        <v>167</v>
      </c>
      <c r="I46" s="1">
        <f>I45+'.r file'!I51</f>
        <v>54.260000000000012</v>
      </c>
      <c r="J46" s="1">
        <f>J45+'.r file'!J51</f>
        <v>69</v>
      </c>
      <c r="K46" s="1">
        <f>K45+'.r file'!K51</f>
        <v>142</v>
      </c>
      <c r="L46" s="1">
        <f>L45+'.r file'!L51</f>
        <v>103.93000000000004</v>
      </c>
      <c r="M46" s="1">
        <f>M45+'.r file'!M51</f>
        <v>619</v>
      </c>
      <c r="N46" s="1">
        <f>N45+'.r file'!N51</f>
        <v>27.209999999999997</v>
      </c>
      <c r="O46" s="1">
        <f>O45+'.r file'!O51</f>
        <v>216</v>
      </c>
      <c r="P46" s="1">
        <f>P45+'.r file'!P51</f>
        <v>94.69</v>
      </c>
      <c r="Q46" s="1">
        <f>Q45+'.r file'!Q51</f>
        <v>142</v>
      </c>
      <c r="R46" s="1">
        <f>R45+'.r file'!R51</f>
        <v>119.22999999999999</v>
      </c>
      <c r="S46" s="1">
        <f>S45+'.r file'!S51</f>
        <v>179.35</v>
      </c>
      <c r="T46" s="1">
        <f>T45+'.r file'!T51</f>
        <v>298</v>
      </c>
      <c r="U46" s="1">
        <f>U45+'.r file'!U51</f>
        <v>487.62999999999994</v>
      </c>
      <c r="V46" s="1">
        <f>V45+'.r file'!V51</f>
        <v>379</v>
      </c>
      <c r="W46" s="1">
        <f>W45+'.r file'!W51</f>
        <v>576</v>
      </c>
      <c r="X46" s="1">
        <f>X45+'.r file'!X51</f>
        <v>455</v>
      </c>
      <c r="Y46" s="1">
        <f>Y45+'.r file'!Y51</f>
        <v>344</v>
      </c>
      <c r="Z46" s="1">
        <f>Z45+'.r file'!Z51</f>
        <v>514.75</v>
      </c>
      <c r="AA46" s="1">
        <f>AA45+'.r file'!AA51</f>
        <v>376.33000000000004</v>
      </c>
      <c r="AB46" s="1">
        <f>AB45+'.r file'!AB51</f>
        <v>384.85000000000008</v>
      </c>
      <c r="AC46" s="1">
        <f>AC45+'.r file'!AC51</f>
        <v>396</v>
      </c>
      <c r="AD46" s="1">
        <f>AD45+'.r file'!AD51</f>
        <v>397.49999999999989</v>
      </c>
      <c r="AE46" s="1">
        <f>AE45+'.r file'!AE51</f>
        <v>255.53</v>
      </c>
      <c r="AF46" s="1">
        <f>AF45+'.r file'!AF51</f>
        <v>212.74000000000004</v>
      </c>
    </row>
    <row r="47" spans="1:32" x14ac:dyDescent="0.25">
      <c r="A47" s="6">
        <v>27055.208333333332</v>
      </c>
      <c r="B47" s="1">
        <f>B46+'.r file'!B52</f>
        <v>367.25</v>
      </c>
      <c r="C47" s="1">
        <f>C46+'.r file'!C52</f>
        <v>248.39999999999992</v>
      </c>
      <c r="D47" s="1">
        <f>D46+'.r file'!D52</f>
        <v>181</v>
      </c>
      <c r="E47" s="1">
        <f>E46+'.r file'!E52</f>
        <v>137</v>
      </c>
      <c r="F47" s="1">
        <f>F46+'.r file'!F52</f>
        <v>103.5</v>
      </c>
      <c r="G47" s="1">
        <f>G46+'.r file'!G52</f>
        <v>47.70999999999998</v>
      </c>
      <c r="H47" s="1">
        <f>H46+'.r file'!H52</f>
        <v>170</v>
      </c>
      <c r="I47" s="1">
        <f>I46+'.r file'!I52</f>
        <v>74.740000000000009</v>
      </c>
      <c r="J47" s="1">
        <f>J46+'.r file'!J52</f>
        <v>73</v>
      </c>
      <c r="K47" s="1">
        <f>K46+'.r file'!K52</f>
        <v>150</v>
      </c>
      <c r="L47" s="1">
        <f>L46+'.r file'!L52</f>
        <v>107.72000000000004</v>
      </c>
      <c r="M47" s="1">
        <f>M46+'.r file'!M52</f>
        <v>632</v>
      </c>
      <c r="N47" s="1">
        <f>N46+'.r file'!N52</f>
        <v>27.209999999999997</v>
      </c>
      <c r="O47" s="1">
        <f>O46+'.r file'!O52</f>
        <v>221</v>
      </c>
      <c r="P47" s="1">
        <f>P46+'.r file'!P52</f>
        <v>96.69</v>
      </c>
      <c r="Q47" s="1">
        <f>Q46+'.r file'!Q52</f>
        <v>150</v>
      </c>
      <c r="R47" s="1">
        <f>R46+'.r file'!R52</f>
        <v>135.75</v>
      </c>
      <c r="S47" s="1">
        <f>S46+'.r file'!S52</f>
        <v>185.89</v>
      </c>
      <c r="T47" s="1">
        <f>T46+'.r file'!T52</f>
        <v>308</v>
      </c>
      <c r="U47" s="1">
        <f>U46+'.r file'!U52</f>
        <v>495.88999999999993</v>
      </c>
      <c r="V47" s="1">
        <f>V46+'.r file'!V52</f>
        <v>390</v>
      </c>
      <c r="W47" s="1">
        <f>W46+'.r file'!W52</f>
        <v>580</v>
      </c>
      <c r="X47" s="1">
        <f>X46+'.r file'!X52</f>
        <v>460</v>
      </c>
      <c r="Y47" s="1">
        <f>Y46+'.r file'!Y52</f>
        <v>350</v>
      </c>
      <c r="Z47" s="1">
        <f>Z46+'.r file'!Z52</f>
        <v>518.13</v>
      </c>
      <c r="AA47" s="1">
        <f>AA46+'.r file'!AA52</f>
        <v>382.28000000000003</v>
      </c>
      <c r="AB47" s="1">
        <f>AB46+'.r file'!AB52</f>
        <v>389.5800000000001</v>
      </c>
      <c r="AC47" s="1">
        <f>AC46+'.r file'!AC52</f>
        <v>405</v>
      </c>
      <c r="AD47" s="1">
        <f>AD46+'.r file'!AD52</f>
        <v>403.69999999999987</v>
      </c>
      <c r="AE47" s="1">
        <f>AE46+'.r file'!AE52</f>
        <v>258.56</v>
      </c>
      <c r="AF47" s="1">
        <f>AF46+'.r file'!AF52</f>
        <v>213.44000000000003</v>
      </c>
    </row>
    <row r="48" spans="1:32" x14ac:dyDescent="0.25">
      <c r="A48" s="6">
        <v>27055.25</v>
      </c>
      <c r="B48" s="1">
        <f>B47+'.r file'!B53</f>
        <v>367.25</v>
      </c>
      <c r="C48" s="1">
        <f>C47+'.r file'!C53</f>
        <v>248.39999999999992</v>
      </c>
      <c r="D48" s="1">
        <f>D47+'.r file'!D53</f>
        <v>182</v>
      </c>
      <c r="E48" s="1">
        <f>E47+'.r file'!E53</f>
        <v>139</v>
      </c>
      <c r="F48" s="1">
        <f>F47+'.r file'!F53</f>
        <v>103.5</v>
      </c>
      <c r="G48" s="1">
        <f>G47+'.r file'!G53</f>
        <v>47.70999999999998</v>
      </c>
      <c r="H48" s="1">
        <f>H47+'.r file'!H53</f>
        <v>180</v>
      </c>
      <c r="I48" s="1">
        <f>I47+'.r file'!I53</f>
        <v>81.070000000000007</v>
      </c>
      <c r="J48" s="1">
        <f>J47+'.r file'!J53</f>
        <v>78</v>
      </c>
      <c r="K48" s="1">
        <f>K47+'.r file'!K53</f>
        <v>158</v>
      </c>
      <c r="L48" s="1">
        <f>L47+'.r file'!L53</f>
        <v>111.51000000000005</v>
      </c>
      <c r="M48" s="1">
        <f>M47+'.r file'!M53</f>
        <v>643</v>
      </c>
      <c r="N48" s="1">
        <f>N47+'.r file'!N53</f>
        <v>27.209999999999997</v>
      </c>
      <c r="O48" s="1">
        <f>O47+'.r file'!O53</f>
        <v>236</v>
      </c>
      <c r="P48" s="1">
        <f>P47+'.r file'!P53</f>
        <v>102</v>
      </c>
      <c r="Q48" s="1">
        <f>Q47+'.r file'!Q53</f>
        <v>158</v>
      </c>
      <c r="R48" s="1">
        <f>R47+'.r file'!R53</f>
        <v>150.69</v>
      </c>
      <c r="S48" s="1">
        <f>S47+'.r file'!S53</f>
        <v>192.33999999999997</v>
      </c>
      <c r="T48" s="1">
        <f>T47+'.r file'!T53</f>
        <v>314</v>
      </c>
      <c r="U48" s="1">
        <f>U47+'.r file'!U53</f>
        <v>506.80999999999995</v>
      </c>
      <c r="V48" s="1">
        <f>V47+'.r file'!V53</f>
        <v>395</v>
      </c>
      <c r="W48" s="1">
        <f>W47+'.r file'!W53</f>
        <v>592</v>
      </c>
      <c r="X48" s="1">
        <f>X47+'.r file'!X53</f>
        <v>471</v>
      </c>
      <c r="Y48" s="1">
        <f>Y47+'.r file'!Y53</f>
        <v>360</v>
      </c>
      <c r="Z48" s="1">
        <f>Z47+'.r file'!Z53</f>
        <v>528.70000000000005</v>
      </c>
      <c r="AA48" s="1">
        <f>AA47+'.r file'!AA53</f>
        <v>389.98</v>
      </c>
      <c r="AB48" s="1">
        <f>AB47+'.r file'!AB53</f>
        <v>395.46000000000009</v>
      </c>
      <c r="AC48" s="1">
        <f>AC47+'.r file'!AC53</f>
        <v>418</v>
      </c>
      <c r="AD48" s="1">
        <f>AD47+'.r file'!AD53</f>
        <v>416.19999999999987</v>
      </c>
      <c r="AE48" s="1">
        <f>AE47+'.r file'!AE53</f>
        <v>260.33</v>
      </c>
      <c r="AF48" s="1">
        <f>AF47+'.r file'!AF53</f>
        <v>213.44000000000003</v>
      </c>
    </row>
    <row r="49" spans="1:32" x14ac:dyDescent="0.25">
      <c r="A49" s="6">
        <v>27055.291666666668</v>
      </c>
      <c r="B49" s="1">
        <f>B48+'.r file'!B54</f>
        <v>367.25</v>
      </c>
      <c r="C49" s="1">
        <f>C48+'.r file'!C54</f>
        <v>248.39999999999992</v>
      </c>
      <c r="D49" s="1">
        <f>D48+'.r file'!D54</f>
        <v>182</v>
      </c>
      <c r="E49" s="1">
        <f>E48+'.r file'!E54</f>
        <v>139</v>
      </c>
      <c r="F49" s="1">
        <f>F48+'.r file'!F54</f>
        <v>103.5</v>
      </c>
      <c r="G49" s="1">
        <f>G48+'.r file'!G54</f>
        <v>47.809999999999981</v>
      </c>
      <c r="H49" s="1">
        <f>H48+'.r file'!H54</f>
        <v>188</v>
      </c>
      <c r="I49" s="1">
        <f>I48+'.r file'!I54</f>
        <v>81.610000000000014</v>
      </c>
      <c r="J49" s="1">
        <f>J48+'.r file'!J54</f>
        <v>81</v>
      </c>
      <c r="K49" s="1">
        <f>K48+'.r file'!K54</f>
        <v>163</v>
      </c>
      <c r="L49" s="1">
        <f>L48+'.r file'!L54</f>
        <v>115.30000000000005</v>
      </c>
      <c r="M49" s="1">
        <f>M48+'.r file'!M54</f>
        <v>646</v>
      </c>
      <c r="N49" s="1">
        <f>N48+'.r file'!N54</f>
        <v>27.209999999999997</v>
      </c>
      <c r="O49" s="1">
        <f>O48+'.r file'!O54</f>
        <v>244</v>
      </c>
      <c r="P49" s="1">
        <f>P48+'.r file'!P54</f>
        <v>117.55</v>
      </c>
      <c r="Q49" s="1">
        <f>Q48+'.r file'!Q54</f>
        <v>163</v>
      </c>
      <c r="R49" s="1">
        <f>R48+'.r file'!R54</f>
        <v>161.16</v>
      </c>
      <c r="S49" s="1">
        <f>S48+'.r file'!S54</f>
        <v>197.61999999999998</v>
      </c>
      <c r="T49" s="1">
        <f>T48+'.r file'!T54</f>
        <v>317</v>
      </c>
      <c r="U49" s="1">
        <f>U48+'.r file'!U54</f>
        <v>520.13</v>
      </c>
      <c r="V49" s="1">
        <f>V48+'.r file'!V54</f>
        <v>407</v>
      </c>
      <c r="W49" s="1">
        <f>W48+'.r file'!W54</f>
        <v>605</v>
      </c>
      <c r="X49" s="1">
        <f>X48+'.r file'!X54</f>
        <v>482</v>
      </c>
      <c r="Y49" s="1">
        <f>Y48+'.r file'!Y54</f>
        <v>370</v>
      </c>
      <c r="Z49" s="1">
        <f>Z48+'.r file'!Z54</f>
        <v>543.96</v>
      </c>
      <c r="AA49" s="1">
        <f>AA48+'.r file'!AA54</f>
        <v>413.53000000000003</v>
      </c>
      <c r="AB49" s="1">
        <f>AB48+'.r file'!AB54</f>
        <v>405.21000000000009</v>
      </c>
      <c r="AC49" s="1">
        <f>AC48+'.r file'!AC54</f>
        <v>435</v>
      </c>
      <c r="AD49" s="1">
        <f>AD48+'.r file'!AD54</f>
        <v>425.59999999999985</v>
      </c>
      <c r="AE49" s="1">
        <f>AE48+'.r file'!AE54</f>
        <v>261.19</v>
      </c>
      <c r="AF49" s="1">
        <f>AF48+'.r file'!AF54</f>
        <v>213.67000000000002</v>
      </c>
    </row>
    <row r="50" spans="1:32" x14ac:dyDescent="0.25">
      <c r="A50" s="6">
        <v>27055.333333333332</v>
      </c>
      <c r="B50" s="1">
        <f>B49+'.r file'!B55</f>
        <v>367.25</v>
      </c>
      <c r="C50" s="1">
        <f>C49+'.r file'!C55</f>
        <v>248.39999999999992</v>
      </c>
      <c r="D50" s="1">
        <f>D49+'.r file'!D55</f>
        <v>182</v>
      </c>
      <c r="E50" s="1">
        <f>E49+'.r file'!E55</f>
        <v>139</v>
      </c>
      <c r="F50" s="1">
        <f>F49+'.r file'!F55</f>
        <v>103.5</v>
      </c>
      <c r="G50" s="1">
        <f>G49+'.r file'!G55</f>
        <v>47.809999999999981</v>
      </c>
      <c r="H50" s="1">
        <f>H49+'.r file'!H55</f>
        <v>192</v>
      </c>
      <c r="I50" s="1">
        <f>I49+'.r file'!I55</f>
        <v>81.940000000000012</v>
      </c>
      <c r="J50" s="1">
        <f>J49+'.r file'!J55</f>
        <v>81</v>
      </c>
      <c r="K50" s="1">
        <f>K49+'.r file'!K55</f>
        <v>163</v>
      </c>
      <c r="L50" s="1">
        <f>L49+'.r file'!L55</f>
        <v>119.09000000000006</v>
      </c>
      <c r="M50" s="1">
        <f>M49+'.r file'!M55</f>
        <v>649</v>
      </c>
      <c r="N50" s="1">
        <f>N49+'.r file'!N55</f>
        <v>27.209999999999997</v>
      </c>
      <c r="O50" s="1">
        <f>O49+'.r file'!O55</f>
        <v>249</v>
      </c>
      <c r="P50" s="1">
        <f>P49+'.r file'!P55</f>
        <v>120.61</v>
      </c>
      <c r="Q50" s="1">
        <f>Q49+'.r file'!Q55</f>
        <v>163</v>
      </c>
      <c r="R50" s="1">
        <f>R49+'.r file'!R55</f>
        <v>176.57</v>
      </c>
      <c r="S50" s="1">
        <f>S49+'.r file'!S55</f>
        <v>201.20999999999998</v>
      </c>
      <c r="T50" s="1">
        <f>T49+'.r file'!T55</f>
        <v>324</v>
      </c>
      <c r="U50" s="1">
        <f>U49+'.r file'!U55</f>
        <v>523.66</v>
      </c>
      <c r="V50" s="1">
        <f>V49+'.r file'!V55</f>
        <v>410</v>
      </c>
      <c r="W50" s="1">
        <f>W49+'.r file'!W55</f>
        <v>607</v>
      </c>
      <c r="X50" s="1">
        <f>X49+'.r file'!X55</f>
        <v>485</v>
      </c>
      <c r="Y50" s="1">
        <f>Y49+'.r file'!Y55</f>
        <v>372</v>
      </c>
      <c r="Z50" s="1">
        <f>Z49+'.r file'!Z55</f>
        <v>547.83000000000004</v>
      </c>
      <c r="AA50" s="1">
        <f>AA49+'.r file'!AA55</f>
        <v>417.61</v>
      </c>
      <c r="AB50" s="1">
        <f>AB49+'.r file'!AB55</f>
        <v>411.31000000000012</v>
      </c>
      <c r="AC50" s="1">
        <f>AC49+'.r file'!AC55</f>
        <v>444</v>
      </c>
      <c r="AD50" s="1">
        <f>AD49+'.r file'!AD55</f>
        <v>429.39999999999986</v>
      </c>
      <c r="AE50" s="1">
        <f>AE49+'.r file'!AE55</f>
        <v>263.49</v>
      </c>
      <c r="AF50" s="1">
        <f>AF49+'.r file'!AF55</f>
        <v>215.64000000000001</v>
      </c>
    </row>
    <row r="51" spans="1:32" x14ac:dyDescent="0.25">
      <c r="A51" s="6">
        <v>27055.375</v>
      </c>
      <c r="B51" s="1">
        <f>B50+'.r file'!B56</f>
        <v>367.25</v>
      </c>
      <c r="C51" s="1">
        <f>C50+'.r file'!C56</f>
        <v>248.39999999999992</v>
      </c>
      <c r="D51" s="1">
        <f>D50+'.r file'!D56</f>
        <v>182</v>
      </c>
      <c r="E51" s="1">
        <f>E50+'.r file'!E56</f>
        <v>139</v>
      </c>
      <c r="F51" s="1">
        <f>F50+'.r file'!F56</f>
        <v>103.5</v>
      </c>
      <c r="G51" s="1">
        <f>G50+'.r file'!G56</f>
        <v>47.809999999999981</v>
      </c>
      <c r="H51" s="1">
        <f>H50+'.r file'!H56</f>
        <v>192</v>
      </c>
      <c r="I51" s="1">
        <f>I50+'.r file'!I56</f>
        <v>82.610000000000014</v>
      </c>
      <c r="J51" s="1">
        <f>J50+'.r file'!J56</f>
        <v>82</v>
      </c>
      <c r="K51" s="1">
        <f>K50+'.r file'!K56</f>
        <v>164</v>
      </c>
      <c r="L51" s="1">
        <f>L50+'.r file'!L56</f>
        <v>122.88000000000007</v>
      </c>
      <c r="M51" s="1">
        <f>M50+'.r file'!M56</f>
        <v>654</v>
      </c>
      <c r="N51" s="1">
        <f>N50+'.r file'!N56</f>
        <v>27.209999999999997</v>
      </c>
      <c r="O51" s="1">
        <f>O50+'.r file'!O56</f>
        <v>262</v>
      </c>
      <c r="P51" s="1">
        <f>P50+'.r file'!P56</f>
        <v>123.67</v>
      </c>
      <c r="Q51" s="1">
        <f>Q50+'.r file'!Q56</f>
        <v>164</v>
      </c>
      <c r="R51" s="1">
        <f>R50+'.r file'!R56</f>
        <v>181.67</v>
      </c>
      <c r="S51" s="1">
        <f>S50+'.r file'!S56</f>
        <v>205.51999999999998</v>
      </c>
      <c r="T51" s="1">
        <f>T50+'.r file'!T56</f>
        <v>330</v>
      </c>
      <c r="U51" s="1">
        <f>U50+'.r file'!U56</f>
        <v>524.98</v>
      </c>
      <c r="V51" s="1">
        <f>V50+'.r file'!V56</f>
        <v>411</v>
      </c>
      <c r="W51" s="1">
        <f>W50+'.r file'!W56</f>
        <v>615</v>
      </c>
      <c r="X51" s="1">
        <f>X50+'.r file'!X56</f>
        <v>495</v>
      </c>
      <c r="Y51" s="1">
        <f>Y50+'.r file'!Y56</f>
        <v>384</v>
      </c>
      <c r="Z51" s="1">
        <f>Z50+'.r file'!Z56</f>
        <v>555.97</v>
      </c>
      <c r="AA51" s="1">
        <f>AA50+'.r file'!AA56</f>
        <v>421.11</v>
      </c>
      <c r="AB51" s="1">
        <f>AB50+'.r file'!AB56</f>
        <v>413.80000000000013</v>
      </c>
      <c r="AC51" s="1">
        <f>AC50+'.r file'!AC56</f>
        <v>447</v>
      </c>
      <c r="AD51" s="1">
        <f>AD50+'.r file'!AD56</f>
        <v>435.59999999999985</v>
      </c>
      <c r="AE51" s="1">
        <f>AE50+'.r file'!AE56</f>
        <v>268.33</v>
      </c>
      <c r="AF51" s="1">
        <f>AF50+'.r file'!AF56</f>
        <v>216.04000000000002</v>
      </c>
    </row>
    <row r="52" spans="1:32" x14ac:dyDescent="0.25">
      <c r="A52" s="6">
        <v>27055.416666666668</v>
      </c>
      <c r="B52" s="1">
        <f>B51+'.r file'!B57</f>
        <v>367.95</v>
      </c>
      <c r="C52" s="1">
        <f>C51+'.r file'!C57</f>
        <v>249.09999999999991</v>
      </c>
      <c r="D52" s="1">
        <f>D51+'.r file'!D57</f>
        <v>182</v>
      </c>
      <c r="E52" s="1">
        <f>E51+'.r file'!E57</f>
        <v>139</v>
      </c>
      <c r="F52" s="1">
        <f>F51+'.r file'!F57</f>
        <v>103.5</v>
      </c>
      <c r="G52" s="1">
        <f>G51+'.r file'!G57</f>
        <v>47.809999999999981</v>
      </c>
      <c r="H52" s="1">
        <f>H51+'.r file'!H57</f>
        <v>192</v>
      </c>
      <c r="I52" s="1">
        <f>I51+'.r file'!I57</f>
        <v>83.170000000000016</v>
      </c>
      <c r="J52" s="1">
        <f>J51+'.r file'!J57</f>
        <v>82</v>
      </c>
      <c r="K52" s="1">
        <f>K51+'.r file'!K57</f>
        <v>165</v>
      </c>
      <c r="L52" s="1">
        <f>L51+'.r file'!L57</f>
        <v>132.59000000000006</v>
      </c>
      <c r="M52" s="1">
        <f>M51+'.r file'!M57</f>
        <v>656</v>
      </c>
      <c r="N52" s="1">
        <f>N51+'.r file'!N57</f>
        <v>27.209999999999997</v>
      </c>
      <c r="O52" s="1">
        <f>O51+'.r file'!O57</f>
        <v>271</v>
      </c>
      <c r="P52" s="1">
        <f>P51+'.r file'!P57</f>
        <v>128.69</v>
      </c>
      <c r="Q52" s="1">
        <f>Q51+'.r file'!Q57</f>
        <v>165</v>
      </c>
      <c r="R52" s="1">
        <f>R51+'.r file'!R57</f>
        <v>188.60999999999999</v>
      </c>
      <c r="S52" s="1">
        <f>S51+'.r file'!S57</f>
        <v>211.29999999999998</v>
      </c>
      <c r="T52" s="1">
        <f>T51+'.r file'!T57</f>
        <v>331</v>
      </c>
      <c r="U52" s="1">
        <f>U51+'.r file'!U57</f>
        <v>524.98</v>
      </c>
      <c r="V52" s="1">
        <f>V51+'.r file'!V57</f>
        <v>413</v>
      </c>
      <c r="W52" s="1">
        <f>W51+'.r file'!W57</f>
        <v>617</v>
      </c>
      <c r="X52" s="1">
        <f>X51+'.r file'!X57</f>
        <v>498</v>
      </c>
      <c r="Y52" s="1">
        <f>Y51+'.r file'!Y57</f>
        <v>388</v>
      </c>
      <c r="Z52" s="1">
        <f>Z51+'.r file'!Z57</f>
        <v>557.75</v>
      </c>
      <c r="AA52" s="1">
        <f>AA51+'.r file'!AA57</f>
        <v>428.64</v>
      </c>
      <c r="AB52" s="1">
        <f>AB51+'.r file'!AB57</f>
        <v>423.41000000000014</v>
      </c>
      <c r="AC52" s="1">
        <f>AC51+'.r file'!AC57</f>
        <v>457</v>
      </c>
      <c r="AD52" s="1">
        <f>AD51+'.r file'!AD57</f>
        <v>439.99999999999983</v>
      </c>
      <c r="AE52" s="1">
        <f>AE51+'.r file'!AE57</f>
        <v>273.52999999999997</v>
      </c>
      <c r="AF52" s="1">
        <f>AF51+'.r file'!AF57</f>
        <v>226.53000000000003</v>
      </c>
    </row>
    <row r="53" spans="1:32" x14ac:dyDescent="0.25">
      <c r="A53" s="6">
        <v>27055.458333333332</v>
      </c>
      <c r="B53" s="1">
        <f>B52+'.r file'!B58</f>
        <v>371.12</v>
      </c>
      <c r="C53" s="1">
        <f>C52+'.r file'!C58</f>
        <v>249.09999999999991</v>
      </c>
      <c r="D53" s="1">
        <f>D52+'.r file'!D58</f>
        <v>184</v>
      </c>
      <c r="E53" s="1">
        <f>E52+'.r file'!E58</f>
        <v>139</v>
      </c>
      <c r="F53" s="1">
        <f>F52+'.r file'!F58</f>
        <v>103.5</v>
      </c>
      <c r="G53" s="1">
        <f>G52+'.r file'!G58</f>
        <v>47.809999999999981</v>
      </c>
      <c r="H53" s="1">
        <f>H52+'.r file'!H58</f>
        <v>194</v>
      </c>
      <c r="I53" s="1">
        <f>I52+'.r file'!I58</f>
        <v>84.410000000000011</v>
      </c>
      <c r="J53" s="1">
        <f>J52+'.r file'!J58</f>
        <v>85</v>
      </c>
      <c r="K53" s="1">
        <f>K52+'.r file'!K58</f>
        <v>165</v>
      </c>
      <c r="L53" s="1">
        <f>L52+'.r file'!L58</f>
        <v>142.30000000000007</v>
      </c>
      <c r="M53" s="1">
        <f>M52+'.r file'!M58</f>
        <v>658</v>
      </c>
      <c r="N53" s="1">
        <f>N52+'.r file'!N58</f>
        <v>27.209999999999997</v>
      </c>
      <c r="O53" s="1">
        <f>O52+'.r file'!O58</f>
        <v>277</v>
      </c>
      <c r="P53" s="1">
        <f>P52+'.r file'!P58</f>
        <v>130.21</v>
      </c>
      <c r="Q53" s="1">
        <f>Q52+'.r file'!Q58</f>
        <v>165</v>
      </c>
      <c r="R53" s="1">
        <f>R52+'.r file'!R58</f>
        <v>201.42</v>
      </c>
      <c r="S53" s="1">
        <f>S52+'.r file'!S58</f>
        <v>218.11999999999998</v>
      </c>
      <c r="T53" s="1">
        <f>T52+'.r file'!T58</f>
        <v>332</v>
      </c>
      <c r="U53" s="1">
        <f>U52+'.r file'!U58</f>
        <v>524.98</v>
      </c>
      <c r="V53" s="1">
        <f>V52+'.r file'!V58</f>
        <v>416</v>
      </c>
      <c r="W53" s="1">
        <f>W52+'.r file'!W58</f>
        <v>618</v>
      </c>
      <c r="X53" s="1">
        <f>X52+'.r file'!X58</f>
        <v>499</v>
      </c>
      <c r="Y53" s="1">
        <f>Y52+'.r file'!Y58</f>
        <v>389</v>
      </c>
      <c r="Z53" s="1">
        <f>Z52+'.r file'!Z58</f>
        <v>558.61</v>
      </c>
      <c r="AA53" s="1">
        <f>AA52+'.r file'!AA58</f>
        <v>430.11</v>
      </c>
      <c r="AB53" s="1">
        <f>AB52+'.r file'!AB58</f>
        <v>433.71000000000015</v>
      </c>
      <c r="AC53" s="1">
        <f>AC52+'.r file'!AC58</f>
        <v>474</v>
      </c>
      <c r="AD53" s="1">
        <f>AD52+'.r file'!AD58</f>
        <v>446.19999999999982</v>
      </c>
      <c r="AE53" s="1">
        <f>AE52+'.r file'!AE58</f>
        <v>274.63</v>
      </c>
      <c r="AF53" s="1">
        <f>AF52+'.r file'!AF58</f>
        <v>227.84000000000003</v>
      </c>
    </row>
    <row r="54" spans="1:32" x14ac:dyDescent="0.25">
      <c r="A54" s="6">
        <v>27055.5</v>
      </c>
      <c r="B54" s="1">
        <f>B53+'.r file'!B59</f>
        <v>373.17</v>
      </c>
      <c r="C54" s="1">
        <f>C53+'.r file'!C59</f>
        <v>249.09999999999991</v>
      </c>
      <c r="D54" s="1">
        <f>D53+'.r file'!D59</f>
        <v>184</v>
      </c>
      <c r="E54" s="1">
        <f>E53+'.r file'!E59</f>
        <v>139</v>
      </c>
      <c r="F54" s="1">
        <f>F53+'.r file'!F59</f>
        <v>103.5</v>
      </c>
      <c r="G54" s="1">
        <f>G53+'.r file'!G59</f>
        <v>47.809999999999981</v>
      </c>
      <c r="H54" s="1">
        <f>H53+'.r file'!H59</f>
        <v>195</v>
      </c>
      <c r="I54" s="1">
        <f>I53+'.r file'!I59</f>
        <v>85.51</v>
      </c>
      <c r="J54" s="1">
        <f>J53+'.r file'!J59</f>
        <v>90</v>
      </c>
      <c r="K54" s="1">
        <f>K53+'.r file'!K59</f>
        <v>165</v>
      </c>
      <c r="L54" s="1">
        <f>L53+'.r file'!L59</f>
        <v>152.01000000000008</v>
      </c>
      <c r="M54" s="1">
        <f>M53+'.r file'!M59</f>
        <v>660</v>
      </c>
      <c r="N54" s="1">
        <f>N53+'.r file'!N59</f>
        <v>28.499999999999996</v>
      </c>
      <c r="O54" s="1">
        <f>O53+'.r file'!O59</f>
        <v>285</v>
      </c>
      <c r="P54" s="1">
        <f>P53+'.r file'!P59</f>
        <v>130.71</v>
      </c>
      <c r="Q54" s="1">
        <f>Q53+'.r file'!Q59</f>
        <v>165</v>
      </c>
      <c r="R54" s="1">
        <f>R53+'.r file'!R59</f>
        <v>212.01999999999998</v>
      </c>
      <c r="S54" s="1">
        <f>S53+'.r file'!S59</f>
        <v>227.7</v>
      </c>
      <c r="T54" s="1">
        <f>T53+'.r file'!T59</f>
        <v>335</v>
      </c>
      <c r="U54" s="1">
        <f>U53+'.r file'!U59</f>
        <v>526.74</v>
      </c>
      <c r="V54" s="1">
        <f>V53+'.r file'!V59</f>
        <v>420</v>
      </c>
      <c r="W54" s="1">
        <f>W53+'.r file'!W59</f>
        <v>619</v>
      </c>
      <c r="X54" s="1">
        <f>X53+'.r file'!X59</f>
        <v>499</v>
      </c>
      <c r="Y54" s="1">
        <f>Y53+'.r file'!Y59</f>
        <v>389</v>
      </c>
      <c r="Z54" s="1">
        <f>Z53+'.r file'!Z59</f>
        <v>559.79</v>
      </c>
      <c r="AA54" s="1">
        <f>AA53+'.r file'!AA59</f>
        <v>430.54</v>
      </c>
      <c r="AB54" s="1">
        <f>AB53+'.r file'!AB59</f>
        <v>440.31000000000017</v>
      </c>
      <c r="AC54" s="1">
        <f>AC53+'.r file'!AC59</f>
        <v>476</v>
      </c>
      <c r="AD54" s="1">
        <f>AD53+'.r file'!AD59</f>
        <v>451.89999999999981</v>
      </c>
      <c r="AE54" s="1">
        <f>AE53+'.r file'!AE59</f>
        <v>274.95999999999998</v>
      </c>
      <c r="AF54" s="1">
        <f>AF53+'.r file'!AF59</f>
        <v>228.16000000000003</v>
      </c>
    </row>
    <row r="55" spans="1:32" x14ac:dyDescent="0.25">
      <c r="A55" s="6">
        <v>27055.541666666668</v>
      </c>
      <c r="B55" s="1">
        <f>B54+'.r file'!B60</f>
        <v>373.94</v>
      </c>
      <c r="C55" s="1">
        <f>C54+'.r file'!C60</f>
        <v>249.09999999999991</v>
      </c>
      <c r="D55" s="1">
        <f>D54+'.r file'!D60</f>
        <v>186</v>
      </c>
      <c r="E55" s="1">
        <f>E54+'.r file'!E60</f>
        <v>142</v>
      </c>
      <c r="F55" s="1">
        <f>F54+'.r file'!F60</f>
        <v>103.5</v>
      </c>
      <c r="G55" s="1">
        <f>G54+'.r file'!G60</f>
        <v>49.369999999999983</v>
      </c>
      <c r="H55" s="1">
        <f>H54+'.r file'!H60</f>
        <v>196</v>
      </c>
      <c r="I55" s="1">
        <f>I54+'.r file'!I60</f>
        <v>96.14</v>
      </c>
      <c r="J55" s="1">
        <f>J54+'.r file'!J60</f>
        <v>93</v>
      </c>
      <c r="K55" s="1">
        <f>K54+'.r file'!K60</f>
        <v>165</v>
      </c>
      <c r="L55" s="1">
        <f>L54+'.r file'!L60</f>
        <v>161.72000000000008</v>
      </c>
      <c r="M55" s="1">
        <f>M54+'.r file'!M60</f>
        <v>662</v>
      </c>
      <c r="N55" s="1">
        <f>N54+'.r file'!N60</f>
        <v>32.25</v>
      </c>
      <c r="O55" s="1">
        <f>O54+'.r file'!O60</f>
        <v>289</v>
      </c>
      <c r="P55" s="1">
        <f>P54+'.r file'!P60</f>
        <v>134.81</v>
      </c>
      <c r="Q55" s="1">
        <f>Q54+'.r file'!Q60</f>
        <v>165</v>
      </c>
      <c r="R55" s="1">
        <f>R54+'.r file'!R60</f>
        <v>223.51</v>
      </c>
      <c r="S55" s="1">
        <f>S54+'.r file'!S60</f>
        <v>234.61999999999998</v>
      </c>
      <c r="T55" s="1">
        <f>T54+'.r file'!T60</f>
        <v>340</v>
      </c>
      <c r="U55" s="1">
        <f>U54+'.r file'!U60</f>
        <v>527.13</v>
      </c>
      <c r="V55" s="1">
        <f>V54+'.r file'!V60</f>
        <v>427</v>
      </c>
      <c r="W55" s="1">
        <f>W54+'.r file'!W60</f>
        <v>621</v>
      </c>
      <c r="X55" s="1">
        <f>X54+'.r file'!X60</f>
        <v>499</v>
      </c>
      <c r="Y55" s="1">
        <f>Y54+'.r file'!Y60</f>
        <v>393</v>
      </c>
      <c r="Z55" s="1">
        <f>Z54+'.r file'!Z60</f>
        <v>561.59999999999991</v>
      </c>
      <c r="AA55" s="1">
        <f>AA54+'.r file'!AA60</f>
        <v>431.51000000000005</v>
      </c>
      <c r="AB55" s="1">
        <f>AB54+'.r file'!AB60</f>
        <v>440.31000000000017</v>
      </c>
      <c r="AC55" s="1">
        <f>AC54+'.r file'!AC60</f>
        <v>477</v>
      </c>
      <c r="AD55" s="1">
        <f>AD54+'.r file'!AD60</f>
        <v>452.49999999999983</v>
      </c>
      <c r="AE55" s="1">
        <f>AE54+'.r file'!AE60</f>
        <v>276.22999999999996</v>
      </c>
      <c r="AF55" s="1">
        <f>AF54+'.r file'!AF60</f>
        <v>229.14000000000001</v>
      </c>
    </row>
    <row r="56" spans="1:32" x14ac:dyDescent="0.25">
      <c r="A56" s="6">
        <v>27055.583333333332</v>
      </c>
      <c r="B56" s="1">
        <f>B55+'.r file'!B61</f>
        <v>374.35</v>
      </c>
      <c r="C56" s="1">
        <f>C55+'.r file'!C61</f>
        <v>249.09999999999991</v>
      </c>
      <c r="D56" s="1">
        <f>D55+'.r file'!D61</f>
        <v>194</v>
      </c>
      <c r="E56" s="1">
        <f>E55+'.r file'!E61</f>
        <v>157</v>
      </c>
      <c r="F56" s="1">
        <f>F55+'.r file'!F61</f>
        <v>103.5</v>
      </c>
      <c r="G56" s="1">
        <f>G55+'.r file'!G61</f>
        <v>56.179999999999986</v>
      </c>
      <c r="H56" s="1">
        <f>H55+'.r file'!H61</f>
        <v>199</v>
      </c>
      <c r="I56" s="1">
        <f>I55+'.r file'!I61</f>
        <v>109.51</v>
      </c>
      <c r="J56" s="1">
        <f>J55+'.r file'!J61</f>
        <v>99</v>
      </c>
      <c r="K56" s="1">
        <f>K55+'.r file'!K61</f>
        <v>166</v>
      </c>
      <c r="L56" s="1">
        <f>L55+'.r file'!L61</f>
        <v>171.43000000000009</v>
      </c>
      <c r="M56" s="1">
        <f>M55+'.r file'!M61</f>
        <v>668</v>
      </c>
      <c r="N56" s="1">
        <f>N55+'.r file'!N61</f>
        <v>34.24</v>
      </c>
      <c r="O56" s="1">
        <f>O55+'.r file'!O61</f>
        <v>298</v>
      </c>
      <c r="P56" s="1">
        <f>P55+'.r file'!P61</f>
        <v>138.1</v>
      </c>
      <c r="Q56" s="1">
        <f>Q55+'.r file'!Q61</f>
        <v>166</v>
      </c>
      <c r="R56" s="1">
        <f>R55+'.r file'!R61</f>
        <v>241.26</v>
      </c>
      <c r="S56" s="1">
        <f>S55+'.r file'!S61</f>
        <v>244.93999999999997</v>
      </c>
      <c r="T56" s="1">
        <f>T55+'.r file'!T61</f>
        <v>349</v>
      </c>
      <c r="U56" s="1">
        <f>U55+'.r file'!U61</f>
        <v>527.68999999999994</v>
      </c>
      <c r="V56" s="1">
        <f>V55+'.r file'!V61</f>
        <v>430</v>
      </c>
      <c r="W56" s="1">
        <f>W55+'.r file'!W61</f>
        <v>621</v>
      </c>
      <c r="X56" s="1">
        <f>X55+'.r file'!X61</f>
        <v>501</v>
      </c>
      <c r="Y56" s="1">
        <f>Y55+'.r file'!Y61</f>
        <v>394</v>
      </c>
      <c r="Z56" s="1">
        <f>Z55+'.r file'!Z61</f>
        <v>561.59999999999991</v>
      </c>
      <c r="AA56" s="1">
        <f>AA55+'.r file'!AA61</f>
        <v>431.51000000000005</v>
      </c>
      <c r="AB56" s="1">
        <f>AB55+'.r file'!AB61</f>
        <v>440.31000000000017</v>
      </c>
      <c r="AC56" s="1">
        <f>AC55+'.r file'!AC61</f>
        <v>477</v>
      </c>
      <c r="AD56" s="1">
        <f>AD55+'.r file'!AD61</f>
        <v>452.49999999999983</v>
      </c>
      <c r="AE56" s="1">
        <f>AE55+'.r file'!AE61</f>
        <v>276.72999999999996</v>
      </c>
      <c r="AF56" s="1">
        <f>AF55+'.r file'!AF61</f>
        <v>229.34</v>
      </c>
    </row>
    <row r="57" spans="1:32" x14ac:dyDescent="0.25">
      <c r="A57" s="6">
        <v>27055.625</v>
      </c>
      <c r="B57" s="1">
        <f>B56+'.r file'!B62</f>
        <v>375.15000000000003</v>
      </c>
      <c r="C57" s="1">
        <f>C56+'.r file'!C62</f>
        <v>250.2999999999999</v>
      </c>
      <c r="D57" s="1">
        <f>D56+'.r file'!D62</f>
        <v>195</v>
      </c>
      <c r="E57" s="1">
        <f>E56+'.r file'!E62</f>
        <v>175</v>
      </c>
      <c r="F57" s="1">
        <f>F56+'.r file'!F62</f>
        <v>105.06</v>
      </c>
      <c r="G57" s="1">
        <f>G56+'.r file'!G62</f>
        <v>60.079999999999984</v>
      </c>
      <c r="H57" s="1">
        <f>H56+'.r file'!H62</f>
        <v>204</v>
      </c>
      <c r="I57" s="1">
        <f>I56+'.r file'!I62</f>
        <v>118.67</v>
      </c>
      <c r="J57" s="1">
        <f>J56+'.r file'!J62</f>
        <v>108</v>
      </c>
      <c r="K57" s="1">
        <f>K56+'.r file'!K62</f>
        <v>170</v>
      </c>
      <c r="L57" s="1">
        <f>L56+'.r file'!L62</f>
        <v>181.1400000000001</v>
      </c>
      <c r="M57" s="1">
        <f>M56+'.r file'!M62</f>
        <v>675</v>
      </c>
      <c r="N57" s="1">
        <f>N56+'.r file'!N62</f>
        <v>36.1</v>
      </c>
      <c r="O57" s="1">
        <f>O56+'.r file'!O62</f>
        <v>309</v>
      </c>
      <c r="P57" s="1">
        <f>P56+'.r file'!P62</f>
        <v>139.87</v>
      </c>
      <c r="Q57" s="1">
        <f>Q56+'.r file'!Q62</f>
        <v>170</v>
      </c>
      <c r="R57" s="1">
        <f>R56+'.r file'!R62</f>
        <v>257.55</v>
      </c>
      <c r="S57" s="1">
        <f>S56+'.r file'!S62</f>
        <v>261.88</v>
      </c>
      <c r="T57" s="1">
        <f>T56+'.r file'!T62</f>
        <v>363</v>
      </c>
      <c r="U57" s="1">
        <f>U56+'.r file'!U62</f>
        <v>528.43999999999994</v>
      </c>
      <c r="V57" s="1">
        <f>V56+'.r file'!V62</f>
        <v>433</v>
      </c>
      <c r="W57" s="1">
        <f>W56+'.r file'!W62</f>
        <v>623</v>
      </c>
      <c r="X57" s="1">
        <f>X56+'.r file'!X62</f>
        <v>501</v>
      </c>
      <c r="Y57" s="1">
        <f>Y56+'.r file'!Y62</f>
        <v>397</v>
      </c>
      <c r="Z57" s="1">
        <f>Z56+'.r file'!Z62</f>
        <v>563.79999999999995</v>
      </c>
      <c r="AA57" s="1">
        <f>AA56+'.r file'!AA62</f>
        <v>433.11000000000007</v>
      </c>
      <c r="AB57" s="1">
        <f>AB56+'.r file'!AB62</f>
        <v>440.31000000000017</v>
      </c>
      <c r="AC57" s="1">
        <f>AC56+'.r file'!AC62</f>
        <v>477</v>
      </c>
      <c r="AD57" s="1">
        <f>AD56+'.r file'!AD62</f>
        <v>453.09999999999985</v>
      </c>
      <c r="AE57" s="1">
        <f>AE56+'.r file'!AE62</f>
        <v>280.02999999999997</v>
      </c>
      <c r="AF57" s="1">
        <f>AF56+'.r file'!AF62</f>
        <v>230.01</v>
      </c>
    </row>
    <row r="58" spans="1:32" x14ac:dyDescent="0.25">
      <c r="A58" s="6">
        <v>27055.666666666668</v>
      </c>
      <c r="B58" s="1">
        <f>B57+'.r file'!B63</f>
        <v>378.68</v>
      </c>
      <c r="C58" s="1">
        <f>C57+'.r file'!C63</f>
        <v>261.39999999999992</v>
      </c>
      <c r="D58" s="1">
        <f>D57+'.r file'!D63</f>
        <v>206</v>
      </c>
      <c r="E58" s="1">
        <f>E57+'.r file'!E63</f>
        <v>176</v>
      </c>
      <c r="F58" s="1">
        <f>F57+'.r file'!F63</f>
        <v>115.57000000000001</v>
      </c>
      <c r="G58" s="1">
        <f>G57+'.r file'!G63</f>
        <v>63.809999999999981</v>
      </c>
      <c r="H58" s="1">
        <f>H57+'.r file'!H63</f>
        <v>212</v>
      </c>
      <c r="I58" s="1">
        <f>I57+'.r file'!I63</f>
        <v>125.24000000000001</v>
      </c>
      <c r="J58" s="1">
        <f>J57+'.r file'!J63</f>
        <v>114</v>
      </c>
      <c r="K58" s="1">
        <f>K57+'.r file'!K63</f>
        <v>177</v>
      </c>
      <c r="L58" s="1">
        <f>L57+'.r file'!L63</f>
        <v>190.85000000000011</v>
      </c>
      <c r="M58" s="1">
        <f>M57+'.r file'!M63</f>
        <v>685</v>
      </c>
      <c r="N58" s="1">
        <f>N57+'.r file'!N63</f>
        <v>39.78</v>
      </c>
      <c r="O58" s="1">
        <f>O57+'.r file'!O63</f>
        <v>319</v>
      </c>
      <c r="P58" s="1">
        <f>P57+'.r file'!P63</f>
        <v>142.51</v>
      </c>
      <c r="Q58" s="1">
        <f>Q57+'.r file'!Q63</f>
        <v>177</v>
      </c>
      <c r="R58" s="1">
        <f>R57+'.r file'!R63</f>
        <v>266.74</v>
      </c>
      <c r="S58" s="1">
        <f>S57+'.r file'!S63</f>
        <v>274.29000000000002</v>
      </c>
      <c r="T58" s="1">
        <f>T57+'.r file'!T63</f>
        <v>366</v>
      </c>
      <c r="U58" s="1">
        <f>U57+'.r file'!U63</f>
        <v>529.67999999999995</v>
      </c>
      <c r="V58" s="1">
        <f>V57+'.r file'!V63</f>
        <v>439</v>
      </c>
      <c r="W58" s="1">
        <f>W57+'.r file'!W63</f>
        <v>624</v>
      </c>
      <c r="X58" s="1">
        <f>X57+'.r file'!X63</f>
        <v>504</v>
      </c>
      <c r="Y58" s="1">
        <f>Y57+'.r file'!Y63</f>
        <v>400</v>
      </c>
      <c r="Z58" s="1">
        <f>Z57+'.r file'!Z63</f>
        <v>564.59999999999991</v>
      </c>
      <c r="AA58" s="1">
        <f>AA57+'.r file'!AA63</f>
        <v>434.45000000000005</v>
      </c>
      <c r="AB58" s="1">
        <f>AB57+'.r file'!AB63</f>
        <v>440.31000000000017</v>
      </c>
      <c r="AC58" s="1">
        <f>AC57+'.r file'!AC63</f>
        <v>480</v>
      </c>
      <c r="AD58" s="1">
        <f>AD57+'.r file'!AD63</f>
        <v>453.69999999999987</v>
      </c>
      <c r="AE58" s="1">
        <f>AE57+'.r file'!AE63</f>
        <v>290.79999999999995</v>
      </c>
      <c r="AF58" s="1">
        <f>AF57+'.r file'!AF63</f>
        <v>245.69</v>
      </c>
    </row>
    <row r="59" spans="1:32" x14ac:dyDescent="0.25">
      <c r="A59" s="6">
        <v>27055.708333333332</v>
      </c>
      <c r="B59" s="1">
        <f>B58+'.r file'!B64</f>
        <v>393.88</v>
      </c>
      <c r="C59" s="1">
        <f>C58+'.r file'!C64</f>
        <v>280.59999999999991</v>
      </c>
      <c r="D59" s="1">
        <f>D58+'.r file'!D64</f>
        <v>206</v>
      </c>
      <c r="E59" s="1">
        <f>E58+'.r file'!E64</f>
        <v>182</v>
      </c>
      <c r="F59" s="1">
        <f>F58+'.r file'!F64</f>
        <v>121.58000000000001</v>
      </c>
      <c r="G59" s="1">
        <f>G58+'.r file'!G64</f>
        <v>63.989999999999981</v>
      </c>
      <c r="H59" s="1">
        <f>H58+'.r file'!H64</f>
        <v>217</v>
      </c>
      <c r="I59" s="1">
        <f>I58+'.r file'!I64</f>
        <v>127.30000000000001</v>
      </c>
      <c r="J59" s="1">
        <f>J58+'.r file'!J64</f>
        <v>117</v>
      </c>
      <c r="K59" s="1">
        <f>K58+'.r file'!K64</f>
        <v>185</v>
      </c>
      <c r="L59" s="1">
        <f>L58+'.r file'!L64</f>
        <v>200.56000000000012</v>
      </c>
      <c r="M59" s="1">
        <f>M58+'.r file'!M64</f>
        <v>698</v>
      </c>
      <c r="N59" s="1">
        <f>N58+'.r file'!N64</f>
        <v>43.5</v>
      </c>
      <c r="O59" s="1">
        <f>O58+'.r file'!O64</f>
        <v>338</v>
      </c>
      <c r="P59" s="1">
        <f>P58+'.r file'!P64</f>
        <v>147.59</v>
      </c>
      <c r="Q59" s="1">
        <f>Q58+'.r file'!Q64</f>
        <v>185</v>
      </c>
      <c r="R59" s="1">
        <f>R58+'.r file'!R64</f>
        <v>277.40000000000003</v>
      </c>
      <c r="S59" s="1">
        <f>S58+'.r file'!S64</f>
        <v>292.27000000000004</v>
      </c>
      <c r="T59" s="1">
        <f>T58+'.r file'!T64</f>
        <v>369</v>
      </c>
      <c r="U59" s="1">
        <f>U58+'.r file'!U64</f>
        <v>532.76</v>
      </c>
      <c r="V59" s="1">
        <f>V58+'.r file'!V64</f>
        <v>455</v>
      </c>
      <c r="W59" s="1">
        <f>W58+'.r file'!W64</f>
        <v>625</v>
      </c>
      <c r="X59" s="1">
        <f>X58+'.r file'!X64</f>
        <v>506</v>
      </c>
      <c r="Y59" s="1">
        <f>Y58+'.r file'!Y64</f>
        <v>403</v>
      </c>
      <c r="Z59" s="1">
        <f>Z58+'.r file'!Z64</f>
        <v>567.84999999999991</v>
      </c>
      <c r="AA59" s="1">
        <f>AA58+'.r file'!AA64</f>
        <v>436.38000000000005</v>
      </c>
      <c r="AB59" s="1">
        <f>AB58+'.r file'!AB64</f>
        <v>441.59000000000015</v>
      </c>
      <c r="AC59" s="1">
        <f>AC58+'.r file'!AC64</f>
        <v>484</v>
      </c>
      <c r="AD59" s="1">
        <f>AD58+'.r file'!AD64</f>
        <v>453.69999999999987</v>
      </c>
      <c r="AE59" s="1">
        <f>AE58+'.r file'!AE64</f>
        <v>296.67999999999995</v>
      </c>
      <c r="AF59" s="1">
        <f>AF58+'.r file'!AF64</f>
        <v>263.22000000000003</v>
      </c>
    </row>
    <row r="60" spans="1:32" x14ac:dyDescent="0.25">
      <c r="A60" s="6">
        <v>27055.75</v>
      </c>
      <c r="B60" s="1">
        <f>B59+'.r file'!B65</f>
        <v>408.81</v>
      </c>
      <c r="C60" s="1">
        <f>C59+'.r file'!C65</f>
        <v>319.49999999999989</v>
      </c>
      <c r="D60" s="1">
        <f>D59+'.r file'!D65</f>
        <v>209</v>
      </c>
      <c r="E60" s="1">
        <f>E59+'.r file'!E65</f>
        <v>187</v>
      </c>
      <c r="F60" s="1">
        <f>F59+'.r file'!F65</f>
        <v>131.79000000000002</v>
      </c>
      <c r="G60" s="1">
        <f>G59+'.r file'!G65</f>
        <v>68.249999999999986</v>
      </c>
      <c r="H60" s="1">
        <f>H59+'.r file'!H65</f>
        <v>219</v>
      </c>
      <c r="I60" s="1">
        <f>I59+'.r file'!I65</f>
        <v>133.47</v>
      </c>
      <c r="J60" s="1">
        <f>J59+'.r file'!J65</f>
        <v>121</v>
      </c>
      <c r="K60" s="1">
        <f>K59+'.r file'!K65</f>
        <v>192</v>
      </c>
      <c r="L60" s="1">
        <f>L59+'.r file'!L65</f>
        <v>210.27000000000012</v>
      </c>
      <c r="M60" s="1">
        <f>M59+'.r file'!M65</f>
        <v>721</v>
      </c>
      <c r="N60" s="1">
        <f>N59+'.r file'!N65</f>
        <v>44.6</v>
      </c>
      <c r="O60" s="1">
        <f>O59+'.r file'!O65</f>
        <v>364</v>
      </c>
      <c r="P60" s="1">
        <f>P59+'.r file'!P65</f>
        <v>155.80000000000001</v>
      </c>
      <c r="Q60" s="1">
        <f>Q59+'.r file'!Q65</f>
        <v>192</v>
      </c>
      <c r="R60" s="1">
        <f>R59+'.r file'!R65</f>
        <v>287.07000000000005</v>
      </c>
      <c r="S60" s="1">
        <f>S59+'.r file'!S65</f>
        <v>317.13000000000005</v>
      </c>
      <c r="T60" s="1">
        <f>T59+'.r file'!T65</f>
        <v>378</v>
      </c>
      <c r="U60" s="1">
        <f>U59+'.r file'!U65</f>
        <v>542.49</v>
      </c>
      <c r="V60" s="1">
        <f>V59+'.r file'!V65</f>
        <v>483</v>
      </c>
      <c r="W60" s="1">
        <f>W59+'.r file'!W65</f>
        <v>645</v>
      </c>
      <c r="X60" s="1">
        <f>X59+'.r file'!X65</f>
        <v>508</v>
      </c>
      <c r="Y60" s="1">
        <f>Y59+'.r file'!Y65</f>
        <v>412</v>
      </c>
      <c r="Z60" s="1">
        <f>Z59+'.r file'!Z65</f>
        <v>587.76999999999987</v>
      </c>
      <c r="AA60" s="1">
        <f>AA59+'.r file'!AA65</f>
        <v>447.59000000000003</v>
      </c>
      <c r="AB60" s="1">
        <f>AB59+'.r file'!AB65</f>
        <v>441.91000000000014</v>
      </c>
      <c r="AC60" s="1">
        <f>AC59+'.r file'!AC65</f>
        <v>488</v>
      </c>
      <c r="AD60" s="1">
        <f>AD59+'.r file'!AD65</f>
        <v>456.19999999999987</v>
      </c>
      <c r="AE60" s="1">
        <f>AE59+'.r file'!AE65</f>
        <v>308.87999999999994</v>
      </c>
      <c r="AF60" s="1">
        <f>AF59+'.r file'!AF65</f>
        <v>275.11</v>
      </c>
    </row>
    <row r="61" spans="1:32" x14ac:dyDescent="0.25">
      <c r="A61" s="6">
        <v>27055.791666666668</v>
      </c>
      <c r="B61" s="1">
        <f>B60+'.r file'!B66</f>
        <v>417.31</v>
      </c>
      <c r="C61" s="1">
        <f>C60+'.r file'!C66</f>
        <v>327.49999999999989</v>
      </c>
      <c r="D61" s="1">
        <f>D60+'.r file'!D66</f>
        <v>215</v>
      </c>
      <c r="E61" s="1">
        <f>E60+'.r file'!E66</f>
        <v>189</v>
      </c>
      <c r="F61" s="1">
        <f>F60+'.r file'!F66</f>
        <v>132.19000000000003</v>
      </c>
      <c r="G61" s="1">
        <f>G60+'.r file'!G66</f>
        <v>72.859999999999985</v>
      </c>
      <c r="H61" s="1">
        <f>H60+'.r file'!H66</f>
        <v>224</v>
      </c>
      <c r="I61" s="1">
        <f>I60+'.r file'!I66</f>
        <v>140.55000000000001</v>
      </c>
      <c r="J61" s="1">
        <f>J60+'.r file'!J66</f>
        <v>124</v>
      </c>
      <c r="K61" s="1">
        <f>K60+'.r file'!K66</f>
        <v>201</v>
      </c>
      <c r="L61" s="1">
        <f>L60+'.r file'!L66</f>
        <v>219.98000000000013</v>
      </c>
      <c r="M61" s="1">
        <f>M60+'.r file'!M66</f>
        <v>743</v>
      </c>
      <c r="N61" s="1">
        <f>N60+'.r file'!N66</f>
        <v>45.300000000000004</v>
      </c>
      <c r="O61" s="1">
        <f>O60+'.r file'!O66</f>
        <v>386</v>
      </c>
      <c r="P61" s="1">
        <f>P60+'.r file'!P66</f>
        <v>167.4</v>
      </c>
      <c r="Q61" s="1">
        <f>Q60+'.r file'!Q66</f>
        <v>201</v>
      </c>
      <c r="R61" s="1">
        <f>R60+'.r file'!R66</f>
        <v>298.22000000000003</v>
      </c>
      <c r="S61" s="1">
        <f>S60+'.r file'!S66</f>
        <v>335.52000000000004</v>
      </c>
      <c r="T61" s="1">
        <f>T60+'.r file'!T66</f>
        <v>401</v>
      </c>
      <c r="U61" s="1">
        <f>U60+'.r file'!U66</f>
        <v>580.03</v>
      </c>
      <c r="V61" s="1">
        <f>V60+'.r file'!V66</f>
        <v>504</v>
      </c>
      <c r="W61" s="1">
        <f>W60+'.r file'!W66</f>
        <v>670</v>
      </c>
      <c r="X61" s="1">
        <f>X60+'.r file'!X66</f>
        <v>517</v>
      </c>
      <c r="Y61" s="1">
        <f>Y60+'.r file'!Y66</f>
        <v>430</v>
      </c>
      <c r="Z61" s="1">
        <f>Z60+'.r file'!Z66</f>
        <v>608.6099999999999</v>
      </c>
      <c r="AA61" s="1">
        <f>AA60+'.r file'!AA66</f>
        <v>459.73</v>
      </c>
      <c r="AB61" s="1">
        <f>AB60+'.r file'!AB66</f>
        <v>453.53000000000014</v>
      </c>
      <c r="AC61" s="1">
        <f>AC60+'.r file'!AC66</f>
        <v>501</v>
      </c>
      <c r="AD61" s="1">
        <f>AD60+'.r file'!AD66</f>
        <v>473.69999999999987</v>
      </c>
      <c r="AE61" s="1">
        <f>AE60+'.r file'!AE66</f>
        <v>314.51999999999992</v>
      </c>
      <c r="AF61" s="1">
        <f>AF60+'.r file'!AF66</f>
        <v>278.03000000000003</v>
      </c>
    </row>
    <row r="62" spans="1:32" x14ac:dyDescent="0.25">
      <c r="A62" s="6">
        <v>27055.833333333332</v>
      </c>
      <c r="B62" s="1">
        <f>B61+'.r file'!B67</f>
        <v>433.41</v>
      </c>
      <c r="C62" s="1">
        <f>C61+'.r file'!C67</f>
        <v>355.2999999999999</v>
      </c>
      <c r="D62" s="1">
        <f>D61+'.r file'!D67</f>
        <v>227</v>
      </c>
      <c r="E62" s="1">
        <f>E61+'.r file'!E67</f>
        <v>195</v>
      </c>
      <c r="F62" s="1">
        <f>F61+'.r file'!F67</f>
        <v>136.67000000000002</v>
      </c>
      <c r="G62" s="1">
        <f>G61+'.r file'!G67</f>
        <v>76.419999999999987</v>
      </c>
      <c r="H62" s="1">
        <f>H61+'.r file'!H67</f>
        <v>231</v>
      </c>
      <c r="I62" s="1">
        <f>I61+'.r file'!I67</f>
        <v>144.24</v>
      </c>
      <c r="J62" s="1">
        <f>J61+'.r file'!J67</f>
        <v>134</v>
      </c>
      <c r="K62" s="1">
        <f>K61+'.r file'!K67</f>
        <v>212</v>
      </c>
      <c r="L62" s="1">
        <f>L61+'.r file'!L67</f>
        <v>229.69000000000014</v>
      </c>
      <c r="M62" s="1">
        <f>M61+'.r file'!M67</f>
        <v>784</v>
      </c>
      <c r="N62" s="1">
        <f>N61+'.r file'!N67</f>
        <v>46.17</v>
      </c>
      <c r="O62" s="1">
        <f>O61+'.r file'!O67</f>
        <v>406</v>
      </c>
      <c r="P62" s="1">
        <f>P61+'.r file'!P67</f>
        <v>187.23000000000002</v>
      </c>
      <c r="Q62" s="1">
        <f>Q61+'.r file'!Q67</f>
        <v>212</v>
      </c>
      <c r="R62" s="1">
        <f>R61+'.r file'!R67</f>
        <v>311.12</v>
      </c>
      <c r="S62" s="1">
        <f>S61+'.r file'!S67</f>
        <v>351.13000000000005</v>
      </c>
      <c r="T62" s="1">
        <f>T61+'.r file'!T67</f>
        <v>414</v>
      </c>
      <c r="U62" s="1">
        <f>U61+'.r file'!U67</f>
        <v>601.88</v>
      </c>
      <c r="V62" s="1">
        <f>V61+'.r file'!V67</f>
        <v>531</v>
      </c>
      <c r="W62" s="1">
        <f>W61+'.r file'!W67</f>
        <v>687</v>
      </c>
      <c r="X62" s="1">
        <f>X61+'.r file'!X67</f>
        <v>541</v>
      </c>
      <c r="Y62" s="1">
        <f>Y61+'.r file'!Y67</f>
        <v>445</v>
      </c>
      <c r="Z62" s="1">
        <f>Z61+'.r file'!Z67</f>
        <v>620.81999999999994</v>
      </c>
      <c r="AA62" s="1">
        <f>AA61+'.r file'!AA67</f>
        <v>466.02000000000004</v>
      </c>
      <c r="AB62" s="1">
        <f>AB61+'.r file'!AB67</f>
        <v>462.75000000000017</v>
      </c>
      <c r="AC62" s="1">
        <f>AC61+'.r file'!AC67</f>
        <v>507</v>
      </c>
      <c r="AD62" s="1">
        <f>AD61+'.r file'!AD67</f>
        <v>479.99999999999989</v>
      </c>
      <c r="AE62" s="1">
        <f>AE61+'.r file'!AE67</f>
        <v>317.12999999999994</v>
      </c>
      <c r="AF62" s="1">
        <f>AF61+'.r file'!AF67</f>
        <v>279.84000000000003</v>
      </c>
    </row>
    <row r="63" spans="1:32" x14ac:dyDescent="0.25">
      <c r="A63" s="6">
        <v>27055.875</v>
      </c>
      <c r="B63" s="1">
        <f>B62+'.r file'!B68</f>
        <v>457.19000000000005</v>
      </c>
      <c r="C63" s="1">
        <f>C62+'.r file'!C68</f>
        <v>390.59999999999991</v>
      </c>
      <c r="D63" s="1">
        <f>D62+'.r file'!D68</f>
        <v>231</v>
      </c>
      <c r="E63" s="1">
        <f>E62+'.r file'!E68</f>
        <v>201</v>
      </c>
      <c r="F63" s="1">
        <f>F62+'.r file'!F68</f>
        <v>146.88000000000002</v>
      </c>
      <c r="G63" s="1">
        <f>G62+'.r file'!G68</f>
        <v>81.569999999999993</v>
      </c>
      <c r="H63" s="1">
        <f>H62+'.r file'!H68</f>
        <v>242</v>
      </c>
      <c r="I63" s="1">
        <f>I62+'.r file'!I68</f>
        <v>156.59</v>
      </c>
      <c r="J63" s="1">
        <f>J62+'.r file'!J68</f>
        <v>147</v>
      </c>
      <c r="K63" s="1">
        <f>K62+'.r file'!K68</f>
        <v>223</v>
      </c>
      <c r="L63" s="1">
        <f>L62+'.r file'!L68</f>
        <v>239.40000000000015</v>
      </c>
      <c r="M63" s="1">
        <f>M62+'.r file'!M68</f>
        <v>845</v>
      </c>
      <c r="N63" s="1">
        <f>N62+'.r file'!N68</f>
        <v>47.35</v>
      </c>
      <c r="O63" s="1">
        <f>O62+'.r file'!O68</f>
        <v>418</v>
      </c>
      <c r="P63" s="1">
        <f>P62+'.r file'!P68</f>
        <v>201.84000000000003</v>
      </c>
      <c r="Q63" s="1">
        <f>Q62+'.r file'!Q68</f>
        <v>223</v>
      </c>
      <c r="R63" s="1">
        <f>R62+'.r file'!R68</f>
        <v>319.44</v>
      </c>
      <c r="S63" s="1">
        <f>S62+'.r file'!S68</f>
        <v>366.10000000000008</v>
      </c>
      <c r="T63" s="1">
        <f>T62+'.r file'!T68</f>
        <v>425</v>
      </c>
      <c r="U63" s="1">
        <f>U62+'.r file'!U68</f>
        <v>622.86</v>
      </c>
      <c r="V63" s="1">
        <f>V62+'.r file'!V68</f>
        <v>546</v>
      </c>
      <c r="W63" s="1">
        <f>W62+'.r file'!W68</f>
        <v>705</v>
      </c>
      <c r="X63" s="1">
        <f>X62+'.r file'!X68</f>
        <v>553</v>
      </c>
      <c r="Y63" s="1">
        <f>Y62+'.r file'!Y68</f>
        <v>458</v>
      </c>
      <c r="Z63" s="1">
        <f>Z62+'.r file'!Z68</f>
        <v>643.53</v>
      </c>
      <c r="AA63" s="1">
        <f>AA62+'.r file'!AA68</f>
        <v>478.24000000000007</v>
      </c>
      <c r="AB63" s="1">
        <f>AB62+'.r file'!AB68</f>
        <v>467.6600000000002</v>
      </c>
      <c r="AC63" s="1">
        <f>AC62+'.r file'!AC68</f>
        <v>518</v>
      </c>
      <c r="AD63" s="1">
        <f>AD62+'.r file'!AD68</f>
        <v>488.09999999999991</v>
      </c>
      <c r="AE63" s="1">
        <f>AE62+'.r file'!AE68</f>
        <v>322.49999999999994</v>
      </c>
      <c r="AF63" s="1">
        <f>AF62+'.r file'!AF68</f>
        <v>283.18</v>
      </c>
    </row>
    <row r="64" spans="1:32" x14ac:dyDescent="0.25">
      <c r="A64" s="6">
        <v>27055.916666666668</v>
      </c>
      <c r="B64" s="1">
        <f>B63+'.r file'!B69</f>
        <v>484.04000000000008</v>
      </c>
      <c r="C64" s="1">
        <f>C63+'.r file'!C69</f>
        <v>419.59999999999991</v>
      </c>
      <c r="D64" s="1">
        <f>D63+'.r file'!D69</f>
        <v>234</v>
      </c>
      <c r="E64" s="1">
        <f>E63+'.r file'!E69</f>
        <v>212</v>
      </c>
      <c r="F64" s="1">
        <f>F63+'.r file'!F69</f>
        <v>167.98000000000002</v>
      </c>
      <c r="G64" s="1">
        <f>G63+'.r file'!G69</f>
        <v>87.699999999999989</v>
      </c>
      <c r="H64" s="1">
        <f>H63+'.r file'!H69</f>
        <v>261</v>
      </c>
      <c r="I64" s="1">
        <f>I63+'.r file'!I69</f>
        <v>170.49</v>
      </c>
      <c r="J64" s="1">
        <f>J63+'.r file'!J69</f>
        <v>162</v>
      </c>
      <c r="K64" s="1">
        <f>K63+'.r file'!K69</f>
        <v>232</v>
      </c>
      <c r="L64" s="1">
        <f>L63+'.r file'!L69</f>
        <v>249.11000000000016</v>
      </c>
      <c r="M64" s="1">
        <f>M63+'.r file'!M69</f>
        <v>898</v>
      </c>
      <c r="N64" s="1">
        <f>N63+'.r file'!N69</f>
        <v>51.43</v>
      </c>
      <c r="O64" s="1">
        <f>O63+'.r file'!O69</f>
        <v>439</v>
      </c>
      <c r="P64" s="1">
        <f>P63+'.r file'!P69</f>
        <v>223.13000000000002</v>
      </c>
      <c r="Q64" s="1">
        <f>Q63+'.r file'!Q69</f>
        <v>232</v>
      </c>
      <c r="R64" s="1">
        <f>R63+'.r file'!R69</f>
        <v>325.93</v>
      </c>
      <c r="S64" s="1">
        <f>S63+'.r file'!S69</f>
        <v>380.49000000000007</v>
      </c>
      <c r="T64" s="1">
        <f>T63+'.r file'!T69</f>
        <v>441</v>
      </c>
      <c r="U64" s="1">
        <f>U63+'.r file'!U69</f>
        <v>652.33000000000004</v>
      </c>
      <c r="V64" s="1">
        <f>V63+'.r file'!V69</f>
        <v>562</v>
      </c>
      <c r="W64" s="1">
        <f>W63+'.r file'!W69</f>
        <v>729</v>
      </c>
      <c r="X64" s="1">
        <f>X63+'.r file'!X69</f>
        <v>573</v>
      </c>
      <c r="Y64" s="1">
        <f>Y63+'.r file'!Y69</f>
        <v>478</v>
      </c>
      <c r="Z64" s="1">
        <f>Z63+'.r file'!Z69</f>
        <v>663.88</v>
      </c>
      <c r="AA64" s="1">
        <f>AA63+'.r file'!AA69</f>
        <v>496.22000000000008</v>
      </c>
      <c r="AB64" s="1">
        <f>AB63+'.r file'!AB69</f>
        <v>478.61000000000018</v>
      </c>
      <c r="AC64" s="1">
        <f>AC63+'.r file'!AC69</f>
        <v>529</v>
      </c>
      <c r="AD64" s="1">
        <f>AD63+'.r file'!AD69</f>
        <v>502.49999999999989</v>
      </c>
      <c r="AE64" s="1">
        <f>AE63+'.r file'!AE69</f>
        <v>342.11999999999995</v>
      </c>
      <c r="AF64" s="1">
        <f>AF63+'.r file'!AF69</f>
        <v>295.02</v>
      </c>
    </row>
    <row r="65" spans="1:32" x14ac:dyDescent="0.25">
      <c r="A65" s="6">
        <v>27055.958333333332</v>
      </c>
      <c r="B65" s="1">
        <f>B64+'.r file'!B70</f>
        <v>497.47000000000008</v>
      </c>
      <c r="C65" s="1">
        <f>C64+'.r file'!C70</f>
        <v>446.19999999999993</v>
      </c>
      <c r="D65" s="1">
        <f>D64+'.r file'!D70</f>
        <v>239</v>
      </c>
      <c r="E65" s="1">
        <f>E64+'.r file'!E70</f>
        <v>226</v>
      </c>
      <c r="F65" s="1">
        <f>F64+'.r file'!F70</f>
        <v>183.43</v>
      </c>
      <c r="G65" s="1">
        <f>G64+'.r file'!G70</f>
        <v>93.109999999999985</v>
      </c>
      <c r="H65" s="1">
        <f>H64+'.r file'!H70</f>
        <v>286</v>
      </c>
      <c r="I65" s="1">
        <f>I64+'.r file'!I70</f>
        <v>182.18</v>
      </c>
      <c r="J65" s="1">
        <f>J64+'.r file'!J70</f>
        <v>171</v>
      </c>
      <c r="K65" s="1">
        <f>K64+'.r file'!K70</f>
        <v>238</v>
      </c>
      <c r="L65" s="1">
        <f>L64+'.r file'!L70</f>
        <v>258.82000000000016</v>
      </c>
      <c r="M65" s="1">
        <f>M64+'.r file'!M70</f>
        <v>940</v>
      </c>
      <c r="N65" s="1">
        <f>N64+'.r file'!N70</f>
        <v>59.66</v>
      </c>
      <c r="O65" s="1">
        <f>O64+'.r file'!O70</f>
        <v>454</v>
      </c>
      <c r="P65" s="1">
        <f>P64+'.r file'!P70</f>
        <v>237.93000000000004</v>
      </c>
      <c r="Q65" s="1">
        <f>Q64+'.r file'!Q70</f>
        <v>238</v>
      </c>
      <c r="R65" s="1">
        <f>R64+'.r file'!R70</f>
        <v>340</v>
      </c>
      <c r="S65" s="1">
        <f>S64+'.r file'!S70</f>
        <v>397.76000000000005</v>
      </c>
      <c r="T65" s="1">
        <f>T64+'.r file'!T70</f>
        <v>454</v>
      </c>
      <c r="U65" s="1">
        <f>U64+'.r file'!U70</f>
        <v>679.28000000000009</v>
      </c>
      <c r="V65" s="1">
        <f>V64+'.r file'!V70</f>
        <v>572</v>
      </c>
      <c r="W65" s="1">
        <f>W64+'.r file'!W70</f>
        <v>755</v>
      </c>
      <c r="X65" s="1">
        <f>X64+'.r file'!X70</f>
        <v>592</v>
      </c>
      <c r="Y65" s="1">
        <f>Y64+'.r file'!Y70</f>
        <v>497</v>
      </c>
      <c r="Z65" s="1">
        <f>Z64+'.r file'!Z70</f>
        <v>682.36</v>
      </c>
      <c r="AA65" s="1">
        <f>AA64+'.r file'!AA70</f>
        <v>514.46</v>
      </c>
      <c r="AB65" s="1">
        <f>AB64+'.r file'!AB70</f>
        <v>492.87000000000018</v>
      </c>
      <c r="AC65" s="1">
        <f>AC64+'.r file'!AC70</f>
        <v>542</v>
      </c>
      <c r="AD65" s="1">
        <f>AD64+'.r file'!AD70</f>
        <v>514.39999999999986</v>
      </c>
      <c r="AE65" s="1">
        <f>AE64+'.r file'!AE70</f>
        <v>354.71999999999997</v>
      </c>
      <c r="AF65" s="1">
        <f>AF64+'.r file'!AF70</f>
        <v>311.06</v>
      </c>
    </row>
    <row r="66" spans="1:32" x14ac:dyDescent="0.25">
      <c r="A66" s="6">
        <v>27056</v>
      </c>
      <c r="B66" s="1">
        <f>B65+'.r file'!B71</f>
        <v>523.47</v>
      </c>
      <c r="C66" s="1">
        <f>C65+'.r file'!C71</f>
        <v>460.99999999999994</v>
      </c>
      <c r="D66" s="1">
        <f>D65+'.r file'!D71</f>
        <v>256</v>
      </c>
      <c r="E66" s="1">
        <f>E65+'.r file'!E71</f>
        <v>231</v>
      </c>
      <c r="F66" s="1">
        <f>F65+'.r file'!F71</f>
        <v>195.16</v>
      </c>
      <c r="G66" s="1">
        <f>G65+'.r file'!G71</f>
        <v>99.189999999999984</v>
      </c>
      <c r="H66" s="1">
        <f>H65+'.r file'!H71</f>
        <v>297</v>
      </c>
      <c r="I66" s="1">
        <f>I65+'.r file'!I71</f>
        <v>185.88</v>
      </c>
      <c r="J66" s="1">
        <f>J65+'.r file'!J71</f>
        <v>174</v>
      </c>
      <c r="K66" s="1">
        <f>K65+'.r file'!K71</f>
        <v>256</v>
      </c>
      <c r="L66" s="1">
        <f>L65+'.r file'!L71</f>
        <v>268.53000000000014</v>
      </c>
      <c r="M66" s="1">
        <f>M65+'.r file'!M71</f>
        <v>968</v>
      </c>
      <c r="N66" s="1">
        <f>N65+'.r file'!N71</f>
        <v>62.599999999999994</v>
      </c>
      <c r="O66" s="1">
        <f>O65+'.r file'!O71</f>
        <v>464</v>
      </c>
      <c r="P66" s="1">
        <f>P65+'.r file'!P71</f>
        <v>249.37000000000003</v>
      </c>
      <c r="Q66" s="1">
        <f>Q65+'.r file'!Q71</f>
        <v>256</v>
      </c>
      <c r="R66" s="1">
        <f>R65+'.r file'!R71</f>
        <v>348.06</v>
      </c>
      <c r="S66" s="1">
        <f>S65+'.r file'!S71</f>
        <v>407.44000000000005</v>
      </c>
      <c r="T66" s="1">
        <f>T65+'.r file'!T71</f>
        <v>461</v>
      </c>
      <c r="U66" s="1">
        <f>U65+'.r file'!U71</f>
        <v>698.18000000000006</v>
      </c>
      <c r="V66" s="1">
        <f>V65+'.r file'!V71</f>
        <v>588</v>
      </c>
      <c r="W66" s="1">
        <f>W65+'.r file'!W71</f>
        <v>776</v>
      </c>
      <c r="X66" s="1">
        <f>X65+'.r file'!X71</f>
        <v>613</v>
      </c>
      <c r="Y66" s="1">
        <f>Y65+'.r file'!Y71</f>
        <v>513</v>
      </c>
      <c r="Z66" s="1">
        <f>Z65+'.r file'!Z71</f>
        <v>700.18000000000006</v>
      </c>
      <c r="AA66" s="1">
        <f>AA65+'.r file'!AA71</f>
        <v>542.31000000000006</v>
      </c>
      <c r="AB66" s="1">
        <f>AB65+'.r file'!AB71</f>
        <v>506.12000000000018</v>
      </c>
      <c r="AC66" s="1">
        <f>AC65+'.r file'!AC71</f>
        <v>562</v>
      </c>
      <c r="AD66" s="1">
        <f>AD65+'.r file'!AD71</f>
        <v>528.69999999999982</v>
      </c>
      <c r="AE66" s="1">
        <f>AE65+'.r file'!AE71</f>
        <v>373.82</v>
      </c>
      <c r="AF66" s="1">
        <f>AF65+'.r file'!AF71</f>
        <v>327.34000000000003</v>
      </c>
    </row>
    <row r="67" spans="1:32" x14ac:dyDescent="0.25">
      <c r="A67" s="6">
        <v>27056.041666666668</v>
      </c>
      <c r="B67" s="1">
        <f>B66+'.r file'!B72</f>
        <v>544.96</v>
      </c>
      <c r="C67" s="1">
        <f>C66+'.r file'!C72</f>
        <v>476.49999999999994</v>
      </c>
      <c r="D67" s="1">
        <f>D66+'.r file'!D72</f>
        <v>274</v>
      </c>
      <c r="E67" s="1">
        <f>E66+'.r file'!E72</f>
        <v>241</v>
      </c>
      <c r="F67" s="1">
        <f>F66+'.r file'!F72</f>
        <v>206.39</v>
      </c>
      <c r="G67" s="1">
        <f>G66+'.r file'!G72</f>
        <v>106.61999999999998</v>
      </c>
      <c r="H67" s="1">
        <f>H66+'.r file'!H72</f>
        <v>306</v>
      </c>
      <c r="I67" s="1">
        <f>I66+'.r file'!I72</f>
        <v>189.38</v>
      </c>
      <c r="J67" s="1">
        <f>J66+'.r file'!J72</f>
        <v>179</v>
      </c>
      <c r="K67" s="1">
        <f>K66+'.r file'!K72</f>
        <v>268</v>
      </c>
      <c r="L67" s="1">
        <f>L66+'.r file'!L72</f>
        <v>278.24000000000012</v>
      </c>
      <c r="M67" s="1">
        <f>M66+'.r file'!M72</f>
        <v>1002</v>
      </c>
      <c r="N67" s="1">
        <f>N66+'.r file'!N72</f>
        <v>62.699999999999996</v>
      </c>
      <c r="O67" s="1">
        <f>O66+'.r file'!O72</f>
        <v>475</v>
      </c>
      <c r="P67" s="1">
        <f>P66+'.r file'!P72</f>
        <v>256.89000000000004</v>
      </c>
      <c r="Q67" s="1">
        <f>Q66+'.r file'!Q72</f>
        <v>268</v>
      </c>
      <c r="R67" s="1">
        <f>R66+'.r file'!R72</f>
        <v>353.95</v>
      </c>
      <c r="S67" s="1">
        <f>S66+'.r file'!S72</f>
        <v>412.06000000000006</v>
      </c>
      <c r="T67" s="1">
        <f>T66+'.r file'!T72</f>
        <v>469</v>
      </c>
      <c r="U67" s="1">
        <f>U66+'.r file'!U72</f>
        <v>716.7600000000001</v>
      </c>
      <c r="V67" s="1">
        <f>V66+'.r file'!V72</f>
        <v>597</v>
      </c>
      <c r="W67" s="1">
        <f>W66+'.r file'!W72</f>
        <v>795</v>
      </c>
      <c r="X67" s="1">
        <f>X66+'.r file'!X72</f>
        <v>633</v>
      </c>
      <c r="Y67" s="1">
        <f>Y66+'.r file'!Y72</f>
        <v>528</v>
      </c>
      <c r="Z67" s="1">
        <f>Z66+'.r file'!Z72</f>
        <v>722.2700000000001</v>
      </c>
      <c r="AA67" s="1">
        <f>AA66+'.r file'!AA72</f>
        <v>553.55000000000007</v>
      </c>
      <c r="AB67" s="1">
        <f>AB66+'.r file'!AB72</f>
        <v>526.82000000000016</v>
      </c>
      <c r="AC67" s="1">
        <f>AC66+'.r file'!AC72</f>
        <v>582</v>
      </c>
      <c r="AD67" s="1">
        <f>AD66+'.r file'!AD72</f>
        <v>535.5999999999998</v>
      </c>
      <c r="AE67" s="1">
        <f>AE66+'.r file'!AE72</f>
        <v>386.32</v>
      </c>
      <c r="AF67" s="1">
        <f>AF66+'.r file'!AF72</f>
        <v>354.26000000000005</v>
      </c>
    </row>
    <row r="68" spans="1:32" x14ac:dyDescent="0.25">
      <c r="A68" s="6">
        <v>27056.083333333332</v>
      </c>
      <c r="B68" s="1">
        <f>B67+'.r file'!B73</f>
        <v>557.58000000000004</v>
      </c>
      <c r="C68" s="1">
        <f>C67+'.r file'!C73</f>
        <v>488.19999999999993</v>
      </c>
      <c r="D68" s="1">
        <f>D67+'.r file'!D73</f>
        <v>283</v>
      </c>
      <c r="E68" s="1">
        <f>E67+'.r file'!E73</f>
        <v>247</v>
      </c>
      <c r="F68" s="1">
        <f>F67+'.r file'!F73</f>
        <v>211.39999999999998</v>
      </c>
      <c r="G68" s="1">
        <f>G67+'.r file'!G73</f>
        <v>118.00999999999998</v>
      </c>
      <c r="H68" s="1">
        <f>H67+'.r file'!H73</f>
        <v>312</v>
      </c>
      <c r="I68" s="1">
        <f>I67+'.r file'!I73</f>
        <v>194.22</v>
      </c>
      <c r="J68" s="1">
        <f>J67+'.r file'!J73</f>
        <v>186</v>
      </c>
      <c r="K68" s="1">
        <f>K67+'.r file'!K73</f>
        <v>286</v>
      </c>
      <c r="L68" s="1">
        <f>L67+'.r file'!L73</f>
        <v>287.9500000000001</v>
      </c>
      <c r="M68" s="1">
        <f>M67+'.r file'!M73</f>
        <v>1035</v>
      </c>
      <c r="N68" s="1">
        <f>N67+'.r file'!N73</f>
        <v>63.099999999999994</v>
      </c>
      <c r="O68" s="1">
        <f>O67+'.r file'!O73</f>
        <v>487</v>
      </c>
      <c r="P68" s="1">
        <f>P67+'.r file'!P73</f>
        <v>262.37000000000006</v>
      </c>
      <c r="Q68" s="1">
        <f>Q67+'.r file'!Q73</f>
        <v>286</v>
      </c>
      <c r="R68" s="1">
        <f>R67+'.r file'!R73</f>
        <v>356.21</v>
      </c>
      <c r="S68" s="1">
        <f>S67+'.r file'!S73</f>
        <v>417.39000000000004</v>
      </c>
      <c r="T68" s="1">
        <f>T67+'.r file'!T73</f>
        <v>480</v>
      </c>
      <c r="U68" s="1">
        <f>U67+'.r file'!U73</f>
        <v>724.5200000000001</v>
      </c>
      <c r="V68" s="1">
        <f>V67+'.r file'!V73</f>
        <v>611</v>
      </c>
      <c r="W68" s="1">
        <f>W67+'.r file'!W73</f>
        <v>804</v>
      </c>
      <c r="X68" s="1">
        <f>X67+'.r file'!X73</f>
        <v>655</v>
      </c>
      <c r="Y68" s="1">
        <f>Y67+'.r file'!Y73</f>
        <v>542</v>
      </c>
      <c r="Z68" s="1">
        <f>Z67+'.r file'!Z73</f>
        <v>730.38000000000011</v>
      </c>
      <c r="AA68" s="1">
        <f>AA67+'.r file'!AA73</f>
        <v>561.82000000000005</v>
      </c>
      <c r="AB68" s="1">
        <f>AB67+'.r file'!AB73</f>
        <v>537.70000000000016</v>
      </c>
      <c r="AC68" s="1">
        <f>AC67+'.r file'!AC73</f>
        <v>598</v>
      </c>
      <c r="AD68" s="1">
        <f>AD67+'.r file'!AD73</f>
        <v>542.49999999999977</v>
      </c>
      <c r="AE68" s="1">
        <f>AE67+'.r file'!AE73</f>
        <v>403.32</v>
      </c>
      <c r="AF68" s="1">
        <f>AF67+'.r file'!AF73</f>
        <v>391.24000000000007</v>
      </c>
    </row>
    <row r="69" spans="1:32" x14ac:dyDescent="0.25">
      <c r="A69" s="6">
        <v>27056.125</v>
      </c>
      <c r="B69" s="1">
        <f>B68+'.r file'!B74</f>
        <v>569.5200000000001</v>
      </c>
      <c r="C69" s="1">
        <f>C68+'.r file'!C74</f>
        <v>496.29999999999995</v>
      </c>
      <c r="D69" s="1">
        <f>D68+'.r file'!D74</f>
        <v>291</v>
      </c>
      <c r="E69" s="1">
        <f>E68+'.r file'!E74</f>
        <v>254</v>
      </c>
      <c r="F69" s="1">
        <f>F68+'.r file'!F74</f>
        <v>223.11999999999998</v>
      </c>
      <c r="G69" s="1">
        <f>G68+'.r file'!G74</f>
        <v>124.76999999999998</v>
      </c>
      <c r="H69" s="1">
        <f>H68+'.r file'!H74</f>
        <v>319</v>
      </c>
      <c r="I69" s="1">
        <f>I68+'.r file'!I74</f>
        <v>199.08</v>
      </c>
      <c r="J69" s="1">
        <f>J68+'.r file'!J74</f>
        <v>192</v>
      </c>
      <c r="K69" s="1">
        <f>K68+'.r file'!K74</f>
        <v>298</v>
      </c>
      <c r="L69" s="1">
        <f>L68+'.r file'!L74</f>
        <v>297.66000000000008</v>
      </c>
      <c r="M69" s="1">
        <f>M68+'.r file'!M74</f>
        <v>1051</v>
      </c>
      <c r="N69" s="1">
        <f>N68+'.r file'!N74</f>
        <v>71.47</v>
      </c>
      <c r="O69" s="1">
        <f>O68+'.r file'!O74</f>
        <v>497</v>
      </c>
      <c r="P69" s="1">
        <f>P68+'.r file'!P74</f>
        <v>266.32000000000005</v>
      </c>
      <c r="Q69" s="1">
        <f>Q68+'.r file'!Q74</f>
        <v>298</v>
      </c>
      <c r="R69" s="1">
        <f>R68+'.r file'!R74</f>
        <v>361.04999999999995</v>
      </c>
      <c r="S69" s="1">
        <f>S68+'.r file'!S74</f>
        <v>421.89000000000004</v>
      </c>
      <c r="T69" s="1">
        <f>T68+'.r file'!T74</f>
        <v>485</v>
      </c>
      <c r="U69" s="1">
        <f>U68+'.r file'!U74</f>
        <v>745.24000000000012</v>
      </c>
      <c r="V69" s="1">
        <f>V68+'.r file'!V74</f>
        <v>617</v>
      </c>
      <c r="W69" s="1">
        <f>W68+'.r file'!W74</f>
        <v>816</v>
      </c>
      <c r="X69" s="1">
        <f>X68+'.r file'!X74</f>
        <v>677</v>
      </c>
      <c r="Y69" s="1">
        <f>Y68+'.r file'!Y74</f>
        <v>549</v>
      </c>
      <c r="Z69" s="1">
        <f>Z68+'.r file'!Z74</f>
        <v>742.8900000000001</v>
      </c>
      <c r="AA69" s="1">
        <f>AA68+'.r file'!AA74</f>
        <v>571.66000000000008</v>
      </c>
      <c r="AB69" s="1">
        <f>AB68+'.r file'!AB74</f>
        <v>546.31000000000017</v>
      </c>
      <c r="AC69" s="1">
        <f>AC68+'.r file'!AC74</f>
        <v>615</v>
      </c>
      <c r="AD69" s="1">
        <f>AD68+'.r file'!AD74</f>
        <v>546.89999999999975</v>
      </c>
      <c r="AE69" s="1">
        <f>AE68+'.r file'!AE74</f>
        <v>424.89</v>
      </c>
      <c r="AF69" s="1">
        <f>AF68+'.r file'!AF74</f>
        <v>413.10000000000008</v>
      </c>
    </row>
    <row r="70" spans="1:32" x14ac:dyDescent="0.25">
      <c r="A70" s="6">
        <v>27056.166666666668</v>
      </c>
      <c r="B70" s="1">
        <f>B69+'.r file'!B75</f>
        <v>584.16000000000008</v>
      </c>
      <c r="C70" s="1">
        <f>C69+'.r file'!C75</f>
        <v>502.4</v>
      </c>
      <c r="D70" s="1">
        <f>D69+'.r file'!D75</f>
        <v>303</v>
      </c>
      <c r="E70" s="1">
        <f>E69+'.r file'!E75</f>
        <v>260</v>
      </c>
      <c r="F70" s="1">
        <f>F69+'.r file'!F75</f>
        <v>237.08999999999997</v>
      </c>
      <c r="G70" s="1">
        <f>G69+'.r file'!G75</f>
        <v>138.55999999999997</v>
      </c>
      <c r="H70" s="1">
        <f>H69+'.r file'!H75</f>
        <v>325</v>
      </c>
      <c r="I70" s="1">
        <f>I69+'.r file'!I75</f>
        <v>203.35000000000002</v>
      </c>
      <c r="J70" s="1">
        <f>J69+'.r file'!J75</f>
        <v>199</v>
      </c>
      <c r="K70" s="1">
        <f>K69+'.r file'!K75</f>
        <v>315</v>
      </c>
      <c r="L70" s="1">
        <f>L69+'.r file'!L75</f>
        <v>307.37000000000006</v>
      </c>
      <c r="M70" s="1">
        <f>M69+'.r file'!M75</f>
        <v>1071</v>
      </c>
      <c r="N70" s="1">
        <f>N69+'.r file'!N75</f>
        <v>71.5</v>
      </c>
      <c r="O70" s="1">
        <f>O69+'.r file'!O75</f>
        <v>504</v>
      </c>
      <c r="P70" s="1">
        <f>P69+'.r file'!P75</f>
        <v>278.18000000000006</v>
      </c>
      <c r="Q70" s="1">
        <f>Q69+'.r file'!Q75</f>
        <v>315</v>
      </c>
      <c r="R70" s="1">
        <f>R69+'.r file'!R75</f>
        <v>364.21</v>
      </c>
      <c r="S70" s="1">
        <f>S69+'.r file'!S75</f>
        <v>424.93000000000006</v>
      </c>
      <c r="T70" s="1">
        <f>T69+'.r file'!T75</f>
        <v>488</v>
      </c>
      <c r="U70" s="1">
        <f>U69+'.r file'!U75</f>
        <v>755.74000000000012</v>
      </c>
      <c r="V70" s="1">
        <f>V69+'.r file'!V75</f>
        <v>622</v>
      </c>
      <c r="W70" s="1">
        <f>W69+'.r file'!W75</f>
        <v>827</v>
      </c>
      <c r="X70" s="1">
        <f>X69+'.r file'!X75</f>
        <v>690</v>
      </c>
      <c r="Y70" s="1">
        <f>Y69+'.r file'!Y75</f>
        <v>552</v>
      </c>
      <c r="Z70" s="1">
        <f>Z69+'.r file'!Z75</f>
        <v>749.53000000000009</v>
      </c>
      <c r="AA70" s="1">
        <f>AA69+'.r file'!AA75</f>
        <v>576.21</v>
      </c>
      <c r="AB70" s="1">
        <f>AB69+'.r file'!AB75</f>
        <v>553.12000000000012</v>
      </c>
      <c r="AC70" s="1">
        <f>AC69+'.r file'!AC75</f>
        <v>617</v>
      </c>
      <c r="AD70" s="1">
        <f>AD69+'.r file'!AD75</f>
        <v>554.99999999999977</v>
      </c>
      <c r="AE70" s="1">
        <f>AE69+'.r file'!AE75</f>
        <v>446.52</v>
      </c>
      <c r="AF70" s="1">
        <f>AF69+'.r file'!AF75</f>
        <v>424.22000000000008</v>
      </c>
    </row>
    <row r="71" spans="1:32" x14ac:dyDescent="0.25">
      <c r="A71" s="6">
        <v>27056.208333333332</v>
      </c>
      <c r="B71" s="1">
        <f>B70+'.r file'!B76</f>
        <v>591.62000000000012</v>
      </c>
      <c r="C71" s="1">
        <f>C70+'.r file'!C76</f>
        <v>506.79999999999995</v>
      </c>
      <c r="D71" s="1">
        <f>D70+'.r file'!D76</f>
        <v>310</v>
      </c>
      <c r="E71" s="1">
        <f>E70+'.r file'!E76</f>
        <v>270</v>
      </c>
      <c r="F71" s="1">
        <f>F70+'.r file'!F76</f>
        <v>245.64</v>
      </c>
      <c r="G71" s="1">
        <f>G70+'.r file'!G76</f>
        <v>147.62999999999997</v>
      </c>
      <c r="H71" s="1">
        <f>H70+'.r file'!H76</f>
        <v>330</v>
      </c>
      <c r="I71" s="1">
        <f>I70+'.r file'!I76</f>
        <v>210.45000000000002</v>
      </c>
      <c r="J71" s="1">
        <f>J70+'.r file'!J76</f>
        <v>208</v>
      </c>
      <c r="K71" s="1">
        <f>K70+'.r file'!K76</f>
        <v>327</v>
      </c>
      <c r="L71" s="1">
        <f>L70+'.r file'!L76</f>
        <v>317.08000000000004</v>
      </c>
      <c r="M71" s="1">
        <f>M70+'.r file'!M76</f>
        <v>1094</v>
      </c>
      <c r="N71" s="1">
        <f>N70+'.r file'!N76</f>
        <v>71.5</v>
      </c>
      <c r="O71" s="1">
        <f>O70+'.r file'!O76</f>
        <v>513</v>
      </c>
      <c r="P71" s="1">
        <f>P70+'.r file'!P76</f>
        <v>285.72000000000008</v>
      </c>
      <c r="Q71" s="1">
        <f>Q70+'.r file'!Q76</f>
        <v>327</v>
      </c>
      <c r="R71" s="1">
        <f>R70+'.r file'!R76</f>
        <v>371.04999999999995</v>
      </c>
      <c r="S71" s="1">
        <f>S70+'.r file'!S76</f>
        <v>428.14000000000004</v>
      </c>
      <c r="T71" s="1">
        <f>T70+'.r file'!T76</f>
        <v>496</v>
      </c>
      <c r="U71" s="1">
        <f>U70+'.r file'!U76</f>
        <v>763.94000000000017</v>
      </c>
      <c r="V71" s="1">
        <f>V70+'.r file'!V76</f>
        <v>636</v>
      </c>
      <c r="W71" s="1">
        <f>W70+'.r file'!W76</f>
        <v>837</v>
      </c>
      <c r="X71" s="1">
        <f>X70+'.r file'!X76</f>
        <v>699</v>
      </c>
      <c r="Y71" s="1">
        <f>Y70+'.r file'!Y76</f>
        <v>554</v>
      </c>
      <c r="Z71" s="1">
        <f>Z70+'.r file'!Z76</f>
        <v>756.0100000000001</v>
      </c>
      <c r="AA71" s="1">
        <f>AA70+'.r file'!AA76</f>
        <v>582.46</v>
      </c>
      <c r="AB71" s="1">
        <f>AB70+'.r file'!AB76</f>
        <v>555.91000000000008</v>
      </c>
      <c r="AC71" s="1">
        <f>AC70+'.r file'!AC76</f>
        <v>617</v>
      </c>
      <c r="AD71" s="1">
        <f>AD70+'.r file'!AD76</f>
        <v>558.69999999999982</v>
      </c>
      <c r="AE71" s="1">
        <f>AE70+'.r file'!AE76</f>
        <v>455.22999999999996</v>
      </c>
      <c r="AF71" s="1">
        <f>AF70+'.r file'!AF76</f>
        <v>427.35000000000008</v>
      </c>
    </row>
    <row r="72" spans="1:32" x14ac:dyDescent="0.25">
      <c r="A72" s="6">
        <v>27056.25</v>
      </c>
      <c r="B72" s="1">
        <f>B71+'.r file'!B77</f>
        <v>598.08000000000015</v>
      </c>
      <c r="C72" s="1">
        <f>C71+'.r file'!C77</f>
        <v>514.19999999999993</v>
      </c>
      <c r="D72" s="1">
        <f>D71+'.r file'!D77</f>
        <v>313</v>
      </c>
      <c r="E72" s="1">
        <f>E71+'.r file'!E77</f>
        <v>281</v>
      </c>
      <c r="F72" s="1">
        <f>F71+'.r file'!F77</f>
        <v>250.67999999999998</v>
      </c>
      <c r="G72" s="1">
        <f>G71+'.r file'!G77</f>
        <v>160.77999999999997</v>
      </c>
      <c r="H72" s="1">
        <f>H71+'.r file'!H77</f>
        <v>337</v>
      </c>
      <c r="I72" s="1">
        <f>I71+'.r file'!I77</f>
        <v>216.68</v>
      </c>
      <c r="J72" s="1">
        <f>J71+'.r file'!J77</f>
        <v>217</v>
      </c>
      <c r="K72" s="1">
        <f>K71+'.r file'!K77</f>
        <v>347</v>
      </c>
      <c r="L72" s="1">
        <f>L71+'.r file'!L77</f>
        <v>326.79000000000002</v>
      </c>
      <c r="M72" s="1">
        <f>M71+'.r file'!M77</f>
        <v>1113</v>
      </c>
      <c r="N72" s="1">
        <f>N71+'.r file'!N77</f>
        <v>71.5</v>
      </c>
      <c r="O72" s="1">
        <f>O71+'.r file'!O77</f>
        <v>522</v>
      </c>
      <c r="P72" s="1">
        <f>P71+'.r file'!P77</f>
        <v>296.09000000000009</v>
      </c>
      <c r="Q72" s="1">
        <f>Q71+'.r file'!Q77</f>
        <v>347</v>
      </c>
      <c r="R72" s="1">
        <f>R71+'.r file'!R77</f>
        <v>376.16999999999996</v>
      </c>
      <c r="S72" s="1">
        <f>S71+'.r file'!S77</f>
        <v>432.17</v>
      </c>
      <c r="T72" s="1">
        <f>T71+'.r file'!T77</f>
        <v>504</v>
      </c>
      <c r="U72" s="1">
        <f>U71+'.r file'!U77</f>
        <v>774.70000000000016</v>
      </c>
      <c r="V72" s="1">
        <f>V71+'.r file'!V77</f>
        <v>642</v>
      </c>
      <c r="W72" s="1">
        <f>W71+'.r file'!W77</f>
        <v>847</v>
      </c>
      <c r="X72" s="1">
        <f>X71+'.r file'!X77</f>
        <v>702</v>
      </c>
      <c r="Y72" s="1">
        <f>Y71+'.r file'!Y77</f>
        <v>558</v>
      </c>
      <c r="Z72" s="1">
        <f>Z71+'.r file'!Z77</f>
        <v>761.5100000000001</v>
      </c>
      <c r="AA72" s="1">
        <f>AA71+'.r file'!AA77</f>
        <v>585.97</v>
      </c>
      <c r="AB72" s="1">
        <f>AB71+'.r file'!AB77</f>
        <v>556.83000000000004</v>
      </c>
      <c r="AC72" s="1">
        <f>AC71+'.r file'!AC77</f>
        <v>618</v>
      </c>
      <c r="AD72" s="1">
        <f>AD71+'.r file'!AD77</f>
        <v>564.39999999999986</v>
      </c>
      <c r="AE72" s="1">
        <f>AE71+'.r file'!AE77</f>
        <v>470.25999999999993</v>
      </c>
      <c r="AF72" s="1">
        <f>AF71+'.r file'!AF77</f>
        <v>434.97000000000008</v>
      </c>
    </row>
    <row r="73" spans="1:32" x14ac:dyDescent="0.25">
      <c r="A73" s="6">
        <v>27056.291666666668</v>
      </c>
      <c r="B73" s="1">
        <f>B72+'.r file'!B78</f>
        <v>611.4100000000002</v>
      </c>
      <c r="C73" s="1">
        <f>C72+'.r file'!C78</f>
        <v>524.09999999999991</v>
      </c>
      <c r="D73" s="1">
        <f>D72+'.r file'!D78</f>
        <v>319</v>
      </c>
      <c r="E73" s="1">
        <f>E72+'.r file'!E78</f>
        <v>287</v>
      </c>
      <c r="F73" s="1">
        <f>F72+'.r file'!F78</f>
        <v>257.20999999999998</v>
      </c>
      <c r="G73" s="1">
        <f>G72+'.r file'!G78</f>
        <v>166.12999999999997</v>
      </c>
      <c r="H73" s="1">
        <f>H72+'.r file'!H78</f>
        <v>347</v>
      </c>
      <c r="I73" s="1">
        <f>I72+'.r file'!I78</f>
        <v>219.15</v>
      </c>
      <c r="J73" s="1">
        <f>J72+'.r file'!J78</f>
        <v>221</v>
      </c>
      <c r="K73" s="1">
        <f>K72+'.r file'!K78</f>
        <v>355</v>
      </c>
      <c r="L73" s="1">
        <f>L72+'.r file'!L78</f>
        <v>336.5</v>
      </c>
      <c r="M73" s="1">
        <f>M72+'.r file'!M78</f>
        <v>1127</v>
      </c>
      <c r="N73" s="1">
        <f>N72+'.r file'!N78</f>
        <v>71.5</v>
      </c>
      <c r="O73" s="1">
        <f>O72+'.r file'!O78</f>
        <v>533</v>
      </c>
      <c r="P73" s="1">
        <f>P72+'.r file'!P78</f>
        <v>300.72000000000008</v>
      </c>
      <c r="Q73" s="1">
        <f>Q72+'.r file'!Q78</f>
        <v>355</v>
      </c>
      <c r="R73" s="1">
        <f>R72+'.r file'!R78</f>
        <v>381.62999999999994</v>
      </c>
      <c r="S73" s="1">
        <f>S72+'.r file'!S78</f>
        <v>438.3</v>
      </c>
      <c r="T73" s="1">
        <f>T72+'.r file'!T78</f>
        <v>509</v>
      </c>
      <c r="U73" s="1">
        <f>U72+'.r file'!U78</f>
        <v>781.77000000000021</v>
      </c>
      <c r="V73" s="1">
        <f>V72+'.r file'!V78</f>
        <v>647</v>
      </c>
      <c r="W73" s="1">
        <f>W72+'.r file'!W78</f>
        <v>852</v>
      </c>
      <c r="X73" s="1">
        <f>X72+'.r file'!X78</f>
        <v>704</v>
      </c>
      <c r="Y73" s="1">
        <f>Y72+'.r file'!Y78</f>
        <v>560</v>
      </c>
      <c r="Z73" s="1">
        <f>Z72+'.r file'!Z78</f>
        <v>766.54000000000008</v>
      </c>
      <c r="AA73" s="1">
        <f>AA72+'.r file'!AA78</f>
        <v>590.73</v>
      </c>
      <c r="AB73" s="1">
        <f>AB72+'.r file'!AB78</f>
        <v>560.67000000000007</v>
      </c>
      <c r="AC73" s="1">
        <f>AC72+'.r file'!AC78</f>
        <v>620</v>
      </c>
      <c r="AD73" s="1">
        <f>AD72+'.r file'!AD78</f>
        <v>569.99999999999989</v>
      </c>
      <c r="AE73" s="1">
        <f>AE72+'.r file'!AE78</f>
        <v>478.99999999999994</v>
      </c>
      <c r="AF73" s="1">
        <f>AF72+'.r file'!AF78</f>
        <v>439.71000000000009</v>
      </c>
    </row>
    <row r="74" spans="1:32" x14ac:dyDescent="0.25">
      <c r="A74" s="6">
        <v>27056.333333333332</v>
      </c>
      <c r="B74" s="1">
        <f>B73+'.r file'!B79</f>
        <v>616.18000000000018</v>
      </c>
      <c r="C74" s="1">
        <f>C73+'.r file'!C79</f>
        <v>527.19999999999993</v>
      </c>
      <c r="D74" s="1">
        <f>D73+'.r file'!D79</f>
        <v>321</v>
      </c>
      <c r="E74" s="1">
        <f>E73+'.r file'!E79</f>
        <v>290</v>
      </c>
      <c r="F74" s="1">
        <f>F73+'.r file'!F79</f>
        <v>258.68</v>
      </c>
      <c r="G74" s="1">
        <f>G73+'.r file'!G79</f>
        <v>173.92999999999998</v>
      </c>
      <c r="H74" s="1">
        <f>H73+'.r file'!H79</f>
        <v>349</v>
      </c>
      <c r="I74" s="1">
        <f>I73+'.r file'!I79</f>
        <v>221.35</v>
      </c>
      <c r="J74" s="1">
        <f>J73+'.r file'!J79</f>
        <v>222</v>
      </c>
      <c r="K74" s="1">
        <f>K73+'.r file'!K79</f>
        <v>373</v>
      </c>
      <c r="L74" s="1">
        <f>L73+'.r file'!L79</f>
        <v>346.21</v>
      </c>
      <c r="M74" s="1">
        <f>M73+'.r file'!M79</f>
        <v>1137</v>
      </c>
      <c r="N74" s="1">
        <f>N73+'.r file'!N79</f>
        <v>71.5</v>
      </c>
      <c r="O74" s="1">
        <f>O73+'.r file'!O79</f>
        <v>544</v>
      </c>
      <c r="P74" s="1">
        <f>P73+'.r file'!P79</f>
        <v>304.73000000000008</v>
      </c>
      <c r="Q74" s="1">
        <f>Q73+'.r file'!Q79</f>
        <v>373</v>
      </c>
      <c r="R74" s="1">
        <f>R73+'.r file'!R79</f>
        <v>387.63999999999993</v>
      </c>
      <c r="S74" s="1">
        <f>S73+'.r file'!S79</f>
        <v>442.73</v>
      </c>
      <c r="T74" s="1">
        <f>T73+'.r file'!T79</f>
        <v>511</v>
      </c>
      <c r="U74" s="1">
        <f>U73+'.r file'!U79</f>
        <v>790.24000000000024</v>
      </c>
      <c r="V74" s="1">
        <f>V73+'.r file'!V79</f>
        <v>649</v>
      </c>
      <c r="W74" s="1">
        <f>W73+'.r file'!W79</f>
        <v>863</v>
      </c>
      <c r="X74" s="1">
        <f>X73+'.r file'!X79</f>
        <v>710</v>
      </c>
      <c r="Y74" s="1">
        <f>Y73+'.r file'!Y79</f>
        <v>569</v>
      </c>
      <c r="Z74" s="1">
        <f>Z73+'.r file'!Z79</f>
        <v>776.24000000000012</v>
      </c>
      <c r="AA74" s="1">
        <f>AA73+'.r file'!AA79</f>
        <v>596.94000000000005</v>
      </c>
      <c r="AB74" s="1">
        <f>AB73+'.r file'!AB79</f>
        <v>565.21</v>
      </c>
      <c r="AC74" s="1">
        <f>AC73+'.r file'!AC79</f>
        <v>623</v>
      </c>
      <c r="AD74" s="1">
        <f>AD73+'.r file'!AD79</f>
        <v>573.69999999999993</v>
      </c>
      <c r="AE74" s="1">
        <f>AE73+'.r file'!AE79</f>
        <v>482.85999999999996</v>
      </c>
      <c r="AF74" s="1">
        <f>AF73+'.r file'!AF79</f>
        <v>444.98000000000008</v>
      </c>
    </row>
    <row r="75" spans="1:32" x14ac:dyDescent="0.25">
      <c r="A75" s="6">
        <v>27056.375</v>
      </c>
      <c r="B75" s="1">
        <f>B74+'.r file'!B80</f>
        <v>619.94000000000017</v>
      </c>
      <c r="C75" s="1">
        <f>C74+'.r file'!C80</f>
        <v>529.59999999999991</v>
      </c>
      <c r="D75" s="1">
        <f>D74+'.r file'!D80</f>
        <v>323</v>
      </c>
      <c r="E75" s="1">
        <f>E74+'.r file'!E80</f>
        <v>295</v>
      </c>
      <c r="F75" s="1">
        <f>F74+'.r file'!F80</f>
        <v>261.48</v>
      </c>
      <c r="G75" s="1">
        <f>G74+'.r file'!G80</f>
        <v>180.17999999999998</v>
      </c>
      <c r="H75" s="1">
        <f>H74+'.r file'!H80</f>
        <v>350</v>
      </c>
      <c r="I75" s="1">
        <f>I74+'.r file'!I80</f>
        <v>225.01999999999998</v>
      </c>
      <c r="J75" s="1">
        <f>J74+'.r file'!J80</f>
        <v>225</v>
      </c>
      <c r="K75" s="1">
        <f>K74+'.r file'!K80</f>
        <v>382</v>
      </c>
      <c r="L75" s="1">
        <f>L74+'.r file'!L80</f>
        <v>355.91999999999996</v>
      </c>
      <c r="M75" s="1">
        <f>M74+'.r file'!M80</f>
        <v>1150</v>
      </c>
      <c r="N75" s="1">
        <f>N74+'.r file'!N80</f>
        <v>71.5</v>
      </c>
      <c r="O75" s="1">
        <f>O74+'.r file'!O80</f>
        <v>555</v>
      </c>
      <c r="P75" s="1">
        <f>P74+'.r file'!P80</f>
        <v>304.80000000000007</v>
      </c>
      <c r="Q75" s="1">
        <f>Q74+'.r file'!Q80</f>
        <v>382</v>
      </c>
      <c r="R75" s="1">
        <f>R74+'.r file'!R80</f>
        <v>393.50999999999993</v>
      </c>
      <c r="S75" s="1">
        <f>S74+'.r file'!S80</f>
        <v>445.53000000000003</v>
      </c>
      <c r="T75" s="1">
        <f>T74+'.r file'!T80</f>
        <v>513</v>
      </c>
      <c r="U75" s="1">
        <f>U74+'.r file'!U80</f>
        <v>792.19000000000028</v>
      </c>
      <c r="V75" s="1">
        <f>V74+'.r file'!V80</f>
        <v>659</v>
      </c>
      <c r="W75" s="1">
        <f>W74+'.r file'!W80</f>
        <v>868</v>
      </c>
      <c r="X75" s="1">
        <f>X74+'.r file'!X80</f>
        <v>716</v>
      </c>
      <c r="Y75" s="1">
        <f>Y74+'.r file'!Y80</f>
        <v>574</v>
      </c>
      <c r="Z75" s="1">
        <f>Z74+'.r file'!Z80</f>
        <v>779.91000000000008</v>
      </c>
      <c r="AA75" s="1">
        <f>AA74+'.r file'!AA80</f>
        <v>600.5100000000001</v>
      </c>
      <c r="AB75" s="1">
        <f>AB74+'.r file'!AB80</f>
        <v>568.34</v>
      </c>
      <c r="AC75" s="1">
        <f>AC74+'.r file'!AC80</f>
        <v>626</v>
      </c>
      <c r="AD75" s="1">
        <f>AD74+'.r file'!AD80</f>
        <v>578.69999999999993</v>
      </c>
      <c r="AE75" s="1">
        <f>AE74+'.r file'!AE80</f>
        <v>486.71999999999997</v>
      </c>
      <c r="AF75" s="1">
        <f>AF74+'.r file'!AF80</f>
        <v>453.04000000000008</v>
      </c>
    </row>
    <row r="76" spans="1:32" x14ac:dyDescent="0.25">
      <c r="A76" s="6">
        <v>27056.416666666668</v>
      </c>
      <c r="B76" s="1">
        <f>B75+'.r file'!B81</f>
        <v>626.9100000000002</v>
      </c>
      <c r="C76" s="1">
        <f>C75+'.r file'!C81</f>
        <v>535.19999999999993</v>
      </c>
      <c r="D76" s="1">
        <f>D75+'.r file'!D81</f>
        <v>325</v>
      </c>
      <c r="E76" s="1">
        <f>E75+'.r file'!E81</f>
        <v>296</v>
      </c>
      <c r="F76" s="1">
        <f>F75+'.r file'!F81</f>
        <v>262.28000000000003</v>
      </c>
      <c r="G76" s="1">
        <f>G75+'.r file'!G81</f>
        <v>181.39999999999998</v>
      </c>
      <c r="H76" s="1">
        <f>H75+'.r file'!H81</f>
        <v>352</v>
      </c>
      <c r="I76" s="1">
        <f>I75+'.r file'!I81</f>
        <v>227.2</v>
      </c>
      <c r="J76" s="1">
        <f>J75+'.r file'!J81</f>
        <v>227</v>
      </c>
      <c r="K76" s="1">
        <f>K75+'.r file'!K81</f>
        <v>389</v>
      </c>
      <c r="L76" s="1">
        <f>L75+'.r file'!L81</f>
        <v>357.49999999999994</v>
      </c>
      <c r="M76" s="1">
        <f>M75+'.r file'!M81</f>
        <v>1159</v>
      </c>
      <c r="N76" s="1">
        <f>N75+'.r file'!N81</f>
        <v>71.5</v>
      </c>
      <c r="O76" s="1">
        <f>O75+'.r file'!O81</f>
        <v>559</v>
      </c>
      <c r="P76" s="1">
        <f>P75+'.r file'!P81</f>
        <v>304.80000000000007</v>
      </c>
      <c r="Q76" s="1">
        <f>Q75+'.r file'!Q81</f>
        <v>389</v>
      </c>
      <c r="R76" s="1">
        <f>R75+'.r file'!R81</f>
        <v>400.42999999999995</v>
      </c>
      <c r="S76" s="1">
        <f>S75+'.r file'!S81</f>
        <v>448.23</v>
      </c>
      <c r="T76" s="1">
        <f>T75+'.r file'!T81</f>
        <v>515</v>
      </c>
      <c r="U76" s="1">
        <f>U75+'.r file'!U81</f>
        <v>796.0500000000003</v>
      </c>
      <c r="V76" s="1">
        <f>V75+'.r file'!V81</f>
        <v>661</v>
      </c>
      <c r="W76" s="1">
        <f>W75+'.r file'!W81</f>
        <v>871</v>
      </c>
      <c r="X76" s="1">
        <f>X75+'.r file'!X81</f>
        <v>723</v>
      </c>
      <c r="Y76" s="1">
        <f>Y75+'.r file'!Y81</f>
        <v>577</v>
      </c>
      <c r="Z76" s="1">
        <f>Z75+'.r file'!Z81</f>
        <v>783.41000000000008</v>
      </c>
      <c r="AA76" s="1">
        <f>AA75+'.r file'!AA81</f>
        <v>603.91000000000008</v>
      </c>
      <c r="AB76" s="1">
        <f>AB75+'.r file'!AB81</f>
        <v>571.51</v>
      </c>
      <c r="AC76" s="1">
        <f>AC75+'.r file'!AC81</f>
        <v>630</v>
      </c>
      <c r="AD76" s="1">
        <f>AD75+'.r file'!AD81</f>
        <v>579.99999999999989</v>
      </c>
      <c r="AE76" s="1">
        <f>AE75+'.r file'!AE81</f>
        <v>500.86999999999995</v>
      </c>
      <c r="AF76" s="1">
        <f>AF75+'.r file'!AF81</f>
        <v>454.32000000000005</v>
      </c>
    </row>
    <row r="77" spans="1:32" x14ac:dyDescent="0.25">
      <c r="A77" s="6">
        <v>27056.458333333332</v>
      </c>
      <c r="B77" s="1">
        <f>B76+'.r file'!B82</f>
        <v>635.99000000000024</v>
      </c>
      <c r="C77" s="1">
        <f>C76+'.r file'!C82</f>
        <v>543.79999999999995</v>
      </c>
      <c r="D77" s="1">
        <f>D76+'.r file'!D82</f>
        <v>328</v>
      </c>
      <c r="E77" s="1">
        <f>E76+'.r file'!E82</f>
        <v>298</v>
      </c>
      <c r="F77" s="1">
        <f>F76+'.r file'!F82</f>
        <v>264.01000000000005</v>
      </c>
      <c r="G77" s="1">
        <f>G76+'.r file'!G82</f>
        <v>182.99999999999997</v>
      </c>
      <c r="H77" s="1">
        <f>H76+'.r file'!H82</f>
        <v>355</v>
      </c>
      <c r="I77" s="1">
        <f>I76+'.r file'!I82</f>
        <v>227.98</v>
      </c>
      <c r="J77" s="1">
        <f>J76+'.r file'!J82</f>
        <v>228</v>
      </c>
      <c r="K77" s="1">
        <f>K76+'.r file'!K82</f>
        <v>395</v>
      </c>
      <c r="L77" s="1">
        <f>L76+'.r file'!L82</f>
        <v>359.07999999999993</v>
      </c>
      <c r="M77" s="1">
        <f>M76+'.r file'!M82</f>
        <v>1171</v>
      </c>
      <c r="N77" s="1">
        <f>N76+'.r file'!N82</f>
        <v>72.87</v>
      </c>
      <c r="O77" s="1">
        <f>O76+'.r file'!O82</f>
        <v>563</v>
      </c>
      <c r="P77" s="1">
        <f>P76+'.r file'!P82</f>
        <v>304.80000000000007</v>
      </c>
      <c r="Q77" s="1">
        <f>Q76+'.r file'!Q82</f>
        <v>395</v>
      </c>
      <c r="R77" s="1">
        <f>R76+'.r file'!R82</f>
        <v>405.94999999999993</v>
      </c>
      <c r="S77" s="1">
        <f>S76+'.r file'!S82</f>
        <v>448.98</v>
      </c>
      <c r="T77" s="1">
        <f>T76+'.r file'!T82</f>
        <v>516</v>
      </c>
      <c r="U77" s="1">
        <f>U76+'.r file'!U82</f>
        <v>799.45000000000027</v>
      </c>
      <c r="V77" s="1">
        <f>V76+'.r file'!V82</f>
        <v>664</v>
      </c>
      <c r="W77" s="1">
        <f>W76+'.r file'!W82</f>
        <v>875</v>
      </c>
      <c r="X77" s="1">
        <f>X76+'.r file'!X82</f>
        <v>727</v>
      </c>
      <c r="Y77" s="1">
        <f>Y76+'.r file'!Y82</f>
        <v>580</v>
      </c>
      <c r="Z77" s="1">
        <f>Z76+'.r file'!Z82</f>
        <v>787.80000000000007</v>
      </c>
      <c r="AA77" s="1">
        <f>AA76+'.r file'!AA82</f>
        <v>606.57000000000005</v>
      </c>
      <c r="AB77" s="1">
        <f>AB76+'.r file'!AB82</f>
        <v>574.39</v>
      </c>
      <c r="AC77" s="1">
        <f>AC76+'.r file'!AC82</f>
        <v>634</v>
      </c>
      <c r="AD77" s="1">
        <f>AD76+'.r file'!AD82</f>
        <v>581.89999999999986</v>
      </c>
      <c r="AE77" s="1">
        <f>AE76+'.r file'!AE82</f>
        <v>511.95999999999992</v>
      </c>
      <c r="AF77" s="1">
        <f>AF76+'.r file'!AF82</f>
        <v>455.14000000000004</v>
      </c>
    </row>
    <row r="78" spans="1:32" x14ac:dyDescent="0.25">
      <c r="A78" s="6">
        <v>27056.5</v>
      </c>
      <c r="B78" s="1">
        <f>B77+'.r file'!B83</f>
        <v>642.21000000000026</v>
      </c>
      <c r="C78" s="1">
        <f>C77+'.r file'!C83</f>
        <v>551.9</v>
      </c>
      <c r="D78" s="1">
        <f>D77+'.r file'!D83</f>
        <v>330</v>
      </c>
      <c r="E78" s="1">
        <f>E77+'.r file'!E83</f>
        <v>302</v>
      </c>
      <c r="F78" s="1">
        <f>F77+'.r file'!F83</f>
        <v>266.62000000000006</v>
      </c>
      <c r="G78" s="1">
        <f>G77+'.r file'!G83</f>
        <v>183.59999999999997</v>
      </c>
      <c r="H78" s="1">
        <f>H77+'.r file'!H83</f>
        <v>359</v>
      </c>
      <c r="I78" s="1">
        <f>I77+'.r file'!I83</f>
        <v>230.85999999999999</v>
      </c>
      <c r="J78" s="1">
        <f>J77+'.r file'!J83</f>
        <v>230</v>
      </c>
      <c r="K78" s="1">
        <f>K77+'.r file'!K83</f>
        <v>399</v>
      </c>
      <c r="L78" s="1">
        <f>L77+'.r file'!L83</f>
        <v>360.65999999999991</v>
      </c>
      <c r="M78" s="1">
        <f>M77+'.r file'!M83</f>
        <v>1178</v>
      </c>
      <c r="N78" s="1">
        <f>N77+'.r file'!N83</f>
        <v>76.960000000000008</v>
      </c>
      <c r="O78" s="1">
        <f>O77+'.r file'!O83</f>
        <v>570</v>
      </c>
      <c r="P78" s="1">
        <f>P77+'.r file'!P83</f>
        <v>308.35000000000008</v>
      </c>
      <c r="Q78" s="1">
        <f>Q77+'.r file'!Q83</f>
        <v>399</v>
      </c>
      <c r="R78" s="1">
        <f>R77+'.r file'!R83</f>
        <v>410.25999999999993</v>
      </c>
      <c r="S78" s="1">
        <f>S77+'.r file'!S83</f>
        <v>453.14000000000004</v>
      </c>
      <c r="T78" s="1">
        <f>T77+'.r file'!T83</f>
        <v>518</v>
      </c>
      <c r="U78" s="1">
        <f>U77+'.r file'!U83</f>
        <v>805.95000000000027</v>
      </c>
      <c r="V78" s="1">
        <f>V77+'.r file'!V83</f>
        <v>669</v>
      </c>
      <c r="W78" s="1">
        <f>W77+'.r file'!W83</f>
        <v>880</v>
      </c>
      <c r="X78" s="1">
        <f>X77+'.r file'!X83</f>
        <v>729</v>
      </c>
      <c r="Y78" s="1">
        <f>Y77+'.r file'!Y83</f>
        <v>583</v>
      </c>
      <c r="Z78" s="1">
        <f>Z77+'.r file'!Z83</f>
        <v>792.36</v>
      </c>
      <c r="AA78" s="1">
        <f>AA77+'.r file'!AA83</f>
        <v>610.53000000000009</v>
      </c>
      <c r="AB78" s="1">
        <f>AB77+'.r file'!AB83</f>
        <v>578.88</v>
      </c>
      <c r="AC78" s="1">
        <f>AC77+'.r file'!AC83</f>
        <v>637</v>
      </c>
      <c r="AD78" s="1">
        <f>AD77+'.r file'!AD83</f>
        <v>587.49999999999989</v>
      </c>
      <c r="AE78" s="1">
        <f>AE77+'.r file'!AE83</f>
        <v>518.61999999999989</v>
      </c>
      <c r="AF78" s="1">
        <f>AF77+'.r file'!AF83</f>
        <v>456.94000000000005</v>
      </c>
    </row>
    <row r="79" spans="1:32" x14ac:dyDescent="0.25">
      <c r="A79" s="6">
        <v>27056.541666666668</v>
      </c>
      <c r="B79" s="1">
        <f>B78+'.r file'!B84</f>
        <v>649.36000000000024</v>
      </c>
      <c r="C79" s="1">
        <f>C78+'.r file'!C84</f>
        <v>560.5</v>
      </c>
      <c r="D79" s="1">
        <f>D78+'.r file'!D84</f>
        <v>332</v>
      </c>
      <c r="E79" s="1">
        <f>E78+'.r file'!E84</f>
        <v>305</v>
      </c>
      <c r="F79" s="1">
        <f>F78+'.r file'!F84</f>
        <v>269.80000000000007</v>
      </c>
      <c r="G79" s="1">
        <f>G78+'.r file'!G84</f>
        <v>183.70999999999998</v>
      </c>
      <c r="H79" s="1">
        <f>H78+'.r file'!H84</f>
        <v>364</v>
      </c>
      <c r="I79" s="1">
        <f>I78+'.r file'!I84</f>
        <v>233.55999999999997</v>
      </c>
      <c r="J79" s="1">
        <f>J78+'.r file'!J84</f>
        <v>236</v>
      </c>
      <c r="K79" s="1">
        <f>K78+'.r file'!K84</f>
        <v>404</v>
      </c>
      <c r="L79" s="1">
        <f>L78+'.r file'!L84</f>
        <v>362.2399999999999</v>
      </c>
      <c r="M79" s="1">
        <f>M78+'.r file'!M84</f>
        <v>1193</v>
      </c>
      <c r="N79" s="1">
        <f>N78+'.r file'!N84</f>
        <v>81.48</v>
      </c>
      <c r="O79" s="1">
        <f>O78+'.r file'!O84</f>
        <v>577</v>
      </c>
      <c r="P79" s="1">
        <f>P78+'.r file'!P84</f>
        <v>313.88000000000005</v>
      </c>
      <c r="Q79" s="1">
        <f>Q78+'.r file'!Q84</f>
        <v>404</v>
      </c>
      <c r="R79" s="1">
        <f>R78+'.r file'!R84</f>
        <v>414.08999999999992</v>
      </c>
      <c r="S79" s="1">
        <f>S78+'.r file'!S84</f>
        <v>456.21000000000004</v>
      </c>
      <c r="T79" s="1">
        <f>T78+'.r file'!T84</f>
        <v>520</v>
      </c>
      <c r="U79" s="1">
        <f>U78+'.r file'!U84</f>
        <v>813.25000000000023</v>
      </c>
      <c r="V79" s="1">
        <f>V78+'.r file'!V84</f>
        <v>673</v>
      </c>
      <c r="W79" s="1">
        <f>W78+'.r file'!W84</f>
        <v>886</v>
      </c>
      <c r="X79" s="1">
        <f>X78+'.r file'!X84</f>
        <v>738</v>
      </c>
      <c r="Y79" s="1">
        <f>Y78+'.r file'!Y84</f>
        <v>591</v>
      </c>
      <c r="Z79" s="1">
        <f>Z78+'.r file'!Z84</f>
        <v>795.6</v>
      </c>
      <c r="AA79" s="1">
        <f>AA78+'.r file'!AA84</f>
        <v>611.58000000000004</v>
      </c>
      <c r="AB79" s="1">
        <f>AB78+'.r file'!AB84</f>
        <v>582.71</v>
      </c>
      <c r="AC79" s="1">
        <f>AC78+'.r file'!AC84</f>
        <v>642</v>
      </c>
      <c r="AD79" s="1">
        <f>AD78+'.r file'!AD84</f>
        <v>591.89999999999986</v>
      </c>
      <c r="AE79" s="1">
        <f>AE78+'.r file'!AE84</f>
        <v>524.24999999999989</v>
      </c>
      <c r="AF79" s="1">
        <f>AF78+'.r file'!AF84</f>
        <v>461.95000000000005</v>
      </c>
    </row>
    <row r="80" spans="1:32" x14ac:dyDescent="0.25">
      <c r="A80" s="6">
        <v>27056.583333333332</v>
      </c>
      <c r="B80" s="1">
        <f>B79+'.r file'!B85</f>
        <v>655.5500000000003</v>
      </c>
      <c r="C80" s="1">
        <f>C79+'.r file'!C85</f>
        <v>569.20000000000005</v>
      </c>
      <c r="D80" s="1">
        <f>D79+'.r file'!D85</f>
        <v>334</v>
      </c>
      <c r="E80" s="1">
        <f>E79+'.r file'!E85</f>
        <v>309</v>
      </c>
      <c r="F80" s="1">
        <f>F79+'.r file'!F85</f>
        <v>270.89000000000004</v>
      </c>
      <c r="G80" s="1">
        <f>G79+'.r file'!G85</f>
        <v>184.2</v>
      </c>
      <c r="H80" s="1">
        <f>H79+'.r file'!H85</f>
        <v>367</v>
      </c>
      <c r="I80" s="1">
        <f>I79+'.r file'!I85</f>
        <v>237.33999999999997</v>
      </c>
      <c r="J80" s="1">
        <f>J79+'.r file'!J85</f>
        <v>238</v>
      </c>
      <c r="K80" s="1">
        <f>K79+'.r file'!K85</f>
        <v>410</v>
      </c>
      <c r="L80" s="1">
        <f>L79+'.r file'!L85</f>
        <v>363.81999999999988</v>
      </c>
      <c r="M80" s="1">
        <f>M79+'.r file'!M85</f>
        <v>1203</v>
      </c>
      <c r="N80" s="1">
        <f>N79+'.r file'!N85</f>
        <v>84.78</v>
      </c>
      <c r="O80" s="1">
        <f>O79+'.r file'!O85</f>
        <v>584</v>
      </c>
      <c r="P80" s="1">
        <f>P79+'.r file'!P85</f>
        <v>315.03000000000003</v>
      </c>
      <c r="Q80" s="1">
        <f>Q79+'.r file'!Q85</f>
        <v>410</v>
      </c>
      <c r="R80" s="1">
        <f>R79+'.r file'!R85</f>
        <v>416.51999999999992</v>
      </c>
      <c r="S80" s="1">
        <f>S79+'.r file'!S85</f>
        <v>462.75000000000006</v>
      </c>
      <c r="T80" s="1">
        <f>T79+'.r file'!T85</f>
        <v>522</v>
      </c>
      <c r="U80" s="1">
        <f>U79+'.r file'!U85</f>
        <v>816.04000000000019</v>
      </c>
      <c r="V80" s="1">
        <f>V79+'.r file'!V85</f>
        <v>674</v>
      </c>
      <c r="W80" s="1">
        <f>W79+'.r file'!W85</f>
        <v>891</v>
      </c>
      <c r="X80" s="1">
        <f>X79+'.r file'!X85</f>
        <v>743</v>
      </c>
      <c r="Y80" s="1">
        <f>Y79+'.r file'!Y85</f>
        <v>594</v>
      </c>
      <c r="Z80" s="1">
        <f>Z79+'.r file'!Z85</f>
        <v>800.25</v>
      </c>
      <c r="AA80" s="1">
        <f>AA79+'.r file'!AA85</f>
        <v>613.82000000000005</v>
      </c>
      <c r="AB80" s="1">
        <f>AB79+'.r file'!AB85</f>
        <v>585.41000000000008</v>
      </c>
      <c r="AC80" s="1">
        <f>AC79+'.r file'!AC85</f>
        <v>645</v>
      </c>
      <c r="AD80" s="1">
        <f>AD79+'.r file'!AD85</f>
        <v>594.99999999999989</v>
      </c>
      <c r="AE80" s="1">
        <f>AE79+'.r file'!AE85</f>
        <v>530.08999999999992</v>
      </c>
      <c r="AF80" s="1">
        <f>AF79+'.r file'!AF85</f>
        <v>463.94000000000005</v>
      </c>
    </row>
    <row r="81" spans="1:32" x14ac:dyDescent="0.25">
      <c r="A81" s="6">
        <v>27056.625</v>
      </c>
      <c r="B81" s="1">
        <f>B80+'.r file'!B86</f>
        <v>659.49000000000035</v>
      </c>
      <c r="C81" s="1">
        <f>C80+'.r file'!C86</f>
        <v>576.6</v>
      </c>
      <c r="D81" s="1">
        <f>D80+'.r file'!D86</f>
        <v>337</v>
      </c>
      <c r="E81" s="1">
        <f>E80+'.r file'!E86</f>
        <v>312</v>
      </c>
      <c r="F81" s="1">
        <f>F80+'.r file'!F86</f>
        <v>271.66000000000003</v>
      </c>
      <c r="G81" s="1">
        <f>G80+'.r file'!G86</f>
        <v>184.76999999999998</v>
      </c>
      <c r="H81" s="1">
        <f>H80+'.r file'!H86</f>
        <v>371</v>
      </c>
      <c r="I81" s="1">
        <f>I80+'.r file'!I86</f>
        <v>242.82999999999998</v>
      </c>
      <c r="J81" s="1">
        <f>J80+'.r file'!J86</f>
        <v>242</v>
      </c>
      <c r="K81" s="1">
        <f>K80+'.r file'!K86</f>
        <v>415</v>
      </c>
      <c r="L81" s="1">
        <f>L80+'.r file'!L86</f>
        <v>365.39999999999986</v>
      </c>
      <c r="M81" s="1">
        <f>M80+'.r file'!M86</f>
        <v>1216</v>
      </c>
      <c r="N81" s="1">
        <f>N80+'.r file'!N86</f>
        <v>87.1</v>
      </c>
      <c r="O81" s="1">
        <f>O80+'.r file'!O86</f>
        <v>588</v>
      </c>
      <c r="P81" s="1">
        <f>P80+'.r file'!P86</f>
        <v>318.33000000000004</v>
      </c>
      <c r="Q81" s="1">
        <f>Q80+'.r file'!Q86</f>
        <v>415</v>
      </c>
      <c r="R81" s="1">
        <f>R80+'.r file'!R86</f>
        <v>418.69999999999993</v>
      </c>
      <c r="S81" s="1">
        <f>S80+'.r file'!S86</f>
        <v>465.01000000000005</v>
      </c>
      <c r="T81" s="1">
        <f>T80+'.r file'!T86</f>
        <v>523</v>
      </c>
      <c r="U81" s="1">
        <f>U80+'.r file'!U86</f>
        <v>819.5300000000002</v>
      </c>
      <c r="V81" s="1">
        <f>V80+'.r file'!V86</f>
        <v>675</v>
      </c>
      <c r="W81" s="1">
        <f>W80+'.r file'!W86</f>
        <v>894</v>
      </c>
      <c r="X81" s="1">
        <f>X80+'.r file'!X86</f>
        <v>750</v>
      </c>
      <c r="Y81" s="1">
        <f>Y80+'.r file'!Y86</f>
        <v>600</v>
      </c>
      <c r="Z81" s="1">
        <f>Z80+'.r file'!Z86</f>
        <v>802.99</v>
      </c>
      <c r="AA81" s="1">
        <f>AA80+'.r file'!AA86</f>
        <v>619.8900000000001</v>
      </c>
      <c r="AB81" s="1">
        <f>AB80+'.r file'!AB86</f>
        <v>587.37000000000012</v>
      </c>
      <c r="AC81" s="1">
        <f>AC80+'.r file'!AC86</f>
        <v>654</v>
      </c>
      <c r="AD81" s="1">
        <f>AD80+'.r file'!AD86</f>
        <v>598.69999999999993</v>
      </c>
      <c r="AE81" s="1">
        <f>AE80+'.r file'!AE86</f>
        <v>535.59999999999991</v>
      </c>
      <c r="AF81" s="1">
        <f>AF80+'.r file'!AF86</f>
        <v>465.04000000000008</v>
      </c>
    </row>
    <row r="82" spans="1:32" x14ac:dyDescent="0.25">
      <c r="A82" s="6">
        <v>27056.666666666668</v>
      </c>
      <c r="B82" s="1">
        <f>B81+'.r file'!B87</f>
        <v>663.32000000000039</v>
      </c>
      <c r="C82" s="1">
        <f>C81+'.r file'!C87</f>
        <v>582.20000000000005</v>
      </c>
      <c r="D82" s="1">
        <f>D81+'.r file'!D87</f>
        <v>343</v>
      </c>
      <c r="E82" s="1">
        <f>E81+'.r file'!E87</f>
        <v>314</v>
      </c>
      <c r="F82" s="1">
        <f>F81+'.r file'!F87</f>
        <v>277.95000000000005</v>
      </c>
      <c r="G82" s="1">
        <f>G81+'.r file'!G87</f>
        <v>185.46999999999997</v>
      </c>
      <c r="H82" s="1">
        <f>H81+'.r file'!H87</f>
        <v>375</v>
      </c>
      <c r="I82" s="1">
        <f>I81+'.r file'!I87</f>
        <v>244.63</v>
      </c>
      <c r="J82" s="1">
        <f>J81+'.r file'!J87</f>
        <v>244</v>
      </c>
      <c r="K82" s="1">
        <f>K81+'.r file'!K87</f>
        <v>418</v>
      </c>
      <c r="L82" s="1">
        <f>L81+'.r file'!L87</f>
        <v>366.97999999999985</v>
      </c>
      <c r="M82" s="1">
        <f>M81+'.r file'!M87</f>
        <v>1224</v>
      </c>
      <c r="N82" s="1">
        <f>N81+'.r file'!N87</f>
        <v>88.71</v>
      </c>
      <c r="O82" s="1">
        <f>O81+'.r file'!O87</f>
        <v>597</v>
      </c>
      <c r="P82" s="1">
        <f>P81+'.r file'!P87</f>
        <v>320.50000000000006</v>
      </c>
      <c r="Q82" s="1">
        <f>Q81+'.r file'!Q87</f>
        <v>418</v>
      </c>
      <c r="R82" s="1">
        <f>R81+'.r file'!R87</f>
        <v>420.9799999999999</v>
      </c>
      <c r="S82" s="1">
        <f>S81+'.r file'!S87</f>
        <v>467.43000000000006</v>
      </c>
      <c r="T82" s="1">
        <f>T81+'.r file'!T87</f>
        <v>525</v>
      </c>
      <c r="U82" s="1">
        <f>U81+'.r file'!U87</f>
        <v>828.74000000000024</v>
      </c>
      <c r="V82" s="1">
        <f>V81+'.r file'!V87</f>
        <v>675</v>
      </c>
      <c r="W82" s="1">
        <f>W81+'.r file'!W87</f>
        <v>901</v>
      </c>
      <c r="X82" s="1">
        <f>X81+'.r file'!X87</f>
        <v>754</v>
      </c>
      <c r="Y82" s="1">
        <f>Y81+'.r file'!Y87</f>
        <v>602</v>
      </c>
      <c r="Z82" s="1">
        <f>Z81+'.r file'!Z87</f>
        <v>809.31000000000006</v>
      </c>
      <c r="AA82" s="1">
        <f>AA81+'.r file'!AA87</f>
        <v>627.62000000000012</v>
      </c>
      <c r="AB82" s="1">
        <f>AB81+'.r file'!AB87</f>
        <v>592.48000000000013</v>
      </c>
      <c r="AC82" s="1">
        <f>AC81+'.r file'!AC87</f>
        <v>657</v>
      </c>
      <c r="AD82" s="1">
        <f>AD81+'.r file'!AD87</f>
        <v>601.19999999999993</v>
      </c>
      <c r="AE82" s="1">
        <f>AE81+'.r file'!AE87</f>
        <v>541.18999999999994</v>
      </c>
      <c r="AF82" s="1">
        <f>AF81+'.r file'!AF87</f>
        <v>466.90000000000009</v>
      </c>
    </row>
    <row r="83" spans="1:32" x14ac:dyDescent="0.25">
      <c r="A83" s="6">
        <v>27056.708333333332</v>
      </c>
      <c r="B83" s="1">
        <f>B82+'.r file'!B88</f>
        <v>666.64000000000044</v>
      </c>
      <c r="C83" s="1">
        <f>C82+'.r file'!C88</f>
        <v>585.90000000000009</v>
      </c>
      <c r="D83" s="1">
        <f>D82+'.r file'!D88</f>
        <v>348</v>
      </c>
      <c r="E83" s="1">
        <f>E82+'.r file'!E88</f>
        <v>317</v>
      </c>
      <c r="F83" s="1">
        <f>F82+'.r file'!F88</f>
        <v>281.86000000000007</v>
      </c>
      <c r="G83" s="1">
        <f>G82+'.r file'!G88</f>
        <v>187.07999999999998</v>
      </c>
      <c r="H83" s="1">
        <f>H82+'.r file'!H88</f>
        <v>379</v>
      </c>
      <c r="I83" s="1">
        <f>I82+'.r file'!I88</f>
        <v>248.45</v>
      </c>
      <c r="J83" s="1">
        <f>J82+'.r file'!J88</f>
        <v>249</v>
      </c>
      <c r="K83" s="1">
        <f>K82+'.r file'!K88</f>
        <v>422</v>
      </c>
      <c r="L83" s="1">
        <f>L82+'.r file'!L88</f>
        <v>368.55999999999983</v>
      </c>
      <c r="M83" s="1">
        <f>M82+'.r file'!M88</f>
        <v>1234</v>
      </c>
      <c r="N83" s="1">
        <f>N82+'.r file'!N88</f>
        <v>90.11</v>
      </c>
      <c r="O83" s="1">
        <f>O82+'.r file'!O88</f>
        <v>603</v>
      </c>
      <c r="P83" s="1">
        <f>P82+'.r file'!P88</f>
        <v>323.25000000000006</v>
      </c>
      <c r="Q83" s="1">
        <f>Q82+'.r file'!Q88</f>
        <v>422</v>
      </c>
      <c r="R83" s="1">
        <f>R82+'.r file'!R88</f>
        <v>423.17999999999989</v>
      </c>
      <c r="S83" s="1">
        <f>S82+'.r file'!S88</f>
        <v>471.19000000000005</v>
      </c>
      <c r="T83" s="1">
        <f>T82+'.r file'!T88</f>
        <v>527</v>
      </c>
      <c r="U83" s="1">
        <f>U82+'.r file'!U88</f>
        <v>834.67000000000019</v>
      </c>
      <c r="V83" s="1">
        <f>V82+'.r file'!V88</f>
        <v>676</v>
      </c>
      <c r="W83" s="1">
        <f>W82+'.r file'!W88</f>
        <v>906</v>
      </c>
      <c r="X83" s="1">
        <f>X82+'.r file'!X88</f>
        <v>760</v>
      </c>
      <c r="Y83" s="1">
        <f>Y82+'.r file'!Y88</f>
        <v>605</v>
      </c>
      <c r="Z83" s="1">
        <f>Z82+'.r file'!Z88</f>
        <v>812.11</v>
      </c>
      <c r="AA83" s="1">
        <f>AA82+'.r file'!AA88</f>
        <v>628.80000000000007</v>
      </c>
      <c r="AB83" s="1">
        <f>AB82+'.r file'!AB88</f>
        <v>596.06000000000017</v>
      </c>
      <c r="AC83" s="1">
        <f>AC82+'.r file'!AC88</f>
        <v>659</v>
      </c>
      <c r="AD83" s="1">
        <f>AD82+'.r file'!AD88</f>
        <v>614.4</v>
      </c>
      <c r="AE83" s="1">
        <f>AE82+'.r file'!AE88</f>
        <v>549.09999999999991</v>
      </c>
      <c r="AF83" s="1">
        <f>AF82+'.r file'!AF88</f>
        <v>475.17000000000007</v>
      </c>
    </row>
    <row r="84" spans="1:32" x14ac:dyDescent="0.25">
      <c r="A84" s="6">
        <v>27056.75</v>
      </c>
      <c r="B84" s="1">
        <f>B83+'.r file'!B89</f>
        <v>674.03000000000043</v>
      </c>
      <c r="C84" s="1">
        <f>C83+'.r file'!C89</f>
        <v>593.30000000000007</v>
      </c>
      <c r="D84" s="1">
        <f>D83+'.r file'!D89</f>
        <v>354</v>
      </c>
      <c r="E84" s="1">
        <f>E83+'.r file'!E89</f>
        <v>321</v>
      </c>
      <c r="F84" s="1">
        <f>F83+'.r file'!F89</f>
        <v>284.80000000000007</v>
      </c>
      <c r="G84" s="1">
        <f>G83+'.r file'!G89</f>
        <v>188.1</v>
      </c>
      <c r="H84" s="1">
        <f>H83+'.r file'!H89</f>
        <v>386</v>
      </c>
      <c r="I84" s="1">
        <f>I83+'.r file'!I89</f>
        <v>252.26999999999998</v>
      </c>
      <c r="J84" s="1">
        <f>J83+'.r file'!J89</f>
        <v>252</v>
      </c>
      <c r="K84" s="1">
        <f>K83+'.r file'!K89</f>
        <v>426</v>
      </c>
      <c r="L84" s="1">
        <f>L83+'.r file'!L89</f>
        <v>370.13999999999982</v>
      </c>
      <c r="M84" s="1">
        <f>M83+'.r file'!M89</f>
        <v>1245</v>
      </c>
      <c r="N84" s="1">
        <f>N83+'.r file'!N89</f>
        <v>95.01</v>
      </c>
      <c r="O84" s="1">
        <f>O83+'.r file'!O89</f>
        <v>611</v>
      </c>
      <c r="P84" s="1">
        <f>P83+'.r file'!P89</f>
        <v>327.76000000000005</v>
      </c>
      <c r="Q84" s="1">
        <f>Q83+'.r file'!Q89</f>
        <v>426</v>
      </c>
      <c r="R84" s="1">
        <f>R83+'.r file'!R89</f>
        <v>425.57999999999987</v>
      </c>
      <c r="S84" s="1">
        <f>S83+'.r file'!S89</f>
        <v>472.17000000000007</v>
      </c>
      <c r="T84" s="1">
        <f>T83+'.r file'!T89</f>
        <v>529</v>
      </c>
      <c r="U84" s="1">
        <f>U83+'.r file'!U89</f>
        <v>838.06000000000017</v>
      </c>
      <c r="V84" s="1">
        <f>V83+'.r file'!V89</f>
        <v>678</v>
      </c>
      <c r="W84" s="1">
        <f>W83+'.r file'!W89</f>
        <v>910</v>
      </c>
      <c r="X84" s="1">
        <f>X83+'.r file'!X89</f>
        <v>762</v>
      </c>
      <c r="Y84" s="1">
        <f>Y83+'.r file'!Y89</f>
        <v>606</v>
      </c>
      <c r="Z84" s="1">
        <f>Z83+'.r file'!Z89</f>
        <v>814.28</v>
      </c>
      <c r="AA84" s="1">
        <f>AA83+'.r file'!AA89</f>
        <v>630.30000000000007</v>
      </c>
      <c r="AB84" s="1">
        <f>AB83+'.r file'!AB89</f>
        <v>597.44000000000017</v>
      </c>
      <c r="AC84" s="1">
        <f>AC83+'.r file'!AC89</f>
        <v>661</v>
      </c>
      <c r="AD84" s="1">
        <f>AD83+'.r file'!AD89</f>
        <v>616.9</v>
      </c>
      <c r="AE84" s="1">
        <f>AE83+'.r file'!AE89</f>
        <v>554.43999999999994</v>
      </c>
      <c r="AF84" s="1">
        <f>AF83+'.r file'!AF89</f>
        <v>482.86000000000007</v>
      </c>
    </row>
    <row r="85" spans="1:32" x14ac:dyDescent="0.25">
      <c r="A85" s="6">
        <v>27056.791666666668</v>
      </c>
      <c r="B85" s="1">
        <f>B84+'.r file'!B90</f>
        <v>676.90000000000043</v>
      </c>
      <c r="C85" s="1">
        <f>C84+'.r file'!C90</f>
        <v>596.40000000000009</v>
      </c>
      <c r="D85" s="1">
        <f>D84+'.r file'!D90</f>
        <v>359</v>
      </c>
      <c r="E85" s="1">
        <f>E84+'.r file'!E90</f>
        <v>325</v>
      </c>
      <c r="F85" s="1">
        <f>F84+'.r file'!F90</f>
        <v>288.73000000000008</v>
      </c>
      <c r="G85" s="1">
        <f>G84+'.r file'!G90</f>
        <v>189.64</v>
      </c>
      <c r="H85" s="1">
        <f>H84+'.r file'!H90</f>
        <v>391</v>
      </c>
      <c r="I85" s="1">
        <f>I84+'.r file'!I90</f>
        <v>255.33999999999997</v>
      </c>
      <c r="J85" s="1">
        <f>J84+'.r file'!J90</f>
        <v>255</v>
      </c>
      <c r="K85" s="1">
        <f>K84+'.r file'!K90</f>
        <v>432</v>
      </c>
      <c r="L85" s="1">
        <f>L84+'.r file'!L90</f>
        <v>371.7199999999998</v>
      </c>
      <c r="M85" s="1">
        <f>M84+'.r file'!M90</f>
        <v>1250</v>
      </c>
      <c r="N85" s="1">
        <f>N84+'.r file'!N90</f>
        <v>99.75</v>
      </c>
      <c r="O85" s="1">
        <f>O84+'.r file'!O90</f>
        <v>615</v>
      </c>
      <c r="P85" s="1">
        <f>P84+'.r file'!P90</f>
        <v>330.90000000000003</v>
      </c>
      <c r="Q85" s="1">
        <f>Q84+'.r file'!Q90</f>
        <v>432</v>
      </c>
      <c r="R85" s="1">
        <f>R84+'.r file'!R90</f>
        <v>428.25999999999988</v>
      </c>
      <c r="S85" s="1">
        <f>S84+'.r file'!S90</f>
        <v>473.24000000000007</v>
      </c>
      <c r="T85" s="1">
        <f>T84+'.r file'!T90</f>
        <v>529</v>
      </c>
      <c r="U85" s="1">
        <f>U84+'.r file'!U90</f>
        <v>839.1500000000002</v>
      </c>
      <c r="V85" s="1">
        <f>V84+'.r file'!V90</f>
        <v>679</v>
      </c>
      <c r="W85" s="1">
        <f>W84+'.r file'!W90</f>
        <v>913</v>
      </c>
      <c r="X85" s="1">
        <f>X84+'.r file'!X90</f>
        <v>763</v>
      </c>
      <c r="Y85" s="1">
        <f>Y84+'.r file'!Y90</f>
        <v>607</v>
      </c>
      <c r="Z85" s="1">
        <f>Z84+'.r file'!Z90</f>
        <v>816.11</v>
      </c>
      <c r="AA85" s="1">
        <f>AA84+'.r file'!AA90</f>
        <v>631.44000000000005</v>
      </c>
      <c r="AB85" s="1">
        <f>AB84+'.r file'!AB90</f>
        <v>598.47000000000014</v>
      </c>
      <c r="AC85" s="1">
        <f>AC84+'.r file'!AC90</f>
        <v>663</v>
      </c>
      <c r="AD85" s="1">
        <f>AD84+'.r file'!AD90</f>
        <v>620</v>
      </c>
      <c r="AE85" s="1">
        <f>AE84+'.r file'!AE90</f>
        <v>556.01</v>
      </c>
      <c r="AF85" s="1">
        <f>AF84+'.r file'!AF90</f>
        <v>489.22000000000008</v>
      </c>
    </row>
    <row r="86" spans="1:32" x14ac:dyDescent="0.25">
      <c r="A86" s="6">
        <v>27056.833333333332</v>
      </c>
      <c r="B86" s="1">
        <f>B85+'.r file'!B91</f>
        <v>678.12000000000046</v>
      </c>
      <c r="C86" s="1">
        <f>C85+'.r file'!C91</f>
        <v>597.60000000000014</v>
      </c>
      <c r="D86" s="1">
        <f>D85+'.r file'!D91</f>
        <v>361</v>
      </c>
      <c r="E86" s="1">
        <f>E85+'.r file'!E91</f>
        <v>327</v>
      </c>
      <c r="F86" s="1">
        <f>F85+'.r file'!F91</f>
        <v>290.5800000000001</v>
      </c>
      <c r="G86" s="1">
        <f>G85+'.r file'!G91</f>
        <v>190.64999999999998</v>
      </c>
      <c r="H86" s="1">
        <f>H85+'.r file'!H91</f>
        <v>394</v>
      </c>
      <c r="I86" s="1">
        <f>I85+'.r file'!I91</f>
        <v>258.11999999999995</v>
      </c>
      <c r="J86" s="1">
        <f>J85+'.r file'!J91</f>
        <v>257</v>
      </c>
      <c r="K86" s="1">
        <f>K85+'.r file'!K91</f>
        <v>433</v>
      </c>
      <c r="L86" s="1">
        <f>L85+'.r file'!L91</f>
        <v>373.29999999999978</v>
      </c>
      <c r="M86" s="1">
        <f>M85+'.r file'!M91</f>
        <v>1254</v>
      </c>
      <c r="N86" s="1">
        <f>N85+'.r file'!N91</f>
        <v>100.5</v>
      </c>
      <c r="O86" s="1">
        <f>O85+'.r file'!O91</f>
        <v>617</v>
      </c>
      <c r="P86" s="1">
        <f>P85+'.r file'!P91</f>
        <v>334.94000000000005</v>
      </c>
      <c r="Q86" s="1">
        <f>Q85+'.r file'!Q91</f>
        <v>433</v>
      </c>
      <c r="R86" s="1">
        <f>R85+'.r file'!R91</f>
        <v>429.67999999999989</v>
      </c>
      <c r="S86" s="1">
        <f>S85+'.r file'!S91</f>
        <v>474.34000000000009</v>
      </c>
      <c r="T86" s="1">
        <f>T85+'.r file'!T91</f>
        <v>529</v>
      </c>
      <c r="U86" s="1">
        <f>U85+'.r file'!U91</f>
        <v>839.60000000000025</v>
      </c>
      <c r="V86" s="1">
        <f>V85+'.r file'!V91</f>
        <v>679</v>
      </c>
      <c r="W86" s="1">
        <f>W85+'.r file'!W91</f>
        <v>914</v>
      </c>
      <c r="X86" s="1">
        <f>X85+'.r file'!X91</f>
        <v>764</v>
      </c>
      <c r="Y86" s="1">
        <f>Y85+'.r file'!Y91</f>
        <v>608</v>
      </c>
      <c r="Z86" s="1">
        <f>Z85+'.r file'!Z91</f>
        <v>816.41</v>
      </c>
      <c r="AA86" s="1">
        <f>AA85+'.r file'!AA91</f>
        <v>632.19000000000005</v>
      </c>
      <c r="AB86" s="1">
        <f>AB85+'.r file'!AB91</f>
        <v>600.29000000000019</v>
      </c>
      <c r="AC86" s="1">
        <f>AC85+'.r file'!AC91</f>
        <v>664</v>
      </c>
      <c r="AD86" s="1">
        <f>AD85+'.r file'!AD91</f>
        <v>621.20000000000005</v>
      </c>
      <c r="AE86" s="1">
        <f>AE85+'.r file'!AE91</f>
        <v>559.02</v>
      </c>
      <c r="AF86" s="1">
        <f>AF85+'.r file'!AF91</f>
        <v>492.37000000000006</v>
      </c>
    </row>
    <row r="87" spans="1:32" x14ac:dyDescent="0.25">
      <c r="A87" s="6">
        <v>27056.875</v>
      </c>
      <c r="B87" s="1">
        <f>B86+'.r file'!B92</f>
        <v>681.73000000000047</v>
      </c>
      <c r="C87" s="1">
        <f>C86+'.r file'!C92</f>
        <v>599.50000000000011</v>
      </c>
      <c r="D87" s="1">
        <f>D86+'.r file'!D92</f>
        <v>361</v>
      </c>
      <c r="E87" s="1">
        <f>E86+'.r file'!E92</f>
        <v>328</v>
      </c>
      <c r="F87" s="1">
        <f>F86+'.r file'!F92</f>
        <v>291.41000000000008</v>
      </c>
      <c r="G87" s="1">
        <f>G86+'.r file'!G92</f>
        <v>192.02999999999997</v>
      </c>
      <c r="H87" s="1">
        <f>H86+'.r file'!H92</f>
        <v>396</v>
      </c>
      <c r="I87" s="1">
        <f>I86+'.r file'!I92</f>
        <v>259.97999999999996</v>
      </c>
      <c r="J87" s="1">
        <f>J86+'.r file'!J92</f>
        <v>257</v>
      </c>
      <c r="K87" s="1">
        <f>K86+'.r file'!K92</f>
        <v>433</v>
      </c>
      <c r="L87" s="1">
        <f>L86+'.r file'!L92</f>
        <v>374.87999999999977</v>
      </c>
      <c r="M87" s="1">
        <f>M86+'.r file'!M92</f>
        <v>1256</v>
      </c>
      <c r="N87" s="1">
        <f>N86+'.r file'!N92</f>
        <v>100.64</v>
      </c>
      <c r="O87" s="1">
        <f>O86+'.r file'!O92</f>
        <v>620</v>
      </c>
      <c r="P87" s="1">
        <f>P86+'.r file'!P92</f>
        <v>336.68000000000006</v>
      </c>
      <c r="Q87" s="1">
        <f>Q86+'.r file'!Q92</f>
        <v>433</v>
      </c>
      <c r="R87" s="1">
        <f>R86+'.r file'!R92</f>
        <v>429.77999999999992</v>
      </c>
      <c r="S87" s="1">
        <f>S86+'.r file'!S92</f>
        <v>474.84000000000009</v>
      </c>
      <c r="T87" s="1">
        <f>T86+'.r file'!T92</f>
        <v>529</v>
      </c>
      <c r="U87" s="1">
        <f>U86+'.r file'!U92</f>
        <v>840.08000000000027</v>
      </c>
      <c r="V87" s="1">
        <f>V86+'.r file'!V92</f>
        <v>680</v>
      </c>
      <c r="W87" s="1">
        <f>W86+'.r file'!W92</f>
        <v>915</v>
      </c>
      <c r="X87" s="1">
        <f>X86+'.r file'!X92</f>
        <v>765</v>
      </c>
      <c r="Y87" s="1">
        <f>Y86+'.r file'!Y92</f>
        <v>608</v>
      </c>
      <c r="Z87" s="1">
        <f>Z86+'.r file'!Z92</f>
        <v>817.01</v>
      </c>
      <c r="AA87" s="1">
        <f>AA86+'.r file'!AA92</f>
        <v>632.6</v>
      </c>
      <c r="AB87" s="1">
        <f>AB86+'.r file'!AB92</f>
        <v>601.01000000000022</v>
      </c>
      <c r="AC87" s="1">
        <f>AC86+'.r file'!AC92</f>
        <v>664</v>
      </c>
      <c r="AD87" s="1">
        <f>AD86+'.r file'!AD92</f>
        <v>621.20000000000005</v>
      </c>
      <c r="AE87" s="1">
        <f>AE86+'.r file'!AE92</f>
        <v>565.46</v>
      </c>
      <c r="AF87" s="1">
        <f>AF86+'.r file'!AF92</f>
        <v>492.93000000000006</v>
      </c>
    </row>
    <row r="88" spans="1:32" x14ac:dyDescent="0.25">
      <c r="A88" s="6">
        <v>27056.916666666668</v>
      </c>
      <c r="B88" s="1">
        <f>B87+'.r file'!B93</f>
        <v>683.43000000000052</v>
      </c>
      <c r="C88" s="1">
        <f>C87+'.r file'!C93</f>
        <v>602.60000000000014</v>
      </c>
      <c r="D88" s="1">
        <f>D87+'.r file'!D93</f>
        <v>362</v>
      </c>
      <c r="E88" s="1">
        <f>E87+'.r file'!E93</f>
        <v>329</v>
      </c>
      <c r="F88" s="1">
        <f>F87+'.r file'!F93</f>
        <v>291.7000000000001</v>
      </c>
      <c r="G88" s="1">
        <f>G87+'.r file'!G93</f>
        <v>193.58999999999997</v>
      </c>
      <c r="H88" s="1">
        <f>H87+'.r file'!H93</f>
        <v>399</v>
      </c>
      <c r="I88" s="1">
        <f>I87+'.r file'!I93</f>
        <v>260.77999999999997</v>
      </c>
      <c r="J88" s="1">
        <f>J87+'.r file'!J93</f>
        <v>258</v>
      </c>
      <c r="K88" s="1">
        <f>K87+'.r file'!K93</f>
        <v>435</v>
      </c>
      <c r="L88" s="1">
        <f>L87+'.r file'!L93</f>
        <v>376.45999999999975</v>
      </c>
      <c r="M88" s="1">
        <f>M87+'.r file'!M93</f>
        <v>1258</v>
      </c>
      <c r="N88" s="1">
        <f>N87+'.r file'!N93</f>
        <v>102</v>
      </c>
      <c r="O88" s="1">
        <f>O87+'.r file'!O93</f>
        <v>621</v>
      </c>
      <c r="P88" s="1">
        <f>P87+'.r file'!P93</f>
        <v>340.42000000000007</v>
      </c>
      <c r="Q88" s="1">
        <f>Q87+'.r file'!Q93</f>
        <v>435</v>
      </c>
      <c r="R88" s="1">
        <f>R87+'.r file'!R93</f>
        <v>430.12999999999994</v>
      </c>
      <c r="S88" s="1">
        <f>S87+'.r file'!S93</f>
        <v>475.57000000000011</v>
      </c>
      <c r="T88" s="1">
        <f>T87+'.r file'!T93</f>
        <v>530</v>
      </c>
      <c r="U88" s="1">
        <f>U87+'.r file'!U93</f>
        <v>842.0500000000003</v>
      </c>
      <c r="V88" s="1">
        <f>V87+'.r file'!V93</f>
        <v>682</v>
      </c>
      <c r="W88" s="1">
        <f>W87+'.r file'!W93</f>
        <v>916</v>
      </c>
      <c r="X88" s="1">
        <f>X87+'.r file'!X93</f>
        <v>765</v>
      </c>
      <c r="Y88" s="1">
        <f>Y87+'.r file'!Y93</f>
        <v>608</v>
      </c>
      <c r="Z88" s="1">
        <f>Z87+'.r file'!Z93</f>
        <v>817.61</v>
      </c>
      <c r="AA88" s="1">
        <f>AA87+'.r file'!AA93</f>
        <v>633</v>
      </c>
      <c r="AB88" s="1">
        <f>AB87+'.r file'!AB93</f>
        <v>602.51000000000022</v>
      </c>
      <c r="AC88" s="1">
        <f>AC87+'.r file'!AC93</f>
        <v>665</v>
      </c>
      <c r="AD88" s="1">
        <f>AD87+'.r file'!AD93</f>
        <v>621.20000000000005</v>
      </c>
      <c r="AE88" s="1">
        <f>AE87+'.r file'!AE93</f>
        <v>566.77</v>
      </c>
      <c r="AF88" s="1">
        <f>AF87+'.r file'!AF93</f>
        <v>496.03000000000009</v>
      </c>
    </row>
    <row r="89" spans="1:32" x14ac:dyDescent="0.25">
      <c r="A89" s="6">
        <v>27056.958333333332</v>
      </c>
      <c r="B89" s="1">
        <f>B88+'.r file'!B94</f>
        <v>685.78000000000054</v>
      </c>
      <c r="C89" s="1">
        <f>C88+'.r file'!C94</f>
        <v>603.80000000000018</v>
      </c>
      <c r="D89" s="1">
        <f>D88+'.r file'!D94</f>
        <v>363</v>
      </c>
      <c r="E89" s="1">
        <f>E88+'.r file'!E94</f>
        <v>330</v>
      </c>
      <c r="F89" s="1">
        <f>F88+'.r file'!F94</f>
        <v>292.65000000000009</v>
      </c>
      <c r="G89" s="1">
        <f>G88+'.r file'!G94</f>
        <v>195.48999999999998</v>
      </c>
      <c r="H89" s="1">
        <f>H88+'.r file'!H94</f>
        <v>402</v>
      </c>
      <c r="I89" s="1">
        <f>I88+'.r file'!I94</f>
        <v>262.08</v>
      </c>
      <c r="J89" s="1">
        <f>J88+'.r file'!J94</f>
        <v>260</v>
      </c>
      <c r="K89" s="1">
        <f>K88+'.r file'!K94</f>
        <v>435</v>
      </c>
      <c r="L89" s="1">
        <f>L88+'.r file'!L94</f>
        <v>378.03999999999974</v>
      </c>
      <c r="M89" s="1">
        <f>M88+'.r file'!M94</f>
        <v>1263</v>
      </c>
      <c r="N89" s="1">
        <f>N88+'.r file'!N94</f>
        <v>102.49</v>
      </c>
      <c r="O89" s="1">
        <f>O88+'.r file'!O94</f>
        <v>623</v>
      </c>
      <c r="P89" s="1">
        <f>P88+'.r file'!P94</f>
        <v>342.63000000000005</v>
      </c>
      <c r="Q89" s="1">
        <f>Q88+'.r file'!Q94</f>
        <v>435</v>
      </c>
      <c r="R89" s="1">
        <f>R88+'.r file'!R94</f>
        <v>430.27999999999992</v>
      </c>
      <c r="S89" s="1">
        <f>S88+'.r file'!S94</f>
        <v>476.32000000000011</v>
      </c>
      <c r="T89" s="1">
        <f>T88+'.r file'!T94</f>
        <v>531</v>
      </c>
      <c r="U89" s="1">
        <f>U88+'.r file'!U94</f>
        <v>843.69000000000028</v>
      </c>
      <c r="V89" s="1">
        <f>V88+'.r file'!V94</f>
        <v>687</v>
      </c>
      <c r="W89" s="1">
        <f>W88+'.r file'!W94</f>
        <v>917</v>
      </c>
      <c r="X89" s="1">
        <f>X88+'.r file'!X94</f>
        <v>766</v>
      </c>
      <c r="Y89" s="1">
        <f>Y88+'.r file'!Y94</f>
        <v>609</v>
      </c>
      <c r="Z89" s="1">
        <f>Z88+'.r file'!Z94</f>
        <v>819.11</v>
      </c>
      <c r="AA89" s="1">
        <f>AA88+'.r file'!AA94</f>
        <v>633.57000000000005</v>
      </c>
      <c r="AB89" s="1">
        <f>AB88+'.r file'!AB94</f>
        <v>603.51000000000022</v>
      </c>
      <c r="AC89" s="1">
        <f>AC88+'.r file'!AC94</f>
        <v>666</v>
      </c>
      <c r="AD89" s="1">
        <f>AD88+'.r file'!AD94</f>
        <v>621.90000000000009</v>
      </c>
      <c r="AE89" s="1">
        <f>AE88+'.r file'!AE94</f>
        <v>576.44999999999993</v>
      </c>
      <c r="AF89" s="1">
        <f>AF88+'.r file'!AF94</f>
        <v>498.4500000000001</v>
      </c>
    </row>
    <row r="90" spans="1:32" x14ac:dyDescent="0.25">
      <c r="A90" s="6">
        <v>27057</v>
      </c>
      <c r="B90" s="1">
        <f>B89+'.r file'!B95</f>
        <v>688.03000000000054</v>
      </c>
      <c r="C90" s="1">
        <f>C89+'.r file'!C95</f>
        <v>605.60000000000014</v>
      </c>
      <c r="D90" s="1">
        <f>D89+'.r file'!D95</f>
        <v>364</v>
      </c>
      <c r="E90" s="1">
        <f>E89+'.r file'!E95</f>
        <v>331</v>
      </c>
      <c r="F90" s="1">
        <f>F89+'.r file'!F95</f>
        <v>293.66000000000008</v>
      </c>
      <c r="G90" s="1">
        <f>G89+'.r file'!G95</f>
        <v>196.82999999999998</v>
      </c>
      <c r="H90" s="1">
        <f>H89+'.r file'!H95</f>
        <v>404</v>
      </c>
      <c r="I90" s="1">
        <f>I89+'.r file'!I95</f>
        <v>263.40999999999997</v>
      </c>
      <c r="J90" s="1">
        <f>J89+'.r file'!J95</f>
        <v>261</v>
      </c>
      <c r="K90" s="1">
        <f>K89+'.r file'!K95</f>
        <v>436</v>
      </c>
      <c r="L90" s="1">
        <f>L89+'.r file'!L95</f>
        <v>379.61999999999972</v>
      </c>
      <c r="M90" s="1">
        <f>M89+'.r file'!M95</f>
        <v>1272</v>
      </c>
      <c r="N90" s="1">
        <f>N89+'.r file'!N95</f>
        <v>102.99</v>
      </c>
      <c r="O90" s="1">
        <f>O89+'.r file'!O95</f>
        <v>625</v>
      </c>
      <c r="P90" s="1">
        <f>P89+'.r file'!P95</f>
        <v>343.29000000000008</v>
      </c>
      <c r="Q90" s="1">
        <f>Q89+'.r file'!Q95</f>
        <v>436</v>
      </c>
      <c r="R90" s="1">
        <f>R89+'.r file'!R95</f>
        <v>430.57999999999993</v>
      </c>
      <c r="S90" s="1">
        <f>S89+'.r file'!S95</f>
        <v>477.34000000000009</v>
      </c>
      <c r="T90" s="1">
        <f>T89+'.r file'!T95</f>
        <v>531</v>
      </c>
      <c r="U90" s="1">
        <f>U89+'.r file'!U95</f>
        <v>845.1700000000003</v>
      </c>
      <c r="V90" s="1">
        <f>V89+'.r file'!V95</f>
        <v>687</v>
      </c>
      <c r="W90" s="1">
        <f>W89+'.r file'!W95</f>
        <v>918</v>
      </c>
      <c r="X90" s="1">
        <f>X89+'.r file'!X95</f>
        <v>767</v>
      </c>
      <c r="Y90" s="1">
        <f>Y89+'.r file'!Y95</f>
        <v>610</v>
      </c>
      <c r="Z90" s="1">
        <f>Z89+'.r file'!Z95</f>
        <v>820.21</v>
      </c>
      <c r="AA90" s="1">
        <f>AA89+'.r file'!AA95</f>
        <v>634.6</v>
      </c>
      <c r="AB90" s="1">
        <f>AB89+'.r file'!AB95</f>
        <v>604.11000000000024</v>
      </c>
      <c r="AC90" s="1">
        <f>AC89+'.r file'!AC95</f>
        <v>666</v>
      </c>
      <c r="AD90" s="1">
        <f>AD89+'.r file'!AD95</f>
        <v>622.50000000000011</v>
      </c>
      <c r="AE90" s="1">
        <f>AE89+'.r file'!AE95</f>
        <v>581.79</v>
      </c>
      <c r="AF90" s="1">
        <f>AF89+'.r file'!AF95</f>
        <v>500.8300000000001</v>
      </c>
    </row>
    <row r="91" spans="1:32" x14ac:dyDescent="0.25">
      <c r="A91" s="6">
        <v>27057.041666666668</v>
      </c>
      <c r="B91" s="1">
        <f>B90+'.r file'!B96</f>
        <v>689.09000000000049</v>
      </c>
      <c r="C91" s="1">
        <f>C90+'.r file'!C96</f>
        <v>606.30000000000018</v>
      </c>
      <c r="D91" s="1">
        <f>D90+'.r file'!D96</f>
        <v>366</v>
      </c>
      <c r="E91" s="1">
        <f>E90+'.r file'!E96</f>
        <v>332</v>
      </c>
      <c r="F91" s="1">
        <f>F90+'.r file'!F96</f>
        <v>295.88000000000011</v>
      </c>
      <c r="G91" s="1">
        <f>G90+'.r file'!G96</f>
        <v>198.94</v>
      </c>
      <c r="H91" s="1">
        <f>H90+'.r file'!H96</f>
        <v>405</v>
      </c>
      <c r="I91" s="1">
        <f>I90+'.r file'!I96</f>
        <v>263.91999999999996</v>
      </c>
      <c r="J91" s="1">
        <f>J90+'.r file'!J96</f>
        <v>261</v>
      </c>
      <c r="K91" s="1">
        <f>K90+'.r file'!K96</f>
        <v>437</v>
      </c>
      <c r="L91" s="1">
        <f>L90+'.r file'!L96</f>
        <v>381.1999999999997</v>
      </c>
      <c r="M91" s="1">
        <f>M90+'.r file'!M96</f>
        <v>1274</v>
      </c>
      <c r="N91" s="1">
        <f>N90+'.r file'!N96</f>
        <v>103.49</v>
      </c>
      <c r="O91" s="1">
        <f>O90+'.r file'!O96</f>
        <v>627</v>
      </c>
      <c r="P91" s="1">
        <f>P90+'.r file'!P96</f>
        <v>343.40000000000009</v>
      </c>
      <c r="Q91" s="1">
        <f>Q90+'.r file'!Q96</f>
        <v>437</v>
      </c>
      <c r="R91" s="1">
        <f>R90+'.r file'!R96</f>
        <v>431.37999999999994</v>
      </c>
      <c r="S91" s="1">
        <f>S90+'.r file'!S96</f>
        <v>477.92000000000007</v>
      </c>
      <c r="T91" s="1">
        <f>T90+'.r file'!T96</f>
        <v>532</v>
      </c>
      <c r="U91" s="1">
        <f>U90+'.r file'!U96</f>
        <v>847.00000000000034</v>
      </c>
      <c r="V91" s="1">
        <f>V90+'.r file'!V96</f>
        <v>687</v>
      </c>
      <c r="W91" s="1">
        <f>W90+'.r file'!W96</f>
        <v>919</v>
      </c>
      <c r="X91" s="1">
        <f>X90+'.r file'!X96</f>
        <v>769</v>
      </c>
      <c r="Y91" s="1">
        <f>Y90+'.r file'!Y96</f>
        <v>611</v>
      </c>
      <c r="Z91" s="1">
        <f>Z90+'.r file'!Z96</f>
        <v>820.41000000000008</v>
      </c>
      <c r="AA91" s="1">
        <f>AA90+'.r file'!AA96</f>
        <v>635.4</v>
      </c>
      <c r="AB91" s="1">
        <f>AB90+'.r file'!AB96</f>
        <v>604.11000000000024</v>
      </c>
      <c r="AC91" s="1">
        <f>AC90+'.r file'!AC96</f>
        <v>667</v>
      </c>
      <c r="AD91" s="1">
        <f>AD90+'.r file'!AD96</f>
        <v>623.10000000000014</v>
      </c>
      <c r="AE91" s="1">
        <f>AE90+'.r file'!AE96</f>
        <v>584.98</v>
      </c>
      <c r="AF91" s="1">
        <f>AF90+'.r file'!AF96</f>
        <v>509.92000000000007</v>
      </c>
    </row>
    <row r="92" spans="1:32" x14ac:dyDescent="0.25">
      <c r="A92" s="6">
        <v>27057.083333333332</v>
      </c>
      <c r="B92" s="1">
        <f>B91+'.r file'!B97</f>
        <v>689.8200000000005</v>
      </c>
      <c r="C92" s="1">
        <f>C91+'.r file'!C97</f>
        <v>606.30000000000018</v>
      </c>
      <c r="D92" s="1">
        <f>D91+'.r file'!D97</f>
        <v>369</v>
      </c>
      <c r="E92" s="1">
        <f>E91+'.r file'!E97</f>
        <v>332</v>
      </c>
      <c r="F92" s="1">
        <f>F91+'.r file'!F97</f>
        <v>299.35000000000014</v>
      </c>
      <c r="G92" s="1">
        <f>G91+'.r file'!G97</f>
        <v>200.39</v>
      </c>
      <c r="H92" s="1">
        <f>H91+'.r file'!H97</f>
        <v>405</v>
      </c>
      <c r="I92" s="1">
        <f>I91+'.r file'!I97</f>
        <v>264.18999999999994</v>
      </c>
      <c r="J92" s="1">
        <f>J91+'.r file'!J97</f>
        <v>261</v>
      </c>
      <c r="K92" s="1">
        <f>K91+'.r file'!K97</f>
        <v>438</v>
      </c>
      <c r="L92" s="1">
        <f>L91+'.r file'!L97</f>
        <v>382.77999999999969</v>
      </c>
      <c r="M92" s="1">
        <f>M91+'.r file'!M97</f>
        <v>1275</v>
      </c>
      <c r="N92" s="1">
        <f>N91+'.r file'!N97</f>
        <v>103.99</v>
      </c>
      <c r="O92" s="1">
        <f>O91+'.r file'!O97</f>
        <v>628</v>
      </c>
      <c r="P92" s="1">
        <f>P91+'.r file'!P97</f>
        <v>343.40000000000009</v>
      </c>
      <c r="Q92" s="1">
        <f>Q91+'.r file'!Q97</f>
        <v>438</v>
      </c>
      <c r="R92" s="1">
        <f>R91+'.r file'!R97</f>
        <v>434.18999999999994</v>
      </c>
      <c r="S92" s="1">
        <f>S91+'.r file'!S97</f>
        <v>478.24000000000007</v>
      </c>
      <c r="T92" s="1">
        <f>T91+'.r file'!T97</f>
        <v>532</v>
      </c>
      <c r="U92" s="1">
        <f>U91+'.r file'!U97</f>
        <v>847.78000000000031</v>
      </c>
      <c r="V92" s="1">
        <f>V91+'.r file'!V97</f>
        <v>688</v>
      </c>
      <c r="W92" s="1">
        <f>W91+'.r file'!W97</f>
        <v>920</v>
      </c>
      <c r="X92" s="1">
        <f>X91+'.r file'!X97</f>
        <v>770</v>
      </c>
      <c r="Y92" s="1">
        <f>Y91+'.r file'!Y97</f>
        <v>611</v>
      </c>
      <c r="Z92" s="1">
        <f>Z91+'.r file'!Z97</f>
        <v>820.41000000000008</v>
      </c>
      <c r="AA92" s="1">
        <f>AA91+'.r file'!AA97</f>
        <v>636.92999999999995</v>
      </c>
      <c r="AB92" s="1">
        <f>AB91+'.r file'!AB97</f>
        <v>605.11000000000024</v>
      </c>
      <c r="AC92" s="1">
        <f>AC91+'.r file'!AC97</f>
        <v>667</v>
      </c>
      <c r="AD92" s="1">
        <f>AD91+'.r file'!AD97</f>
        <v>623.10000000000014</v>
      </c>
      <c r="AE92" s="1">
        <f>AE91+'.r file'!AE97</f>
        <v>585.61</v>
      </c>
      <c r="AF92" s="1">
        <f>AF91+'.r file'!AF97</f>
        <v>517.59</v>
      </c>
    </row>
    <row r="93" spans="1:32" x14ac:dyDescent="0.25">
      <c r="A93" s="6">
        <v>27057.125</v>
      </c>
      <c r="B93" s="1">
        <f>B92+'.r file'!B98</f>
        <v>690.3200000000005</v>
      </c>
      <c r="C93" s="1">
        <f>C92+'.r file'!C98</f>
        <v>606.30000000000018</v>
      </c>
      <c r="D93" s="1">
        <f>D92+'.r file'!D98</f>
        <v>372</v>
      </c>
      <c r="E93" s="1">
        <f>E92+'.r file'!E98</f>
        <v>333</v>
      </c>
      <c r="F93" s="1">
        <f>F92+'.r file'!F98</f>
        <v>301.60000000000014</v>
      </c>
      <c r="G93" s="1">
        <f>G92+'.r file'!G98</f>
        <v>200.6</v>
      </c>
      <c r="H93" s="1">
        <f>H92+'.r file'!H98</f>
        <v>405</v>
      </c>
      <c r="I93" s="1">
        <f>I92+'.r file'!I98</f>
        <v>264.61999999999995</v>
      </c>
      <c r="J93" s="1">
        <f>J92+'.r file'!J98</f>
        <v>261</v>
      </c>
      <c r="K93" s="1">
        <f>K92+'.r file'!K98</f>
        <v>438</v>
      </c>
      <c r="L93" s="1">
        <f>L92+'.r file'!L98</f>
        <v>384.35999999999967</v>
      </c>
      <c r="M93" s="1">
        <f>M92+'.r file'!M98</f>
        <v>1278</v>
      </c>
      <c r="N93" s="1">
        <f>N92+'.r file'!N98</f>
        <v>104.49</v>
      </c>
      <c r="O93" s="1">
        <f>O92+'.r file'!O98</f>
        <v>628</v>
      </c>
      <c r="P93" s="1">
        <f>P92+'.r file'!P98</f>
        <v>344.21000000000009</v>
      </c>
      <c r="Q93" s="1">
        <f>Q92+'.r file'!Q98</f>
        <v>438</v>
      </c>
      <c r="R93" s="1">
        <f>R92+'.r file'!R98</f>
        <v>435.67999999999995</v>
      </c>
      <c r="S93" s="1">
        <f>S92+'.r file'!S98</f>
        <v>478.61000000000007</v>
      </c>
      <c r="T93" s="1">
        <f>T92+'.r file'!T98</f>
        <v>532</v>
      </c>
      <c r="U93" s="1">
        <f>U92+'.r file'!U98</f>
        <v>854.36000000000035</v>
      </c>
      <c r="V93" s="1">
        <f>V92+'.r file'!V98</f>
        <v>691</v>
      </c>
      <c r="W93" s="1">
        <f>W92+'.r file'!W98</f>
        <v>920</v>
      </c>
      <c r="X93" s="1">
        <f>X92+'.r file'!X98</f>
        <v>772</v>
      </c>
      <c r="Y93" s="1">
        <f>Y92+'.r file'!Y98</f>
        <v>615</v>
      </c>
      <c r="Z93" s="1">
        <f>Z92+'.r file'!Z98</f>
        <v>821.36000000000013</v>
      </c>
      <c r="AA93" s="1">
        <f>AA92+'.r file'!AA98</f>
        <v>640.79999999999995</v>
      </c>
      <c r="AB93" s="1">
        <f>AB92+'.r file'!AB98</f>
        <v>606.61000000000024</v>
      </c>
      <c r="AC93" s="1">
        <f>AC92+'.r file'!AC98</f>
        <v>667</v>
      </c>
      <c r="AD93" s="1">
        <f>AD92+'.r file'!AD98</f>
        <v>623.10000000000014</v>
      </c>
      <c r="AE93" s="1">
        <f>AE92+'.r file'!AE98</f>
        <v>586.32000000000005</v>
      </c>
      <c r="AF93" s="1">
        <f>AF92+'.r file'!AF98</f>
        <v>523.49</v>
      </c>
    </row>
    <row r="94" spans="1:32" x14ac:dyDescent="0.25">
      <c r="A94" s="6">
        <v>27057.166666666668</v>
      </c>
      <c r="B94" s="1">
        <f>B93+'.r file'!B99</f>
        <v>691.76000000000056</v>
      </c>
      <c r="C94" s="1">
        <f>C93+'.r file'!C99</f>
        <v>606.9000000000002</v>
      </c>
      <c r="D94" s="1">
        <f>D93+'.r file'!D99</f>
        <v>373</v>
      </c>
      <c r="E94" s="1">
        <f>E93+'.r file'!E99</f>
        <v>334</v>
      </c>
      <c r="F94" s="1">
        <f>F93+'.r file'!F99</f>
        <v>303.30000000000013</v>
      </c>
      <c r="G94" s="1">
        <f>G93+'.r file'!G99</f>
        <v>202.47</v>
      </c>
      <c r="H94" s="1">
        <f>H93+'.r file'!H99</f>
        <v>406</v>
      </c>
      <c r="I94" s="1">
        <f>I93+'.r file'!I99</f>
        <v>265.30999999999995</v>
      </c>
      <c r="J94" s="1">
        <f>J93+'.r file'!J99</f>
        <v>263</v>
      </c>
      <c r="K94" s="1">
        <f>K93+'.r file'!K99</f>
        <v>439</v>
      </c>
      <c r="L94" s="1">
        <f>L93+'.r file'!L99</f>
        <v>385.93999999999966</v>
      </c>
      <c r="M94" s="1">
        <f>M93+'.r file'!M99</f>
        <v>1282</v>
      </c>
      <c r="N94" s="1">
        <f>N93+'.r file'!N99</f>
        <v>104.99</v>
      </c>
      <c r="O94" s="1">
        <f>O93+'.r file'!O99</f>
        <v>629</v>
      </c>
      <c r="P94" s="1">
        <f>P93+'.r file'!P99</f>
        <v>346.90000000000009</v>
      </c>
      <c r="Q94" s="1">
        <f>Q93+'.r file'!Q99</f>
        <v>439</v>
      </c>
      <c r="R94" s="1">
        <f>R93+'.r file'!R99</f>
        <v>435.78</v>
      </c>
      <c r="S94" s="1">
        <f>S93+'.r file'!S99</f>
        <v>479.74000000000007</v>
      </c>
      <c r="T94" s="1">
        <f>T93+'.r file'!T99</f>
        <v>534</v>
      </c>
      <c r="U94" s="1">
        <f>U93+'.r file'!U99</f>
        <v>859.1900000000004</v>
      </c>
      <c r="V94" s="1">
        <f>V93+'.r file'!V99</f>
        <v>691</v>
      </c>
      <c r="W94" s="1">
        <f>W93+'.r file'!W99</f>
        <v>922</v>
      </c>
      <c r="X94" s="1">
        <f>X93+'.r file'!X99</f>
        <v>783</v>
      </c>
      <c r="Y94" s="1">
        <f>Y93+'.r file'!Y99</f>
        <v>617</v>
      </c>
      <c r="Z94" s="1">
        <f>Z93+'.r file'!Z99</f>
        <v>825.91000000000008</v>
      </c>
      <c r="AA94" s="1">
        <f>AA93+'.r file'!AA99</f>
        <v>641.5</v>
      </c>
      <c r="AB94" s="1">
        <f>AB93+'.r file'!AB99</f>
        <v>608.93000000000029</v>
      </c>
      <c r="AC94" s="1">
        <f>AC93+'.r file'!AC99</f>
        <v>668</v>
      </c>
      <c r="AD94" s="1">
        <f>AD93+'.r file'!AD99</f>
        <v>623.10000000000014</v>
      </c>
      <c r="AE94" s="1">
        <f>AE93+'.r file'!AE99</f>
        <v>588.23</v>
      </c>
      <c r="AF94" s="1">
        <f>AF93+'.r file'!AF99</f>
        <v>525.33000000000004</v>
      </c>
    </row>
    <row r="95" spans="1:32" x14ac:dyDescent="0.25">
      <c r="A95" s="6">
        <v>27057.208333333332</v>
      </c>
      <c r="B95" s="1">
        <f>B94+'.r file'!B100</f>
        <v>693.27000000000055</v>
      </c>
      <c r="C95" s="1">
        <f>C94+'.r file'!C100</f>
        <v>608.70000000000016</v>
      </c>
      <c r="D95" s="1">
        <f>D94+'.r file'!D100</f>
        <v>373</v>
      </c>
      <c r="E95" s="1">
        <f>E94+'.r file'!E100</f>
        <v>335</v>
      </c>
      <c r="F95" s="1">
        <f>F94+'.r file'!F100</f>
        <v>304.42000000000013</v>
      </c>
      <c r="G95" s="1">
        <f>G94+'.r file'!G100</f>
        <v>204.42</v>
      </c>
      <c r="H95" s="1">
        <f>H94+'.r file'!H100</f>
        <v>408</v>
      </c>
      <c r="I95" s="1">
        <f>I94+'.r file'!I100</f>
        <v>266.39999999999992</v>
      </c>
      <c r="J95" s="1">
        <f>J94+'.r file'!J100</f>
        <v>264</v>
      </c>
      <c r="K95" s="1">
        <f>K94+'.r file'!K100</f>
        <v>440</v>
      </c>
      <c r="L95" s="1">
        <f>L94+'.r file'!L100</f>
        <v>387.51999999999964</v>
      </c>
      <c r="M95" s="1">
        <f>M94+'.r file'!M100</f>
        <v>1292</v>
      </c>
      <c r="N95" s="1">
        <f>N94+'.r file'!N100</f>
        <v>105.49</v>
      </c>
      <c r="O95" s="1">
        <f>O94+'.r file'!O100</f>
        <v>632</v>
      </c>
      <c r="P95" s="1">
        <f>P94+'.r file'!P100</f>
        <v>348.84000000000009</v>
      </c>
      <c r="Q95" s="1">
        <f>Q94+'.r file'!Q100</f>
        <v>440</v>
      </c>
      <c r="R95" s="1">
        <f>R94+'.r file'!R100</f>
        <v>435.78</v>
      </c>
      <c r="S95" s="1">
        <f>S94+'.r file'!S100</f>
        <v>479.74000000000007</v>
      </c>
      <c r="T95" s="1">
        <f>T94+'.r file'!T100</f>
        <v>535</v>
      </c>
      <c r="U95" s="1">
        <f>U94+'.r file'!U100</f>
        <v>860.08000000000038</v>
      </c>
      <c r="V95" s="1">
        <f>V94+'.r file'!V100</f>
        <v>692</v>
      </c>
      <c r="W95" s="1">
        <f>W94+'.r file'!W100</f>
        <v>923</v>
      </c>
      <c r="X95" s="1">
        <f>X94+'.r file'!X100</f>
        <v>786</v>
      </c>
      <c r="Y95" s="1">
        <f>Y94+'.r file'!Y100</f>
        <v>617</v>
      </c>
      <c r="Z95" s="1">
        <f>Z94+'.r file'!Z100</f>
        <v>826.11000000000013</v>
      </c>
      <c r="AA95" s="1">
        <f>AA94+'.r file'!AA100</f>
        <v>642.29999999999995</v>
      </c>
      <c r="AB95" s="1">
        <f>AB94+'.r file'!AB100</f>
        <v>609.21000000000026</v>
      </c>
      <c r="AC95" s="1">
        <f>AC94+'.r file'!AC100</f>
        <v>668</v>
      </c>
      <c r="AD95" s="1">
        <f>AD94+'.r file'!AD100</f>
        <v>624.40000000000009</v>
      </c>
      <c r="AE95" s="1">
        <f>AE94+'.r file'!AE100</f>
        <v>588.9</v>
      </c>
      <c r="AF95" s="1">
        <f>AF94+'.r file'!AF100</f>
        <v>526.5200000000001</v>
      </c>
    </row>
    <row r="96" spans="1:32" x14ac:dyDescent="0.25">
      <c r="A96" s="6">
        <v>27057.25</v>
      </c>
      <c r="B96" s="1">
        <f>B95+'.r file'!B101</f>
        <v>695.02000000000055</v>
      </c>
      <c r="C96" s="1">
        <f>C95+'.r file'!C101</f>
        <v>609.30000000000018</v>
      </c>
      <c r="D96" s="1">
        <f>D95+'.r file'!D101</f>
        <v>374</v>
      </c>
      <c r="E96" s="1">
        <f>E95+'.r file'!E101</f>
        <v>336</v>
      </c>
      <c r="F96" s="1">
        <f>F95+'.r file'!F101</f>
        <v>307.58000000000015</v>
      </c>
      <c r="G96" s="1">
        <f>G95+'.r file'!G101</f>
        <v>206.83999999999997</v>
      </c>
      <c r="H96" s="1">
        <f>H95+'.r file'!H101</f>
        <v>410</v>
      </c>
      <c r="I96" s="1">
        <f>I95+'.r file'!I101</f>
        <v>267.12999999999994</v>
      </c>
      <c r="J96" s="1">
        <f>J95+'.r file'!J101</f>
        <v>264</v>
      </c>
      <c r="K96" s="1">
        <f>K95+'.r file'!K101</f>
        <v>441</v>
      </c>
      <c r="L96" s="1">
        <f>L95+'.r file'!L101</f>
        <v>389.09999999999962</v>
      </c>
      <c r="M96" s="1">
        <f>M95+'.r file'!M101</f>
        <v>1293</v>
      </c>
      <c r="N96" s="1">
        <f>N95+'.r file'!N101</f>
        <v>105.99</v>
      </c>
      <c r="O96" s="1">
        <f>O95+'.r file'!O101</f>
        <v>633</v>
      </c>
      <c r="P96" s="1">
        <f>P95+'.r file'!P101</f>
        <v>351.0200000000001</v>
      </c>
      <c r="Q96" s="1">
        <f>Q95+'.r file'!Q101</f>
        <v>441</v>
      </c>
      <c r="R96" s="1">
        <f>R95+'.r file'!R101</f>
        <v>435.78</v>
      </c>
      <c r="S96" s="1">
        <f>S95+'.r file'!S101</f>
        <v>479.74000000000007</v>
      </c>
      <c r="T96" s="1">
        <f>T95+'.r file'!T101</f>
        <v>536</v>
      </c>
      <c r="U96" s="1">
        <f>U95+'.r file'!U101</f>
        <v>861.09000000000037</v>
      </c>
      <c r="V96" s="1">
        <f>V95+'.r file'!V101</f>
        <v>694</v>
      </c>
      <c r="W96" s="1">
        <f>W95+'.r file'!W101</f>
        <v>923</v>
      </c>
      <c r="X96" s="1">
        <f>X95+'.r file'!X101</f>
        <v>786</v>
      </c>
      <c r="Y96" s="1">
        <f>Y95+'.r file'!Y101</f>
        <v>617</v>
      </c>
      <c r="Z96" s="1">
        <f>Z95+'.r file'!Z101</f>
        <v>826.45000000000016</v>
      </c>
      <c r="AA96" s="1">
        <f>AA95+'.r file'!AA101</f>
        <v>642.79999999999995</v>
      </c>
      <c r="AB96" s="1">
        <f>AB95+'.r file'!AB101</f>
        <v>610.01000000000022</v>
      </c>
      <c r="AC96" s="1">
        <f>AC95+'.r file'!AC101</f>
        <v>669</v>
      </c>
      <c r="AD96" s="1">
        <f>AD95+'.r file'!AD101</f>
        <v>625.00000000000011</v>
      </c>
      <c r="AE96" s="1">
        <f>AE95+'.r file'!AE101</f>
        <v>590.41999999999996</v>
      </c>
      <c r="AF96" s="1">
        <f>AF95+'.r file'!AF101</f>
        <v>527.73000000000013</v>
      </c>
    </row>
    <row r="97" spans="1:32" x14ac:dyDescent="0.25">
      <c r="A97" s="6">
        <v>27057.291666666668</v>
      </c>
      <c r="B97" s="1">
        <f>B96+'.r file'!B102</f>
        <v>696.7200000000006</v>
      </c>
      <c r="C97" s="1">
        <f>C96+'.r file'!C102</f>
        <v>610.60000000000014</v>
      </c>
      <c r="D97" s="1">
        <f>D96+'.r file'!D102</f>
        <v>374</v>
      </c>
      <c r="E97" s="1">
        <f>E96+'.r file'!E102</f>
        <v>337</v>
      </c>
      <c r="F97" s="1">
        <f>F96+'.r file'!F102</f>
        <v>309.75000000000017</v>
      </c>
      <c r="G97" s="1">
        <f>G96+'.r file'!G102</f>
        <v>207.27999999999997</v>
      </c>
      <c r="H97" s="1">
        <f>H96+'.r file'!H102</f>
        <v>415</v>
      </c>
      <c r="I97" s="1">
        <f>I96+'.r file'!I102</f>
        <v>269.28999999999996</v>
      </c>
      <c r="J97" s="1">
        <f>J96+'.r file'!J102</f>
        <v>267</v>
      </c>
      <c r="K97" s="1">
        <f>K96+'.r file'!K102</f>
        <v>444</v>
      </c>
      <c r="L97" s="1">
        <f>L96+'.r file'!L102</f>
        <v>390.67999999999961</v>
      </c>
      <c r="M97" s="1">
        <f>M96+'.r file'!M102</f>
        <v>1298</v>
      </c>
      <c r="N97" s="1">
        <f>N96+'.r file'!N102</f>
        <v>106.49</v>
      </c>
      <c r="O97" s="1">
        <f>O96+'.r file'!O102</f>
        <v>634</v>
      </c>
      <c r="P97" s="1">
        <f>P96+'.r file'!P102</f>
        <v>353.0800000000001</v>
      </c>
      <c r="Q97" s="1">
        <f>Q96+'.r file'!Q102</f>
        <v>444</v>
      </c>
      <c r="R97" s="1">
        <f>R96+'.r file'!R102</f>
        <v>435.78</v>
      </c>
      <c r="S97" s="1">
        <f>S96+'.r file'!S102</f>
        <v>479.74000000000007</v>
      </c>
      <c r="T97" s="1">
        <f>T96+'.r file'!T102</f>
        <v>536</v>
      </c>
      <c r="U97" s="1">
        <f>U96+'.r file'!U102</f>
        <v>861.38000000000034</v>
      </c>
      <c r="V97" s="1">
        <f>V96+'.r file'!V102</f>
        <v>695</v>
      </c>
      <c r="W97" s="1">
        <f>W96+'.r file'!W102</f>
        <v>924</v>
      </c>
      <c r="X97" s="1">
        <f>X96+'.r file'!X102</f>
        <v>786</v>
      </c>
      <c r="Y97" s="1">
        <f>Y96+'.r file'!Y102</f>
        <v>617</v>
      </c>
      <c r="Z97" s="1">
        <f>Z96+'.r file'!Z102</f>
        <v>826.61000000000013</v>
      </c>
      <c r="AA97" s="1">
        <f>AA96+'.r file'!AA102</f>
        <v>643</v>
      </c>
      <c r="AB97" s="1">
        <f>AB96+'.r file'!AB102</f>
        <v>610.21000000000026</v>
      </c>
      <c r="AC97" s="1">
        <f>AC96+'.r file'!AC102</f>
        <v>669</v>
      </c>
      <c r="AD97" s="1">
        <f>AD96+'.r file'!AD102</f>
        <v>625.60000000000014</v>
      </c>
      <c r="AE97" s="1">
        <f>AE96+'.r file'!AE102</f>
        <v>590.70999999999992</v>
      </c>
      <c r="AF97" s="1">
        <f>AF96+'.r file'!AF102</f>
        <v>528.41000000000008</v>
      </c>
    </row>
    <row r="98" spans="1:32" x14ac:dyDescent="0.25">
      <c r="A98" s="6">
        <v>27057.333333333332</v>
      </c>
      <c r="B98" s="1">
        <f>B97+'.r file'!B103</f>
        <v>699.93000000000063</v>
      </c>
      <c r="C98" s="1">
        <f>C97+'.r file'!C103</f>
        <v>613.10000000000014</v>
      </c>
      <c r="D98" s="1">
        <f>D97+'.r file'!D103</f>
        <v>374</v>
      </c>
      <c r="E98" s="1">
        <f>E97+'.r file'!E103</f>
        <v>339</v>
      </c>
      <c r="F98" s="1">
        <f>F97+'.r file'!F103</f>
        <v>311.50000000000017</v>
      </c>
      <c r="G98" s="1">
        <f>G97+'.r file'!G103</f>
        <v>208.37999999999997</v>
      </c>
      <c r="H98" s="1">
        <f>H97+'.r file'!H103</f>
        <v>421</v>
      </c>
      <c r="I98" s="1">
        <f>I97+'.r file'!I103</f>
        <v>270.21999999999997</v>
      </c>
      <c r="J98" s="1">
        <f>J97+'.r file'!J103</f>
        <v>268</v>
      </c>
      <c r="K98" s="1">
        <f>K97+'.r file'!K103</f>
        <v>445</v>
      </c>
      <c r="L98" s="1">
        <f>L97+'.r file'!L103</f>
        <v>392.25999999999959</v>
      </c>
      <c r="M98" s="1">
        <f>M97+'.r file'!M103</f>
        <v>1301</v>
      </c>
      <c r="N98" s="1">
        <f>N97+'.r file'!N103</f>
        <v>106.99</v>
      </c>
      <c r="O98" s="1">
        <f>O97+'.r file'!O103</f>
        <v>637</v>
      </c>
      <c r="P98" s="1">
        <f>P97+'.r file'!P103</f>
        <v>354.80000000000013</v>
      </c>
      <c r="Q98" s="1">
        <f>Q97+'.r file'!Q103</f>
        <v>445</v>
      </c>
      <c r="R98" s="1">
        <f>R97+'.r file'!R103</f>
        <v>435.78</v>
      </c>
      <c r="S98" s="1">
        <f>S97+'.r file'!S103</f>
        <v>479.74000000000007</v>
      </c>
      <c r="T98" s="1">
        <f>T97+'.r file'!T103</f>
        <v>536</v>
      </c>
      <c r="U98" s="1">
        <f>U97+'.r file'!U103</f>
        <v>863.24000000000035</v>
      </c>
      <c r="V98" s="1">
        <f>V97+'.r file'!V103</f>
        <v>695</v>
      </c>
      <c r="W98" s="1">
        <f>W97+'.r file'!W103</f>
        <v>926</v>
      </c>
      <c r="X98" s="1">
        <f>X97+'.r file'!X103</f>
        <v>786</v>
      </c>
      <c r="Y98" s="1">
        <f>Y97+'.r file'!Y103</f>
        <v>618</v>
      </c>
      <c r="Z98" s="1">
        <f>Z97+'.r file'!Z103</f>
        <v>827.81000000000017</v>
      </c>
      <c r="AA98" s="1">
        <f>AA97+'.r file'!AA103</f>
        <v>643</v>
      </c>
      <c r="AB98" s="1">
        <f>AB97+'.r file'!AB103</f>
        <v>610.81000000000029</v>
      </c>
      <c r="AC98" s="1">
        <f>AC97+'.r file'!AC103</f>
        <v>669</v>
      </c>
      <c r="AD98" s="1">
        <f>AD97+'.r file'!AD103</f>
        <v>625.60000000000014</v>
      </c>
      <c r="AE98" s="1">
        <f>AE97+'.r file'!AE103</f>
        <v>597.31999999999994</v>
      </c>
      <c r="AF98" s="1">
        <f>AF97+'.r file'!AF103</f>
        <v>529.43000000000006</v>
      </c>
    </row>
    <row r="99" spans="1:32" x14ac:dyDescent="0.25">
      <c r="A99" s="6">
        <v>27057.375</v>
      </c>
      <c r="B99" s="1">
        <f>B98+'.r file'!B104</f>
        <v>712.2200000000006</v>
      </c>
      <c r="C99" s="1">
        <f>C98+'.r file'!C104</f>
        <v>614.90000000000009</v>
      </c>
      <c r="D99" s="1">
        <f>D98+'.r file'!D104</f>
        <v>375</v>
      </c>
      <c r="E99" s="1">
        <f>E98+'.r file'!E104</f>
        <v>341</v>
      </c>
      <c r="F99" s="1">
        <f>F98+'.r file'!F104</f>
        <v>311.50000000000017</v>
      </c>
      <c r="G99" s="1">
        <f>G98+'.r file'!G104</f>
        <v>209.70999999999998</v>
      </c>
      <c r="H99" s="1">
        <f>H98+'.r file'!H104</f>
        <v>426</v>
      </c>
      <c r="I99" s="1">
        <f>I98+'.r file'!I104</f>
        <v>271.41999999999996</v>
      </c>
      <c r="J99" s="1">
        <f>J98+'.r file'!J104</f>
        <v>269</v>
      </c>
      <c r="K99" s="1">
        <f>K98+'.r file'!K104</f>
        <v>445</v>
      </c>
      <c r="L99" s="1">
        <f>L98+'.r file'!L104</f>
        <v>393.83999999999958</v>
      </c>
      <c r="M99" s="1">
        <f>M98+'.r file'!M104</f>
        <v>1303</v>
      </c>
      <c r="N99" s="1">
        <f>N98+'.r file'!N104</f>
        <v>107.49</v>
      </c>
      <c r="O99" s="1">
        <f>O98+'.r file'!O104</f>
        <v>637</v>
      </c>
      <c r="P99" s="1">
        <f>P98+'.r file'!P104</f>
        <v>355.75000000000011</v>
      </c>
      <c r="Q99" s="1">
        <f>Q98+'.r file'!Q104</f>
        <v>445</v>
      </c>
      <c r="R99" s="1">
        <f>R98+'.r file'!R104</f>
        <v>435.78</v>
      </c>
      <c r="S99" s="1">
        <f>S98+'.r file'!S104</f>
        <v>479.74000000000007</v>
      </c>
      <c r="T99" s="1">
        <f>T98+'.r file'!T104</f>
        <v>536</v>
      </c>
      <c r="U99" s="1">
        <f>U98+'.r file'!U104</f>
        <v>863.59000000000037</v>
      </c>
      <c r="V99" s="1">
        <f>V98+'.r file'!V104</f>
        <v>695</v>
      </c>
      <c r="W99" s="1">
        <f>W98+'.r file'!W104</f>
        <v>926</v>
      </c>
      <c r="X99" s="1">
        <f>X98+'.r file'!X104</f>
        <v>786</v>
      </c>
      <c r="Y99" s="1">
        <f>Y98+'.r file'!Y104</f>
        <v>618</v>
      </c>
      <c r="Z99" s="1">
        <f>Z98+'.r file'!Z104</f>
        <v>827.81000000000017</v>
      </c>
      <c r="AA99" s="1">
        <f>AA98+'.r file'!AA104</f>
        <v>648</v>
      </c>
      <c r="AB99" s="1">
        <f>AB98+'.r file'!AB104</f>
        <v>611.01000000000033</v>
      </c>
      <c r="AC99" s="1">
        <f>AC98+'.r file'!AC104</f>
        <v>669</v>
      </c>
      <c r="AD99" s="1">
        <f>AD98+'.r file'!AD104</f>
        <v>625.60000000000014</v>
      </c>
      <c r="AE99" s="1">
        <f>AE98+'.r file'!AE104</f>
        <v>601.41999999999996</v>
      </c>
      <c r="AF99" s="1">
        <f>AF98+'.r file'!AF104</f>
        <v>530.03000000000009</v>
      </c>
    </row>
    <row r="100" spans="1:32" x14ac:dyDescent="0.25">
      <c r="A100" s="6">
        <v>27057.416666666668</v>
      </c>
      <c r="B100" s="1">
        <f>B99+'.r file'!B105</f>
        <v>717.43000000000063</v>
      </c>
      <c r="C100" s="1">
        <f>C99+'.r file'!C105</f>
        <v>614.90000000000009</v>
      </c>
      <c r="D100" s="1">
        <f>D99+'.r file'!D105</f>
        <v>375</v>
      </c>
      <c r="E100" s="1">
        <f>E99+'.r file'!E105</f>
        <v>341</v>
      </c>
      <c r="F100" s="1">
        <f>F99+'.r file'!F105</f>
        <v>312.30000000000018</v>
      </c>
      <c r="G100" s="1">
        <f>G99+'.r file'!G105</f>
        <v>210.29</v>
      </c>
      <c r="H100" s="1">
        <f>H99+'.r file'!H105</f>
        <v>426</v>
      </c>
      <c r="I100" s="1">
        <f>I99+'.r file'!I105</f>
        <v>273.22999999999996</v>
      </c>
      <c r="J100" s="1">
        <f>J99+'.r file'!J105</f>
        <v>269</v>
      </c>
      <c r="K100" s="1">
        <f>K99+'.r file'!K105</f>
        <v>445</v>
      </c>
      <c r="L100" s="1">
        <f>L99+'.r file'!L105</f>
        <v>393.97999999999956</v>
      </c>
      <c r="M100" s="1">
        <f>M99+'.r file'!M105</f>
        <v>1303</v>
      </c>
      <c r="N100" s="1">
        <f>N99+'.r file'!N105</f>
        <v>107.57</v>
      </c>
      <c r="O100" s="1">
        <f>O99+'.r file'!O105</f>
        <v>637</v>
      </c>
      <c r="P100" s="1">
        <f>P99+'.r file'!P105</f>
        <v>356.30000000000013</v>
      </c>
      <c r="Q100" s="1">
        <f>Q99+'.r file'!Q105</f>
        <v>445</v>
      </c>
      <c r="R100" s="1">
        <f>R99+'.r file'!R105</f>
        <v>435.78</v>
      </c>
      <c r="S100" s="1">
        <f>S99+'.r file'!S105</f>
        <v>479.74000000000007</v>
      </c>
      <c r="T100" s="1">
        <f>T99+'.r file'!T105</f>
        <v>536</v>
      </c>
      <c r="U100" s="1">
        <f>U99+'.r file'!U105</f>
        <v>863.59000000000037</v>
      </c>
      <c r="V100" s="1">
        <f>V99+'.r file'!V105</f>
        <v>695</v>
      </c>
      <c r="W100" s="1">
        <f>W99+'.r file'!W105</f>
        <v>926</v>
      </c>
      <c r="X100" s="1">
        <f>X99+'.r file'!X105</f>
        <v>786</v>
      </c>
      <c r="Y100" s="1">
        <f>Y99+'.r file'!Y105</f>
        <v>618</v>
      </c>
      <c r="Z100" s="1">
        <f>Z99+'.r file'!Z105</f>
        <v>827.81000000000017</v>
      </c>
      <c r="AA100" s="1">
        <f>AA99+'.r file'!AA105</f>
        <v>648.09</v>
      </c>
      <c r="AB100" s="1">
        <f>AB99+'.r file'!AB105</f>
        <v>611.01000000000033</v>
      </c>
      <c r="AC100" s="1">
        <f>AC99+'.r file'!AC105</f>
        <v>669</v>
      </c>
      <c r="AD100" s="1">
        <f>AD99+'.r file'!AD105</f>
        <v>625.60000000000014</v>
      </c>
      <c r="AE100" s="1">
        <f>AE99+'.r file'!AE105</f>
        <v>611.41999999999996</v>
      </c>
      <c r="AF100" s="1">
        <f>AF99+'.r file'!AF105</f>
        <v>531.53000000000009</v>
      </c>
    </row>
    <row r="101" spans="1:32" x14ac:dyDescent="0.25">
      <c r="A101" s="6">
        <v>27057.458333333332</v>
      </c>
      <c r="B101" s="1">
        <f>B100+'.r file'!B106</f>
        <v>719.11000000000058</v>
      </c>
      <c r="C101" s="1">
        <f>C100+'.r file'!C106</f>
        <v>614.90000000000009</v>
      </c>
      <c r="D101" s="1">
        <f>D100+'.r file'!D106</f>
        <v>375</v>
      </c>
      <c r="E101" s="1">
        <f>E100+'.r file'!E106</f>
        <v>341</v>
      </c>
      <c r="F101" s="1">
        <f>F100+'.r file'!F106</f>
        <v>313.60000000000019</v>
      </c>
      <c r="G101" s="1">
        <f>G100+'.r file'!G106</f>
        <v>212.5</v>
      </c>
      <c r="H101" s="1">
        <f>H100+'.r file'!H106</f>
        <v>426</v>
      </c>
      <c r="I101" s="1">
        <f>I100+'.r file'!I106</f>
        <v>275.95999999999998</v>
      </c>
      <c r="J101" s="1">
        <f>J100+'.r file'!J106</f>
        <v>269</v>
      </c>
      <c r="K101" s="1">
        <f>K100+'.r file'!K106</f>
        <v>445</v>
      </c>
      <c r="L101" s="1">
        <f>L100+'.r file'!L106</f>
        <v>394.11999999999955</v>
      </c>
      <c r="M101" s="1">
        <f>M100+'.r file'!M106</f>
        <v>1303</v>
      </c>
      <c r="N101" s="1">
        <f>N100+'.r file'!N106</f>
        <v>107.64999999999999</v>
      </c>
      <c r="O101" s="1">
        <f>O100+'.r file'!O106</f>
        <v>637</v>
      </c>
      <c r="P101" s="1">
        <f>P100+'.r file'!P106</f>
        <v>356.81000000000012</v>
      </c>
      <c r="Q101" s="1">
        <f>Q100+'.r file'!Q106</f>
        <v>445</v>
      </c>
      <c r="R101" s="1">
        <f>R100+'.r file'!R106</f>
        <v>435.78</v>
      </c>
      <c r="S101" s="1">
        <f>S100+'.r file'!S106</f>
        <v>479.74000000000007</v>
      </c>
      <c r="T101" s="1">
        <f>T100+'.r file'!T106</f>
        <v>536</v>
      </c>
      <c r="U101" s="1">
        <f>U100+'.r file'!U106</f>
        <v>863.63000000000034</v>
      </c>
      <c r="V101" s="1">
        <f>V100+'.r file'!V106</f>
        <v>695</v>
      </c>
      <c r="W101" s="1">
        <f>W100+'.r file'!W106</f>
        <v>926</v>
      </c>
      <c r="X101" s="1">
        <f>X100+'.r file'!X106</f>
        <v>786</v>
      </c>
      <c r="Y101" s="1">
        <f>Y100+'.r file'!Y106</f>
        <v>618</v>
      </c>
      <c r="Z101" s="1">
        <f>Z100+'.r file'!Z106</f>
        <v>827.81000000000017</v>
      </c>
      <c r="AA101" s="1">
        <f>AA100+'.r file'!AA106</f>
        <v>648.18000000000006</v>
      </c>
      <c r="AB101" s="1">
        <f>AB100+'.r file'!AB106</f>
        <v>611.01000000000033</v>
      </c>
      <c r="AC101" s="1">
        <f>AC100+'.r file'!AC106</f>
        <v>669</v>
      </c>
      <c r="AD101" s="1">
        <f>AD100+'.r file'!AD106</f>
        <v>625.60000000000014</v>
      </c>
      <c r="AE101" s="1">
        <f>AE100+'.r file'!AE106</f>
        <v>615.12</v>
      </c>
      <c r="AF101" s="1">
        <f>AF100+'.r file'!AF106</f>
        <v>534.00000000000011</v>
      </c>
    </row>
    <row r="102" spans="1:32" x14ac:dyDescent="0.25">
      <c r="A102" s="6">
        <v>27057.5</v>
      </c>
      <c r="B102" s="1">
        <f>B101+'.r file'!B107</f>
        <v>719.75000000000057</v>
      </c>
      <c r="C102" s="1">
        <f>C101+'.r file'!C107</f>
        <v>614.90000000000009</v>
      </c>
      <c r="D102" s="1">
        <f>D101+'.r file'!D107</f>
        <v>375</v>
      </c>
      <c r="E102" s="1">
        <f>E101+'.r file'!E107</f>
        <v>341</v>
      </c>
      <c r="F102" s="1">
        <f>F101+'.r file'!F107</f>
        <v>314.00000000000017</v>
      </c>
      <c r="G102" s="1">
        <f>G101+'.r file'!G107</f>
        <v>213.29</v>
      </c>
      <c r="H102" s="1">
        <f>H101+'.r file'!H107</f>
        <v>426</v>
      </c>
      <c r="I102" s="1">
        <f>I101+'.r file'!I107</f>
        <v>276.43</v>
      </c>
      <c r="J102" s="1">
        <f>J101+'.r file'!J107</f>
        <v>269</v>
      </c>
      <c r="K102" s="1">
        <f>K101+'.r file'!K107</f>
        <v>445</v>
      </c>
      <c r="L102" s="1">
        <f>L101+'.r file'!L107</f>
        <v>394.25999999999954</v>
      </c>
      <c r="M102" s="1">
        <f>M101+'.r file'!M107</f>
        <v>1303</v>
      </c>
      <c r="N102" s="1">
        <f>N101+'.r file'!N107</f>
        <v>107.72999999999999</v>
      </c>
      <c r="O102" s="1">
        <f>O101+'.r file'!O107</f>
        <v>637</v>
      </c>
      <c r="P102" s="1">
        <f>P101+'.r file'!P107</f>
        <v>357.24000000000012</v>
      </c>
      <c r="Q102" s="1">
        <f>Q101+'.r file'!Q107</f>
        <v>445</v>
      </c>
      <c r="R102" s="1">
        <f>R101+'.r file'!R107</f>
        <v>436.28</v>
      </c>
      <c r="S102" s="1">
        <f>S101+'.r file'!S107</f>
        <v>479.74000000000007</v>
      </c>
      <c r="T102" s="1">
        <f>T101+'.r file'!T107</f>
        <v>536</v>
      </c>
      <c r="U102" s="1">
        <f>U101+'.r file'!U107</f>
        <v>863.72000000000037</v>
      </c>
      <c r="V102" s="1">
        <f>V101+'.r file'!V107</f>
        <v>695</v>
      </c>
      <c r="W102" s="1">
        <f>W101+'.r file'!W107</f>
        <v>926</v>
      </c>
      <c r="X102" s="1">
        <f>X101+'.r file'!X107</f>
        <v>786</v>
      </c>
      <c r="Y102" s="1">
        <f>Y101+'.r file'!Y107</f>
        <v>618</v>
      </c>
      <c r="Z102" s="1">
        <f>Z101+'.r file'!Z107</f>
        <v>827.81000000000017</v>
      </c>
      <c r="AA102" s="1">
        <f>AA101+'.r file'!AA107</f>
        <v>648.2700000000001</v>
      </c>
      <c r="AB102" s="1">
        <f>AB101+'.r file'!AB107</f>
        <v>611.01000000000033</v>
      </c>
      <c r="AC102" s="1">
        <f>AC101+'.r file'!AC107</f>
        <v>669</v>
      </c>
      <c r="AD102" s="1">
        <f>AD101+'.r file'!AD107</f>
        <v>625.60000000000014</v>
      </c>
      <c r="AE102" s="1">
        <f>AE101+'.r file'!AE107</f>
        <v>615.12</v>
      </c>
      <c r="AF102" s="1">
        <f>AF101+'.r file'!AF107</f>
        <v>534.42000000000007</v>
      </c>
    </row>
    <row r="103" spans="1:32" x14ac:dyDescent="0.25">
      <c r="A103" s="6">
        <v>27057.541666666668</v>
      </c>
      <c r="B103" s="1">
        <f>B102+'.r file'!B108</f>
        <v>720.02000000000055</v>
      </c>
      <c r="C103" s="1">
        <f>C102+'.r file'!C108</f>
        <v>614.90000000000009</v>
      </c>
      <c r="D103" s="1">
        <f>D102+'.r file'!D108</f>
        <v>375</v>
      </c>
      <c r="E103" s="1">
        <f>E102+'.r file'!E108</f>
        <v>341</v>
      </c>
      <c r="F103" s="1">
        <f>F102+'.r file'!F108</f>
        <v>314.00000000000017</v>
      </c>
      <c r="G103" s="1">
        <f>G102+'.r file'!G108</f>
        <v>213.39</v>
      </c>
      <c r="H103" s="1">
        <f>H102+'.r file'!H108</f>
        <v>426</v>
      </c>
      <c r="I103" s="1">
        <f>I102+'.r file'!I108</f>
        <v>276.43</v>
      </c>
      <c r="J103" s="1">
        <f>J102+'.r file'!J108</f>
        <v>269</v>
      </c>
      <c r="K103" s="1">
        <f>K102+'.r file'!K108</f>
        <v>445</v>
      </c>
      <c r="L103" s="1">
        <f>L102+'.r file'!L108</f>
        <v>394.39999999999952</v>
      </c>
      <c r="M103" s="1">
        <f>M102+'.r file'!M108</f>
        <v>1303</v>
      </c>
      <c r="N103" s="1">
        <f>N102+'.r file'!N108</f>
        <v>107.80999999999999</v>
      </c>
      <c r="O103" s="1">
        <f>O102+'.r file'!O108</f>
        <v>637</v>
      </c>
      <c r="P103" s="1">
        <f>P102+'.r file'!P108</f>
        <v>357.30000000000013</v>
      </c>
      <c r="Q103" s="1">
        <f>Q102+'.r file'!Q108</f>
        <v>445</v>
      </c>
      <c r="R103" s="1">
        <f>R102+'.r file'!R108</f>
        <v>436.47999999999996</v>
      </c>
      <c r="S103" s="1">
        <f>S102+'.r file'!S108</f>
        <v>480.01000000000005</v>
      </c>
      <c r="T103" s="1">
        <f>T102+'.r file'!T108</f>
        <v>536</v>
      </c>
      <c r="U103" s="1">
        <f>U102+'.r file'!U108</f>
        <v>864.80000000000041</v>
      </c>
      <c r="V103" s="1">
        <f>V102+'.r file'!V108</f>
        <v>695</v>
      </c>
      <c r="W103" s="1">
        <f>W102+'.r file'!W108</f>
        <v>926</v>
      </c>
      <c r="X103" s="1">
        <f>X102+'.r file'!X108</f>
        <v>786</v>
      </c>
      <c r="Y103" s="1">
        <f>Y102+'.r file'!Y108</f>
        <v>618</v>
      </c>
      <c r="Z103" s="1">
        <f>Z102+'.r file'!Z108</f>
        <v>827.81000000000017</v>
      </c>
      <c r="AA103" s="1">
        <f>AA102+'.r file'!AA108</f>
        <v>648.36000000000013</v>
      </c>
      <c r="AB103" s="1">
        <f>AB102+'.r file'!AB108</f>
        <v>611.01000000000033</v>
      </c>
      <c r="AC103" s="1">
        <f>AC102+'.r file'!AC108</f>
        <v>669</v>
      </c>
      <c r="AD103" s="1">
        <f>AD102+'.r file'!AD108</f>
        <v>625.60000000000014</v>
      </c>
      <c r="AE103" s="1">
        <f>AE102+'.r file'!AE108</f>
        <v>615.41999999999996</v>
      </c>
      <c r="AF103" s="1">
        <f>AF102+'.r file'!AF108</f>
        <v>534.82000000000005</v>
      </c>
    </row>
    <row r="104" spans="1:32" x14ac:dyDescent="0.25">
      <c r="A104" s="6">
        <v>27057.583333333332</v>
      </c>
      <c r="B104" s="1">
        <f>B103+'.r file'!B109</f>
        <v>720.35000000000059</v>
      </c>
      <c r="C104" s="1">
        <f>C103+'.r file'!C109</f>
        <v>614.90000000000009</v>
      </c>
      <c r="D104" s="1">
        <f>D103+'.r file'!D109</f>
        <v>375</v>
      </c>
      <c r="E104" s="1">
        <f>E103+'.r file'!E109</f>
        <v>341</v>
      </c>
      <c r="F104" s="1">
        <f>F103+'.r file'!F109</f>
        <v>314.00000000000017</v>
      </c>
      <c r="G104" s="1">
        <f>G103+'.r file'!G109</f>
        <v>213.39</v>
      </c>
      <c r="H104" s="1">
        <f>H103+'.r file'!H109</f>
        <v>426</v>
      </c>
      <c r="I104" s="1">
        <f>I103+'.r file'!I109</f>
        <v>276.43</v>
      </c>
      <c r="J104" s="1">
        <f>J103+'.r file'!J109</f>
        <v>269</v>
      </c>
      <c r="K104" s="1">
        <f>K103+'.r file'!K109</f>
        <v>445</v>
      </c>
      <c r="L104" s="1">
        <f>L103+'.r file'!L109</f>
        <v>394.53999999999951</v>
      </c>
      <c r="M104" s="1">
        <f>M103+'.r file'!M109</f>
        <v>1303</v>
      </c>
      <c r="N104" s="1">
        <f>N103+'.r file'!N109</f>
        <v>107.88999999999999</v>
      </c>
      <c r="O104" s="1">
        <f>O103+'.r file'!O109</f>
        <v>637</v>
      </c>
      <c r="P104" s="1">
        <f>P103+'.r file'!P109</f>
        <v>357.30000000000013</v>
      </c>
      <c r="Q104" s="1">
        <f>Q103+'.r file'!Q109</f>
        <v>445</v>
      </c>
      <c r="R104" s="1">
        <f>R103+'.r file'!R109</f>
        <v>436.68999999999994</v>
      </c>
      <c r="S104" s="1">
        <f>S103+'.r file'!S109</f>
        <v>480.35</v>
      </c>
      <c r="T104" s="1">
        <f>T103+'.r file'!T109</f>
        <v>536</v>
      </c>
      <c r="U104" s="1">
        <f>U103+'.r file'!U109</f>
        <v>865.27000000000044</v>
      </c>
      <c r="V104" s="1">
        <f>V103+'.r file'!V109</f>
        <v>695</v>
      </c>
      <c r="W104" s="1">
        <f>W103+'.r file'!W109</f>
        <v>926</v>
      </c>
      <c r="X104" s="1">
        <f>X103+'.r file'!X109</f>
        <v>786</v>
      </c>
      <c r="Y104" s="1">
        <f>Y103+'.r file'!Y109</f>
        <v>618</v>
      </c>
      <c r="Z104" s="1">
        <f>Z103+'.r file'!Z109</f>
        <v>828.74000000000012</v>
      </c>
      <c r="AA104" s="1">
        <f>AA103+'.r file'!AA109</f>
        <v>648.45000000000016</v>
      </c>
      <c r="AB104" s="1">
        <f>AB103+'.r file'!AB109</f>
        <v>614.11000000000035</v>
      </c>
      <c r="AC104" s="1">
        <f>AC103+'.r file'!AC109</f>
        <v>669</v>
      </c>
      <c r="AD104" s="1">
        <f>AD103+'.r file'!AD109</f>
        <v>625.60000000000014</v>
      </c>
      <c r="AE104" s="1">
        <f>AE103+'.r file'!AE109</f>
        <v>615.41999999999996</v>
      </c>
      <c r="AF104" s="1">
        <f>AF103+'.r file'!AF109</f>
        <v>534.82000000000005</v>
      </c>
    </row>
    <row r="105" spans="1:32" x14ac:dyDescent="0.25">
      <c r="A105" s="6">
        <v>27057.625</v>
      </c>
      <c r="B105" s="1">
        <f>B104+'.r file'!B110</f>
        <v>721.82000000000062</v>
      </c>
      <c r="C105" s="1">
        <f>C104+'.r file'!C110</f>
        <v>614.90000000000009</v>
      </c>
      <c r="D105" s="1">
        <f>D104+'.r file'!D110</f>
        <v>375</v>
      </c>
      <c r="E105" s="1">
        <f>E104+'.r file'!E110</f>
        <v>341</v>
      </c>
      <c r="F105" s="1">
        <f>F104+'.r file'!F110</f>
        <v>314.00000000000017</v>
      </c>
      <c r="G105" s="1">
        <f>G104+'.r file'!G110</f>
        <v>213.39</v>
      </c>
      <c r="H105" s="1">
        <f>H104+'.r file'!H110</f>
        <v>426</v>
      </c>
      <c r="I105" s="1">
        <f>I104+'.r file'!I110</f>
        <v>276.43</v>
      </c>
      <c r="J105" s="1">
        <f>J104+'.r file'!J110</f>
        <v>269</v>
      </c>
      <c r="K105" s="1">
        <f>K104+'.r file'!K110</f>
        <v>445</v>
      </c>
      <c r="L105" s="1">
        <f>L104+'.r file'!L110</f>
        <v>394.6799999999995</v>
      </c>
      <c r="M105" s="1">
        <f>M104+'.r file'!M110</f>
        <v>1303</v>
      </c>
      <c r="N105" s="1">
        <f>N104+'.r file'!N110</f>
        <v>107.96999999999998</v>
      </c>
      <c r="O105" s="1">
        <f>O104+'.r file'!O110</f>
        <v>637</v>
      </c>
      <c r="P105" s="1">
        <f>P104+'.r file'!P110</f>
        <v>357.30000000000013</v>
      </c>
      <c r="Q105" s="1">
        <f>Q104+'.r file'!Q110</f>
        <v>445</v>
      </c>
      <c r="R105" s="1">
        <f>R104+'.r file'!R110</f>
        <v>436.87999999999994</v>
      </c>
      <c r="S105" s="1">
        <f>S104+'.r file'!S110</f>
        <v>480.69</v>
      </c>
      <c r="T105" s="1">
        <f>T104+'.r file'!T110</f>
        <v>536</v>
      </c>
      <c r="U105" s="1">
        <f>U104+'.r file'!U110</f>
        <v>866.00000000000045</v>
      </c>
      <c r="V105" s="1">
        <f>V104+'.r file'!V110</f>
        <v>695</v>
      </c>
      <c r="W105" s="1">
        <f>W104+'.r file'!W110</f>
        <v>926</v>
      </c>
      <c r="X105" s="1">
        <f>X104+'.r file'!X110</f>
        <v>786</v>
      </c>
      <c r="Y105" s="1">
        <f>Y104+'.r file'!Y110</f>
        <v>618</v>
      </c>
      <c r="Z105" s="1">
        <f>Z104+'.r file'!Z110</f>
        <v>829.5100000000001</v>
      </c>
      <c r="AA105" s="1">
        <f>AA104+'.r file'!AA110</f>
        <v>648.54000000000019</v>
      </c>
      <c r="AB105" s="1">
        <f>AB104+'.r file'!AB110</f>
        <v>614.62000000000035</v>
      </c>
      <c r="AC105" s="1">
        <f>AC104+'.r file'!AC110</f>
        <v>669</v>
      </c>
      <c r="AD105" s="1">
        <f>AD104+'.r file'!AD110</f>
        <v>625.60000000000014</v>
      </c>
      <c r="AE105" s="1">
        <f>AE104+'.r file'!AE110</f>
        <v>615.41999999999996</v>
      </c>
      <c r="AF105" s="1">
        <f>AF104+'.r file'!AF110</f>
        <v>534.82000000000005</v>
      </c>
    </row>
    <row r="106" spans="1:32" x14ac:dyDescent="0.25">
      <c r="A106" s="6">
        <v>27057.666666666668</v>
      </c>
      <c r="B106" s="1">
        <f>B105+'.r file'!B111</f>
        <v>723.85000000000059</v>
      </c>
      <c r="C106" s="1">
        <f>C105+'.r file'!C111</f>
        <v>614.90000000000009</v>
      </c>
      <c r="D106" s="1">
        <f>D105+'.r file'!D111</f>
        <v>375</v>
      </c>
      <c r="E106" s="1">
        <f>E105+'.r file'!E111</f>
        <v>341</v>
      </c>
      <c r="F106" s="1">
        <f>F105+'.r file'!F111</f>
        <v>314.00000000000017</v>
      </c>
      <c r="G106" s="1">
        <f>G105+'.r file'!G111</f>
        <v>213.39</v>
      </c>
      <c r="H106" s="1">
        <f>H105+'.r file'!H111</f>
        <v>426</v>
      </c>
      <c r="I106" s="1">
        <f>I105+'.r file'!I111</f>
        <v>276.43</v>
      </c>
      <c r="J106" s="1">
        <f>J105+'.r file'!J111</f>
        <v>269</v>
      </c>
      <c r="K106" s="1">
        <f>K105+'.r file'!K111</f>
        <v>445</v>
      </c>
      <c r="L106" s="1">
        <f>L105+'.r file'!L111</f>
        <v>394.81999999999948</v>
      </c>
      <c r="M106" s="1">
        <f>M105+'.r file'!M111</f>
        <v>1303</v>
      </c>
      <c r="N106" s="1">
        <f>N105+'.r file'!N111</f>
        <v>108.04999999999998</v>
      </c>
      <c r="O106" s="1">
        <f>O105+'.r file'!O111</f>
        <v>637</v>
      </c>
      <c r="P106" s="1">
        <f>P105+'.r file'!P111</f>
        <v>357.60000000000014</v>
      </c>
      <c r="Q106" s="1">
        <f>Q105+'.r file'!Q111</f>
        <v>445</v>
      </c>
      <c r="R106" s="1">
        <f>R105+'.r file'!R111</f>
        <v>436.87999999999994</v>
      </c>
      <c r="S106" s="1">
        <f>S105+'.r file'!S111</f>
        <v>481.03</v>
      </c>
      <c r="T106" s="1">
        <f>T105+'.r file'!T111</f>
        <v>536</v>
      </c>
      <c r="U106" s="1">
        <f>U105+'.r file'!U111</f>
        <v>866.5600000000004</v>
      </c>
      <c r="V106" s="1">
        <f>V105+'.r file'!V111</f>
        <v>695</v>
      </c>
      <c r="W106" s="1">
        <f>W105+'.r file'!W111</f>
        <v>926</v>
      </c>
      <c r="X106" s="1">
        <f>X105+'.r file'!X111</f>
        <v>786</v>
      </c>
      <c r="Y106" s="1">
        <f>Y105+'.r file'!Y111</f>
        <v>618</v>
      </c>
      <c r="Z106" s="1">
        <f>Z105+'.r file'!Z111</f>
        <v>829.5100000000001</v>
      </c>
      <c r="AA106" s="1">
        <f>AA105+'.r file'!AA111</f>
        <v>648.63000000000022</v>
      </c>
      <c r="AB106" s="1">
        <f>AB105+'.r file'!AB111</f>
        <v>619.51000000000033</v>
      </c>
      <c r="AC106" s="1">
        <f>AC105+'.r file'!AC111</f>
        <v>669</v>
      </c>
      <c r="AD106" s="1">
        <f>AD105+'.r file'!AD111</f>
        <v>625.60000000000014</v>
      </c>
      <c r="AE106" s="1">
        <f>AE105+'.r file'!AE111</f>
        <v>615.41999999999996</v>
      </c>
      <c r="AF106" s="1">
        <f>AF105+'.r file'!AF111</f>
        <v>534.82000000000005</v>
      </c>
    </row>
    <row r="107" spans="1:32" x14ac:dyDescent="0.25">
      <c r="A107" s="6">
        <v>27057.708333333332</v>
      </c>
      <c r="B107" s="1">
        <f>B106+'.r file'!B112</f>
        <v>724.42000000000064</v>
      </c>
      <c r="C107" s="1">
        <f>C106+'.r file'!C112</f>
        <v>614.90000000000009</v>
      </c>
      <c r="D107" s="1">
        <f>D106+'.r file'!D112</f>
        <v>375</v>
      </c>
      <c r="E107" s="1">
        <f>E106+'.r file'!E112</f>
        <v>341</v>
      </c>
      <c r="F107" s="1">
        <f>F106+'.r file'!F112</f>
        <v>314.00000000000017</v>
      </c>
      <c r="G107" s="1">
        <f>G106+'.r file'!G112</f>
        <v>213.39</v>
      </c>
      <c r="H107" s="1">
        <f>H106+'.r file'!H112</f>
        <v>426</v>
      </c>
      <c r="I107" s="1">
        <f>I106+'.r file'!I112</f>
        <v>276.43</v>
      </c>
      <c r="J107" s="1">
        <f>J106+'.r file'!J112</f>
        <v>269</v>
      </c>
      <c r="K107" s="1">
        <f>K106+'.r file'!K112</f>
        <v>445</v>
      </c>
      <c r="L107" s="1">
        <f>L106+'.r file'!L112</f>
        <v>394.95999999999947</v>
      </c>
      <c r="M107" s="1">
        <f>M106+'.r file'!M112</f>
        <v>1303</v>
      </c>
      <c r="N107" s="1">
        <f>N106+'.r file'!N112</f>
        <v>108.12999999999998</v>
      </c>
      <c r="O107" s="1">
        <f>O106+'.r file'!O112</f>
        <v>637</v>
      </c>
      <c r="P107" s="1">
        <f>P106+'.r file'!P112</f>
        <v>357.60000000000014</v>
      </c>
      <c r="Q107" s="1">
        <f>Q106+'.r file'!Q112</f>
        <v>445</v>
      </c>
      <c r="R107" s="1">
        <f>R106+'.r file'!R112</f>
        <v>436.87999999999994</v>
      </c>
      <c r="S107" s="1">
        <f>S106+'.r file'!S112</f>
        <v>481.36999999999995</v>
      </c>
      <c r="T107" s="1">
        <f>T106+'.r file'!T112</f>
        <v>536</v>
      </c>
      <c r="U107" s="1">
        <f>U106+'.r file'!U112</f>
        <v>867.09000000000037</v>
      </c>
      <c r="V107" s="1">
        <f>V106+'.r file'!V112</f>
        <v>695</v>
      </c>
      <c r="W107" s="1">
        <f>W106+'.r file'!W112</f>
        <v>926</v>
      </c>
      <c r="X107" s="1">
        <f>X106+'.r file'!X112</f>
        <v>786</v>
      </c>
      <c r="Y107" s="1">
        <f>Y106+'.r file'!Y112</f>
        <v>618</v>
      </c>
      <c r="Z107" s="1">
        <f>Z106+'.r file'!Z112</f>
        <v>830.31000000000006</v>
      </c>
      <c r="AA107" s="1">
        <f>AA106+'.r file'!AA112</f>
        <v>648.72000000000025</v>
      </c>
      <c r="AB107" s="1">
        <f>AB106+'.r file'!AB112</f>
        <v>620.01000000000033</v>
      </c>
      <c r="AC107" s="1">
        <f>AC106+'.r file'!AC112</f>
        <v>669</v>
      </c>
      <c r="AD107" s="1">
        <f>AD106+'.r file'!AD112</f>
        <v>625.60000000000014</v>
      </c>
      <c r="AE107" s="1">
        <f>AE106+'.r file'!AE112</f>
        <v>615.71999999999991</v>
      </c>
      <c r="AF107" s="1">
        <f>AF106+'.r file'!AF112</f>
        <v>534.82000000000005</v>
      </c>
    </row>
    <row r="108" spans="1:32" x14ac:dyDescent="0.25">
      <c r="A108" s="6">
        <v>27057.75</v>
      </c>
      <c r="B108" s="1">
        <f>B107+'.r file'!B113</f>
        <v>725.67000000000064</v>
      </c>
      <c r="C108" s="1">
        <f>C107+'.r file'!C113</f>
        <v>614.90000000000009</v>
      </c>
      <c r="D108" s="1">
        <f>D107+'.r file'!D113</f>
        <v>375</v>
      </c>
      <c r="E108" s="1">
        <f>E107+'.r file'!E113</f>
        <v>341</v>
      </c>
      <c r="F108" s="1">
        <f>F107+'.r file'!F113</f>
        <v>314.00000000000017</v>
      </c>
      <c r="G108" s="1">
        <f>G107+'.r file'!G113</f>
        <v>213.48999999999998</v>
      </c>
      <c r="H108" s="1">
        <f>H107+'.r file'!H113</f>
        <v>426</v>
      </c>
      <c r="I108" s="1">
        <f>I107+'.r file'!I113</f>
        <v>276.43</v>
      </c>
      <c r="J108" s="1">
        <f>J107+'.r file'!J113</f>
        <v>269</v>
      </c>
      <c r="K108" s="1">
        <f>K107+'.r file'!K113</f>
        <v>445</v>
      </c>
      <c r="L108" s="1">
        <f>L107+'.r file'!L113</f>
        <v>395.09999999999945</v>
      </c>
      <c r="M108" s="1">
        <f>M107+'.r file'!M113</f>
        <v>1303</v>
      </c>
      <c r="N108" s="1">
        <f>N107+'.r file'!N113</f>
        <v>108.20999999999998</v>
      </c>
      <c r="O108" s="1">
        <f>O107+'.r file'!O113</f>
        <v>637</v>
      </c>
      <c r="P108" s="1">
        <f>P107+'.r file'!P113</f>
        <v>358.00000000000011</v>
      </c>
      <c r="Q108" s="1">
        <f>Q107+'.r file'!Q113</f>
        <v>445</v>
      </c>
      <c r="R108" s="1">
        <f>R107+'.r file'!R113</f>
        <v>436.87999999999994</v>
      </c>
      <c r="S108" s="1">
        <f>S107+'.r file'!S113</f>
        <v>481.70999999999992</v>
      </c>
      <c r="T108" s="1">
        <f>T107+'.r file'!T113</f>
        <v>536</v>
      </c>
      <c r="U108" s="1">
        <f>U107+'.r file'!U113</f>
        <v>867.41000000000042</v>
      </c>
      <c r="V108" s="1">
        <f>V107+'.r file'!V113</f>
        <v>695</v>
      </c>
      <c r="W108" s="1">
        <f>W107+'.r file'!W113</f>
        <v>926</v>
      </c>
      <c r="X108" s="1">
        <f>X107+'.r file'!X113</f>
        <v>786</v>
      </c>
      <c r="Y108" s="1">
        <f>Y107+'.r file'!Y113</f>
        <v>618</v>
      </c>
      <c r="Z108" s="1">
        <f>Z107+'.r file'!Z113</f>
        <v>830.81000000000006</v>
      </c>
      <c r="AA108" s="1">
        <f>AA107+'.r file'!AA113</f>
        <v>648.81000000000029</v>
      </c>
      <c r="AB108" s="1">
        <f>AB107+'.r file'!AB113</f>
        <v>620.01000000000033</v>
      </c>
      <c r="AC108" s="1">
        <f>AC107+'.r file'!AC113</f>
        <v>669</v>
      </c>
      <c r="AD108" s="1">
        <f>AD107+'.r file'!AD113</f>
        <v>625.60000000000014</v>
      </c>
      <c r="AE108" s="1">
        <f>AE107+'.r file'!AE113</f>
        <v>615.71999999999991</v>
      </c>
      <c r="AF108" s="1">
        <f>AF107+'.r file'!AF113</f>
        <v>534.82000000000005</v>
      </c>
    </row>
    <row r="109" spans="1:32" x14ac:dyDescent="0.25">
      <c r="A109" s="6">
        <v>27057.791666666668</v>
      </c>
      <c r="B109" s="1">
        <f>B108+'.r file'!B114</f>
        <v>726.42000000000064</v>
      </c>
      <c r="C109" s="1">
        <f>C108+'.r file'!C114</f>
        <v>614.90000000000009</v>
      </c>
      <c r="D109" s="1">
        <f>D108+'.r file'!D114</f>
        <v>375</v>
      </c>
      <c r="E109" s="1">
        <f>E108+'.r file'!E114</f>
        <v>341</v>
      </c>
      <c r="F109" s="1">
        <f>F108+'.r file'!F114</f>
        <v>314.80000000000018</v>
      </c>
      <c r="G109" s="1">
        <f>G108+'.r file'!G114</f>
        <v>214.08999999999997</v>
      </c>
      <c r="H109" s="1">
        <f>H108+'.r file'!H114</f>
        <v>426</v>
      </c>
      <c r="I109" s="1">
        <f>I108+'.r file'!I114</f>
        <v>276.43</v>
      </c>
      <c r="J109" s="1">
        <f>J108+'.r file'!J114</f>
        <v>269</v>
      </c>
      <c r="K109" s="1">
        <f>K108+'.r file'!K114</f>
        <v>445</v>
      </c>
      <c r="L109" s="1">
        <f>L108+'.r file'!L114</f>
        <v>395.23999999999944</v>
      </c>
      <c r="M109" s="1">
        <f>M108+'.r file'!M114</f>
        <v>1303</v>
      </c>
      <c r="N109" s="1">
        <f>N108+'.r file'!N114</f>
        <v>108.28999999999998</v>
      </c>
      <c r="O109" s="1">
        <f>O108+'.r file'!O114</f>
        <v>637</v>
      </c>
      <c r="P109" s="1">
        <f>P108+'.r file'!P114</f>
        <v>360.19000000000011</v>
      </c>
      <c r="Q109" s="1">
        <f>Q108+'.r file'!Q114</f>
        <v>445</v>
      </c>
      <c r="R109" s="1">
        <f>R108+'.r file'!R114</f>
        <v>436.87999999999994</v>
      </c>
      <c r="S109" s="1">
        <f>S108+'.r file'!S114</f>
        <v>482.0499999999999</v>
      </c>
      <c r="T109" s="1">
        <f>T108+'.r file'!T114</f>
        <v>536</v>
      </c>
      <c r="U109" s="1">
        <f>U108+'.r file'!U114</f>
        <v>867.8100000000004</v>
      </c>
      <c r="V109" s="1">
        <f>V108+'.r file'!V114</f>
        <v>695</v>
      </c>
      <c r="W109" s="1">
        <f>W108+'.r file'!W114</f>
        <v>926</v>
      </c>
      <c r="X109" s="1">
        <f>X108+'.r file'!X114</f>
        <v>786</v>
      </c>
      <c r="Y109" s="1">
        <f>Y108+'.r file'!Y114</f>
        <v>618</v>
      </c>
      <c r="Z109" s="1">
        <f>Z108+'.r file'!Z114</f>
        <v>830.81000000000006</v>
      </c>
      <c r="AA109" s="1">
        <f>AA108+'.r file'!AA114</f>
        <v>648.90000000000032</v>
      </c>
      <c r="AB109" s="1">
        <f>AB108+'.r file'!AB114</f>
        <v>620.01000000000033</v>
      </c>
      <c r="AC109" s="1">
        <f>AC108+'.r file'!AC114</f>
        <v>669</v>
      </c>
      <c r="AD109" s="1">
        <f>AD108+'.r file'!AD114</f>
        <v>625.60000000000014</v>
      </c>
      <c r="AE109" s="1">
        <f>AE108+'.r file'!AE114</f>
        <v>615.79</v>
      </c>
      <c r="AF109" s="1">
        <f>AF108+'.r file'!AF114</f>
        <v>534.82000000000005</v>
      </c>
    </row>
    <row r="110" spans="1:32" x14ac:dyDescent="0.25">
      <c r="A110" s="6">
        <v>27057.833333333332</v>
      </c>
      <c r="B110" s="1">
        <f>B109+'.r file'!B115</f>
        <v>726.89000000000067</v>
      </c>
      <c r="C110" s="1">
        <f>C109+'.r file'!C115</f>
        <v>614.90000000000009</v>
      </c>
      <c r="D110" s="1">
        <f>D109+'.r file'!D115</f>
        <v>375</v>
      </c>
      <c r="E110" s="1">
        <f>E109+'.r file'!E115</f>
        <v>341</v>
      </c>
      <c r="F110" s="1">
        <f>F109+'.r file'!F115</f>
        <v>315.00000000000017</v>
      </c>
      <c r="G110" s="1">
        <f>G109+'.r file'!G115</f>
        <v>214.08999999999997</v>
      </c>
      <c r="H110" s="1">
        <f>H109+'.r file'!H115</f>
        <v>426</v>
      </c>
      <c r="I110" s="1">
        <f>I109+'.r file'!I115</f>
        <v>276.43</v>
      </c>
      <c r="J110" s="1">
        <f>J109+'.r file'!J115</f>
        <v>269</v>
      </c>
      <c r="K110" s="1">
        <f>K109+'.r file'!K115</f>
        <v>445</v>
      </c>
      <c r="L110" s="1">
        <f>L109+'.r file'!L115</f>
        <v>395.37999999999943</v>
      </c>
      <c r="M110" s="1">
        <f>M109+'.r file'!M115</f>
        <v>1303</v>
      </c>
      <c r="N110" s="1">
        <f>N109+'.r file'!N115</f>
        <v>108.36999999999998</v>
      </c>
      <c r="O110" s="1">
        <f>O109+'.r file'!O115</f>
        <v>637</v>
      </c>
      <c r="P110" s="1">
        <f>P109+'.r file'!P115</f>
        <v>361.99000000000012</v>
      </c>
      <c r="Q110" s="1">
        <f>Q109+'.r file'!Q115</f>
        <v>445</v>
      </c>
      <c r="R110" s="1">
        <f>R109+'.r file'!R115</f>
        <v>436.87999999999994</v>
      </c>
      <c r="S110" s="1">
        <f>S109+'.r file'!S115</f>
        <v>482.38999999999987</v>
      </c>
      <c r="T110" s="1">
        <f>T109+'.r file'!T115</f>
        <v>536</v>
      </c>
      <c r="U110" s="1">
        <f>U109+'.r file'!U115</f>
        <v>867.84000000000037</v>
      </c>
      <c r="V110" s="1">
        <f>V109+'.r file'!V115</f>
        <v>695</v>
      </c>
      <c r="W110" s="1">
        <f>W109+'.r file'!W115</f>
        <v>926</v>
      </c>
      <c r="X110" s="1">
        <f>X109+'.r file'!X115</f>
        <v>786</v>
      </c>
      <c r="Y110" s="1">
        <f>Y109+'.r file'!Y115</f>
        <v>618</v>
      </c>
      <c r="Z110" s="1">
        <f>Z109+'.r file'!Z115</f>
        <v>830.81000000000006</v>
      </c>
      <c r="AA110" s="1">
        <f>AA109+'.r file'!AA115</f>
        <v>648.99000000000035</v>
      </c>
      <c r="AB110" s="1">
        <f>AB109+'.r file'!AB115</f>
        <v>620.01000000000033</v>
      </c>
      <c r="AC110" s="1">
        <f>AC109+'.r file'!AC115</f>
        <v>669</v>
      </c>
      <c r="AD110" s="1">
        <f>AD109+'.r file'!AD115</f>
        <v>625.60000000000014</v>
      </c>
      <c r="AE110" s="1">
        <f>AE109+'.r file'!AE115</f>
        <v>616.62</v>
      </c>
      <c r="AF110" s="1">
        <f>AF109+'.r file'!AF115</f>
        <v>535.05000000000007</v>
      </c>
    </row>
    <row r="111" spans="1:32" x14ac:dyDescent="0.25">
      <c r="A111" s="6">
        <v>27057.875</v>
      </c>
      <c r="B111" s="1">
        <f>B110+'.r file'!B116</f>
        <v>727.32000000000062</v>
      </c>
      <c r="C111" s="1">
        <f>C110+'.r file'!C116</f>
        <v>614.90000000000009</v>
      </c>
      <c r="D111" s="1">
        <f>D110+'.r file'!D116</f>
        <v>375</v>
      </c>
      <c r="E111" s="1">
        <f>E110+'.r file'!E116</f>
        <v>341</v>
      </c>
      <c r="F111" s="1">
        <f>F110+'.r file'!F116</f>
        <v>315.70000000000016</v>
      </c>
      <c r="G111" s="1">
        <f>G110+'.r file'!G116</f>
        <v>214.18999999999997</v>
      </c>
      <c r="H111" s="1">
        <f>H110+'.r file'!H116</f>
        <v>426</v>
      </c>
      <c r="I111" s="1">
        <f>I110+'.r file'!I116</f>
        <v>276.43</v>
      </c>
      <c r="J111" s="1">
        <f>J110+'.r file'!J116</f>
        <v>269</v>
      </c>
      <c r="K111" s="1">
        <f>K110+'.r file'!K116</f>
        <v>445</v>
      </c>
      <c r="L111" s="1">
        <f>L110+'.r file'!L116</f>
        <v>395.51999999999941</v>
      </c>
      <c r="M111" s="1">
        <f>M110+'.r file'!M116</f>
        <v>1303</v>
      </c>
      <c r="N111" s="1">
        <f>N110+'.r file'!N116</f>
        <v>108.44999999999997</v>
      </c>
      <c r="O111" s="1">
        <f>O110+'.r file'!O116</f>
        <v>637</v>
      </c>
      <c r="P111" s="1">
        <f>P110+'.r file'!P116</f>
        <v>362.2000000000001</v>
      </c>
      <c r="Q111" s="1">
        <f>Q110+'.r file'!Q116</f>
        <v>445</v>
      </c>
      <c r="R111" s="1">
        <f>R110+'.r file'!R116</f>
        <v>436.87999999999994</v>
      </c>
      <c r="S111" s="1">
        <f>S110+'.r file'!S116</f>
        <v>482.5499999999999</v>
      </c>
      <c r="T111" s="1">
        <f>T110+'.r file'!T116</f>
        <v>536</v>
      </c>
      <c r="U111" s="1">
        <f>U110+'.r file'!U116</f>
        <v>867.87000000000035</v>
      </c>
      <c r="V111" s="1">
        <f>V110+'.r file'!V116</f>
        <v>695</v>
      </c>
      <c r="W111" s="1">
        <f>W110+'.r file'!W116</f>
        <v>926</v>
      </c>
      <c r="X111" s="1">
        <f>X110+'.r file'!X116</f>
        <v>786</v>
      </c>
      <c r="Y111" s="1">
        <f>Y110+'.r file'!Y116</f>
        <v>618</v>
      </c>
      <c r="Z111" s="1">
        <f>Z110+'.r file'!Z116</f>
        <v>830.81000000000006</v>
      </c>
      <c r="AA111" s="1">
        <f>AA110+'.r file'!AA116</f>
        <v>649.08000000000038</v>
      </c>
      <c r="AB111" s="1">
        <f>AB110+'.r file'!AB116</f>
        <v>620.01000000000033</v>
      </c>
      <c r="AC111" s="1">
        <f>AC110+'.r file'!AC116</f>
        <v>669</v>
      </c>
      <c r="AD111" s="1">
        <f>AD110+'.r file'!AD116</f>
        <v>625.60000000000014</v>
      </c>
      <c r="AE111" s="1">
        <f>AE110+'.r file'!AE116</f>
        <v>616.62</v>
      </c>
      <c r="AF111" s="1">
        <f>AF110+'.r file'!AF116</f>
        <v>535.42000000000007</v>
      </c>
    </row>
    <row r="112" spans="1:32" x14ac:dyDescent="0.25">
      <c r="A112" s="6">
        <v>27057.916666666668</v>
      </c>
      <c r="B112" s="1">
        <f>B111+'.r file'!B117</f>
        <v>727.62000000000057</v>
      </c>
      <c r="C112" s="1">
        <f>C111+'.r file'!C117</f>
        <v>614.90000000000009</v>
      </c>
      <c r="D112" s="1">
        <f>D111+'.r file'!D117</f>
        <v>375</v>
      </c>
      <c r="E112" s="1">
        <f>E111+'.r file'!E117</f>
        <v>341</v>
      </c>
      <c r="F112" s="1">
        <f>F111+'.r file'!F117</f>
        <v>315.70000000000016</v>
      </c>
      <c r="G112" s="1">
        <f>G111+'.r file'!G117</f>
        <v>214.28999999999996</v>
      </c>
      <c r="H112" s="1">
        <f>H111+'.r file'!H117</f>
        <v>426</v>
      </c>
      <c r="I112" s="1">
        <f>I111+'.r file'!I117</f>
        <v>276.43</v>
      </c>
      <c r="J112" s="1">
        <f>J111+'.r file'!J117</f>
        <v>269</v>
      </c>
      <c r="K112" s="1">
        <f>K111+'.r file'!K117</f>
        <v>445</v>
      </c>
      <c r="L112" s="1">
        <f>L111+'.r file'!L117</f>
        <v>395.6599999999994</v>
      </c>
      <c r="M112" s="1">
        <f>M111+'.r file'!M117</f>
        <v>1303</v>
      </c>
      <c r="N112" s="1">
        <f>N111+'.r file'!N117</f>
        <v>108.52999999999997</v>
      </c>
      <c r="O112" s="1">
        <f>O111+'.r file'!O117</f>
        <v>637</v>
      </c>
      <c r="P112" s="1">
        <f>P111+'.r file'!P117</f>
        <v>362.2000000000001</v>
      </c>
      <c r="Q112" s="1">
        <f>Q111+'.r file'!Q117</f>
        <v>445</v>
      </c>
      <c r="R112" s="1">
        <f>R111+'.r file'!R117</f>
        <v>436.87999999999994</v>
      </c>
      <c r="S112" s="1">
        <f>S111+'.r file'!S117</f>
        <v>482.5499999999999</v>
      </c>
      <c r="T112" s="1">
        <f>T111+'.r file'!T117</f>
        <v>536</v>
      </c>
      <c r="U112" s="1">
        <f>U111+'.r file'!U117</f>
        <v>868.40000000000032</v>
      </c>
      <c r="V112" s="1">
        <f>V111+'.r file'!V117</f>
        <v>695</v>
      </c>
      <c r="W112" s="1">
        <f>W111+'.r file'!W117</f>
        <v>926</v>
      </c>
      <c r="X112" s="1">
        <f>X111+'.r file'!X117</f>
        <v>786</v>
      </c>
      <c r="Y112" s="1">
        <f>Y111+'.r file'!Y117</f>
        <v>618</v>
      </c>
      <c r="Z112" s="1">
        <f>Z111+'.r file'!Z117</f>
        <v>830.81000000000006</v>
      </c>
      <c r="AA112" s="1">
        <f>AA111+'.r file'!AA117</f>
        <v>649.17000000000041</v>
      </c>
      <c r="AB112" s="1">
        <f>AB111+'.r file'!AB117</f>
        <v>620.01000000000033</v>
      </c>
      <c r="AC112" s="1">
        <f>AC111+'.r file'!AC117</f>
        <v>669</v>
      </c>
      <c r="AD112" s="1">
        <f>AD111+'.r file'!AD117</f>
        <v>625.60000000000014</v>
      </c>
      <c r="AE112" s="1">
        <f>AE111+'.r file'!AE117</f>
        <v>616.62</v>
      </c>
      <c r="AF112" s="1">
        <f>AF111+'.r file'!AF117</f>
        <v>535.42000000000007</v>
      </c>
    </row>
    <row r="113" spans="1:32" x14ac:dyDescent="0.25">
      <c r="A113" s="6">
        <v>27057.958333333332</v>
      </c>
      <c r="B113" s="1">
        <f>B112+'.r file'!B118</f>
        <v>727.7100000000006</v>
      </c>
      <c r="C113" s="1">
        <f>C112+'.r file'!C118</f>
        <v>614.90000000000009</v>
      </c>
      <c r="D113" s="1">
        <f>D112+'.r file'!D118</f>
        <v>375</v>
      </c>
      <c r="E113" s="1">
        <f>E112+'.r file'!E118</f>
        <v>341</v>
      </c>
      <c r="F113" s="1">
        <f>F112+'.r file'!F118</f>
        <v>315.70000000000016</v>
      </c>
      <c r="G113" s="1">
        <f>G112+'.r file'!G118</f>
        <v>214.39999999999998</v>
      </c>
      <c r="H113" s="1">
        <f>H112+'.r file'!H118</f>
        <v>426</v>
      </c>
      <c r="I113" s="1">
        <f>I112+'.r file'!I118</f>
        <v>276.43</v>
      </c>
      <c r="J113" s="1">
        <f>J112+'.r file'!J118</f>
        <v>269</v>
      </c>
      <c r="K113" s="1">
        <f>K112+'.r file'!K118</f>
        <v>445</v>
      </c>
      <c r="L113" s="1">
        <f>L112+'.r file'!L118</f>
        <v>395.79999999999939</v>
      </c>
      <c r="M113" s="1">
        <f>M112+'.r file'!M118</f>
        <v>1303</v>
      </c>
      <c r="N113" s="1">
        <f>N112+'.r file'!N118</f>
        <v>108.60999999999997</v>
      </c>
      <c r="O113" s="1">
        <f>O112+'.r file'!O118</f>
        <v>637</v>
      </c>
      <c r="P113" s="1">
        <f>P112+'.r file'!P118</f>
        <v>362.2000000000001</v>
      </c>
      <c r="Q113" s="1">
        <f>Q112+'.r file'!Q118</f>
        <v>445</v>
      </c>
      <c r="R113" s="1">
        <f>R112+'.r file'!R118</f>
        <v>436.87999999999994</v>
      </c>
      <c r="S113" s="1">
        <f>S112+'.r file'!S118</f>
        <v>482.5499999999999</v>
      </c>
      <c r="T113" s="1">
        <f>T112+'.r file'!T118</f>
        <v>536</v>
      </c>
      <c r="U113" s="1">
        <f>U112+'.r file'!U118</f>
        <v>868.50000000000034</v>
      </c>
      <c r="V113" s="1">
        <f>V112+'.r file'!V118</f>
        <v>695</v>
      </c>
      <c r="W113" s="1">
        <f>W112+'.r file'!W118</f>
        <v>926</v>
      </c>
      <c r="X113" s="1">
        <f>X112+'.r file'!X118</f>
        <v>786</v>
      </c>
      <c r="Y113" s="1">
        <f>Y112+'.r file'!Y118</f>
        <v>618</v>
      </c>
      <c r="Z113" s="1">
        <f>Z112+'.r file'!Z118</f>
        <v>830.81000000000006</v>
      </c>
      <c r="AA113" s="1">
        <f>AA112+'.r file'!AA118</f>
        <v>649.26000000000045</v>
      </c>
      <c r="AB113" s="1">
        <f>AB112+'.r file'!AB118</f>
        <v>620.01000000000033</v>
      </c>
      <c r="AC113" s="1">
        <f>AC112+'.r file'!AC118</f>
        <v>669</v>
      </c>
      <c r="AD113" s="1">
        <f>AD112+'.r file'!AD118</f>
        <v>625.60000000000014</v>
      </c>
      <c r="AE113" s="1">
        <f>AE112+'.r file'!AE118</f>
        <v>616.62</v>
      </c>
      <c r="AF113" s="1">
        <f>AF112+'.r file'!AF118</f>
        <v>535.42000000000007</v>
      </c>
    </row>
    <row r="114" spans="1:32" x14ac:dyDescent="0.25">
      <c r="A114" s="6">
        <v>27058</v>
      </c>
      <c r="B114" s="1">
        <f>B113+'.r file'!B119</f>
        <v>728.92000000000064</v>
      </c>
      <c r="C114" s="1">
        <f>C113+'.r file'!C119</f>
        <v>614.90000000000009</v>
      </c>
      <c r="D114" s="1">
        <f>D113+'.r file'!D119</f>
        <v>375</v>
      </c>
      <c r="E114" s="1">
        <f>E113+'.r file'!E119</f>
        <v>341</v>
      </c>
      <c r="F114" s="1">
        <f>F113+'.r file'!F119</f>
        <v>315.70000000000016</v>
      </c>
      <c r="G114" s="1">
        <f>G113+'.r file'!G119</f>
        <v>214.48999999999998</v>
      </c>
      <c r="H114" s="1">
        <f>H113+'.r file'!H119</f>
        <v>426</v>
      </c>
      <c r="I114" s="1">
        <f>I113+'.r file'!I119</f>
        <v>276.43</v>
      </c>
      <c r="J114" s="1">
        <f>J113+'.r file'!J119</f>
        <v>269</v>
      </c>
      <c r="K114" s="1">
        <f>K113+'.r file'!K119</f>
        <v>445</v>
      </c>
      <c r="L114" s="1">
        <f>L113+'.r file'!L119</f>
        <v>395.93999999999937</v>
      </c>
      <c r="M114" s="1">
        <f>M113+'.r file'!M119</f>
        <v>1303</v>
      </c>
      <c r="N114" s="1">
        <f>N113+'.r file'!N119</f>
        <v>108.68999999999997</v>
      </c>
      <c r="O114" s="1">
        <f>O113+'.r file'!O119</f>
        <v>637</v>
      </c>
      <c r="P114" s="1">
        <f>P113+'.r file'!P119</f>
        <v>362.2000000000001</v>
      </c>
      <c r="Q114" s="1">
        <f>Q113+'.r file'!Q119</f>
        <v>445</v>
      </c>
      <c r="R114" s="1">
        <f>R113+'.r file'!R119</f>
        <v>436.87999999999994</v>
      </c>
      <c r="S114" s="1">
        <f>S113+'.r file'!S119</f>
        <v>482.5499999999999</v>
      </c>
      <c r="T114" s="1">
        <f>T113+'.r file'!T119</f>
        <v>536</v>
      </c>
      <c r="U114" s="1">
        <f>U113+'.r file'!U119</f>
        <v>868.50000000000034</v>
      </c>
      <c r="V114" s="1">
        <f>V113+'.r file'!V119</f>
        <v>695</v>
      </c>
      <c r="W114" s="1">
        <f>W113+'.r file'!W119</f>
        <v>926</v>
      </c>
      <c r="X114" s="1">
        <f>X113+'.r file'!X119</f>
        <v>786</v>
      </c>
      <c r="Y114" s="1">
        <f>Y113+'.r file'!Y119</f>
        <v>618</v>
      </c>
      <c r="Z114" s="1">
        <f>Z113+'.r file'!Z119</f>
        <v>830.81000000000006</v>
      </c>
      <c r="AA114" s="1">
        <f>AA113+'.r file'!AA119</f>
        <v>649.35000000000048</v>
      </c>
      <c r="AB114" s="1">
        <f>AB113+'.r file'!AB119</f>
        <v>620.01000000000033</v>
      </c>
      <c r="AC114" s="1">
        <f>AC113+'.r file'!AC119</f>
        <v>669</v>
      </c>
      <c r="AD114" s="1">
        <f>AD113+'.r file'!AD119</f>
        <v>625.60000000000014</v>
      </c>
      <c r="AE114" s="1">
        <f>AE113+'.r file'!AE119</f>
        <v>616.62</v>
      </c>
      <c r="AF114" s="1">
        <f>AF113+'.r file'!AF119</f>
        <v>535.42000000000007</v>
      </c>
    </row>
    <row r="115" spans="1:32" x14ac:dyDescent="0.25">
      <c r="A115" s="6">
        <v>27058.041666666668</v>
      </c>
      <c r="B115" s="1">
        <f>B114+'.r file'!B120</f>
        <v>728.92000000000064</v>
      </c>
      <c r="C115" s="1">
        <f>C114+'.r file'!C120</f>
        <v>614.90000000000009</v>
      </c>
      <c r="D115" s="1">
        <f>D114+'.r file'!D120</f>
        <v>375</v>
      </c>
      <c r="E115" s="1">
        <f>E114+'.r file'!E120</f>
        <v>341</v>
      </c>
      <c r="F115" s="1">
        <f>F114+'.r file'!F120</f>
        <v>315.70000000000016</v>
      </c>
      <c r="G115" s="1">
        <f>G114+'.r file'!G120</f>
        <v>214.48999999999998</v>
      </c>
      <c r="H115" s="1">
        <f>H114+'.r file'!H120</f>
        <v>426</v>
      </c>
      <c r="I115" s="1">
        <f>I114+'.r file'!I120</f>
        <v>276.43</v>
      </c>
      <c r="J115" s="1">
        <f>J114+'.r file'!J120</f>
        <v>269</v>
      </c>
      <c r="K115" s="1">
        <f>K114+'.r file'!K120</f>
        <v>445</v>
      </c>
      <c r="L115" s="1">
        <f>L114+'.r file'!L120</f>
        <v>396.07999999999936</v>
      </c>
      <c r="M115" s="1">
        <f>M114+'.r file'!M120</f>
        <v>1303</v>
      </c>
      <c r="N115" s="1">
        <f>N114+'.r file'!N120</f>
        <v>108.76999999999997</v>
      </c>
      <c r="O115" s="1">
        <f>O114+'.r file'!O120</f>
        <v>637</v>
      </c>
      <c r="P115" s="1">
        <f>P114+'.r file'!P120</f>
        <v>362.2000000000001</v>
      </c>
      <c r="Q115" s="1">
        <f>Q114+'.r file'!Q120</f>
        <v>445</v>
      </c>
      <c r="R115" s="1">
        <f>R114+'.r file'!R120</f>
        <v>436.87999999999994</v>
      </c>
      <c r="S115" s="1">
        <f>S114+'.r file'!S120</f>
        <v>482.5499999999999</v>
      </c>
      <c r="T115" s="1">
        <f>T114+'.r file'!T120</f>
        <v>536</v>
      </c>
      <c r="U115" s="1">
        <f>U114+'.r file'!U120</f>
        <v>868.50000000000034</v>
      </c>
      <c r="V115" s="1">
        <f>V114+'.r file'!V120</f>
        <v>695</v>
      </c>
      <c r="W115" s="1">
        <f>W114+'.r file'!W120</f>
        <v>926</v>
      </c>
      <c r="X115" s="1">
        <f>X114+'.r file'!X120</f>
        <v>786</v>
      </c>
      <c r="Y115" s="1">
        <f>Y114+'.r file'!Y120</f>
        <v>618</v>
      </c>
      <c r="Z115" s="1">
        <f>Z114+'.r file'!Z120</f>
        <v>830.81000000000006</v>
      </c>
      <c r="AA115" s="1">
        <f>AA114+'.r file'!AA120</f>
        <v>649.44000000000051</v>
      </c>
      <c r="AB115" s="1">
        <f>AB114+'.r file'!AB120</f>
        <v>620.01000000000033</v>
      </c>
      <c r="AC115" s="1">
        <f>AC114+'.r file'!AC120</f>
        <v>669</v>
      </c>
      <c r="AD115" s="1">
        <f>AD114+'.r file'!AD120</f>
        <v>625.60000000000014</v>
      </c>
      <c r="AE115" s="1">
        <f>AE114+'.r file'!AE120</f>
        <v>616.62</v>
      </c>
      <c r="AF115" s="1">
        <f>AF114+'.r file'!AF120</f>
        <v>535.42000000000007</v>
      </c>
    </row>
    <row r="116" spans="1:32" x14ac:dyDescent="0.25">
      <c r="A116" s="6">
        <v>27058.083333333332</v>
      </c>
      <c r="B116" s="1">
        <f>B115+'.r file'!B121</f>
        <v>728.92000000000064</v>
      </c>
      <c r="C116" s="1">
        <f>C115+'.r file'!C121</f>
        <v>614.90000000000009</v>
      </c>
      <c r="D116" s="1">
        <f>D115+'.r file'!D121</f>
        <v>375</v>
      </c>
      <c r="E116" s="1">
        <f>E115+'.r file'!E121</f>
        <v>341</v>
      </c>
      <c r="F116" s="1">
        <f>F115+'.r file'!F121</f>
        <v>315.70000000000016</v>
      </c>
      <c r="G116" s="1">
        <f>G115+'.r file'!G121</f>
        <v>214.48999999999998</v>
      </c>
      <c r="H116" s="1">
        <f>H115+'.r file'!H121</f>
        <v>426</v>
      </c>
      <c r="I116" s="1">
        <f>I115+'.r file'!I121</f>
        <v>276.43</v>
      </c>
      <c r="J116" s="1">
        <f>J115+'.r file'!J121</f>
        <v>269</v>
      </c>
      <c r="K116" s="1">
        <f>K115+'.r file'!K121</f>
        <v>445</v>
      </c>
      <c r="L116" s="1">
        <f>L115+'.r file'!L121</f>
        <v>396.21999999999935</v>
      </c>
      <c r="M116" s="1">
        <f>M115+'.r file'!M121</f>
        <v>1303</v>
      </c>
      <c r="N116" s="1">
        <f>N115+'.r file'!N121</f>
        <v>108.84999999999997</v>
      </c>
      <c r="O116" s="1">
        <f>O115+'.r file'!O121</f>
        <v>637</v>
      </c>
      <c r="P116" s="1">
        <f>P115+'.r file'!P121</f>
        <v>362.2000000000001</v>
      </c>
      <c r="Q116" s="1">
        <f>Q115+'.r file'!Q121</f>
        <v>445</v>
      </c>
      <c r="R116" s="1">
        <f>R115+'.r file'!R121</f>
        <v>436.87999999999994</v>
      </c>
      <c r="S116" s="1">
        <f>S115+'.r file'!S121</f>
        <v>482.5499999999999</v>
      </c>
      <c r="T116" s="1">
        <f>T115+'.r file'!T121</f>
        <v>536</v>
      </c>
      <c r="U116" s="1">
        <f>U115+'.r file'!U121</f>
        <v>868.50000000000034</v>
      </c>
      <c r="V116" s="1">
        <f>V115+'.r file'!V121</f>
        <v>695</v>
      </c>
      <c r="W116" s="1">
        <f>W115+'.r file'!W121</f>
        <v>926</v>
      </c>
      <c r="X116" s="1">
        <f>X115+'.r file'!X121</f>
        <v>786</v>
      </c>
      <c r="Y116" s="1">
        <f>Y115+'.r file'!Y121</f>
        <v>618</v>
      </c>
      <c r="Z116" s="1">
        <f>Z115+'.r file'!Z121</f>
        <v>830.81000000000006</v>
      </c>
      <c r="AA116" s="1">
        <f>AA115+'.r file'!AA121</f>
        <v>649.53000000000054</v>
      </c>
      <c r="AB116" s="1">
        <f>AB115+'.r file'!AB121</f>
        <v>620.01000000000033</v>
      </c>
      <c r="AC116" s="1">
        <f>AC115+'.r file'!AC121</f>
        <v>669</v>
      </c>
      <c r="AD116" s="1">
        <f>AD115+'.r file'!AD121</f>
        <v>625.60000000000014</v>
      </c>
      <c r="AE116" s="1">
        <f>AE115+'.r file'!AE121</f>
        <v>616.62</v>
      </c>
      <c r="AF116" s="1">
        <f>AF115+'.r file'!AF121</f>
        <v>535.42000000000007</v>
      </c>
    </row>
    <row r="117" spans="1:32" x14ac:dyDescent="0.25">
      <c r="A117" s="6">
        <v>27058.125</v>
      </c>
      <c r="B117" s="1">
        <f>B116+'.r file'!B122</f>
        <v>728.92000000000064</v>
      </c>
      <c r="C117" s="1">
        <f>C116+'.r file'!C122</f>
        <v>614.90000000000009</v>
      </c>
      <c r="D117" s="1">
        <f>D116+'.r file'!D122</f>
        <v>375</v>
      </c>
      <c r="E117" s="1">
        <f>E116+'.r file'!E122</f>
        <v>341</v>
      </c>
      <c r="F117" s="1">
        <f>F116+'.r file'!F122</f>
        <v>315.70000000000016</v>
      </c>
      <c r="G117" s="1">
        <f>G116+'.r file'!G122</f>
        <v>214.48999999999998</v>
      </c>
      <c r="H117" s="1">
        <f>H116+'.r file'!H122</f>
        <v>426</v>
      </c>
      <c r="I117" s="1">
        <f>I116+'.r file'!I122</f>
        <v>276.43</v>
      </c>
      <c r="J117" s="1">
        <f>J116+'.r file'!J122</f>
        <v>269</v>
      </c>
      <c r="K117" s="1">
        <f>K116+'.r file'!K122</f>
        <v>445</v>
      </c>
      <c r="L117" s="1">
        <f>L116+'.r file'!L122</f>
        <v>396.35999999999933</v>
      </c>
      <c r="M117" s="1">
        <f>M116+'.r file'!M122</f>
        <v>1303</v>
      </c>
      <c r="N117" s="1">
        <f>N116+'.r file'!N122</f>
        <v>108.92999999999996</v>
      </c>
      <c r="O117" s="1">
        <f>O116+'.r file'!O122</f>
        <v>637</v>
      </c>
      <c r="P117" s="1">
        <f>P116+'.r file'!P122</f>
        <v>362.2000000000001</v>
      </c>
      <c r="Q117" s="1">
        <f>Q116+'.r file'!Q122</f>
        <v>445</v>
      </c>
      <c r="R117" s="1">
        <f>R116+'.r file'!R122</f>
        <v>436.87999999999994</v>
      </c>
      <c r="S117" s="1">
        <f>S116+'.r file'!S122</f>
        <v>482.5499999999999</v>
      </c>
      <c r="T117" s="1">
        <f>T116+'.r file'!T122</f>
        <v>536</v>
      </c>
      <c r="U117" s="1">
        <f>U116+'.r file'!U122</f>
        <v>868.50000000000034</v>
      </c>
      <c r="V117" s="1">
        <f>V116+'.r file'!V122</f>
        <v>695</v>
      </c>
      <c r="W117" s="1">
        <f>W116+'.r file'!W122</f>
        <v>926</v>
      </c>
      <c r="X117" s="1">
        <f>X116+'.r file'!X122</f>
        <v>786</v>
      </c>
      <c r="Y117" s="1">
        <f>Y116+'.r file'!Y122</f>
        <v>618</v>
      </c>
      <c r="Z117" s="1">
        <f>Z116+'.r file'!Z122</f>
        <v>830.81000000000006</v>
      </c>
      <c r="AA117" s="1">
        <f>AA116+'.r file'!AA122</f>
        <v>649.62000000000057</v>
      </c>
      <c r="AB117" s="1">
        <f>AB116+'.r file'!AB122</f>
        <v>620.01000000000033</v>
      </c>
      <c r="AC117" s="1">
        <f>AC116+'.r file'!AC122</f>
        <v>669</v>
      </c>
      <c r="AD117" s="1">
        <f>AD116+'.r file'!AD122</f>
        <v>625.60000000000014</v>
      </c>
      <c r="AE117" s="1">
        <f>AE116+'.r file'!AE122</f>
        <v>616.62</v>
      </c>
      <c r="AF117" s="1">
        <f>AF116+'.r file'!AF122</f>
        <v>535.42000000000007</v>
      </c>
    </row>
    <row r="118" spans="1:32" x14ac:dyDescent="0.25">
      <c r="A118" s="6">
        <v>27058.166666666668</v>
      </c>
      <c r="B118" s="1">
        <f>B117+'.r file'!B123</f>
        <v>728.92000000000064</v>
      </c>
      <c r="C118" s="1">
        <f>C117+'.r file'!C123</f>
        <v>614.90000000000009</v>
      </c>
      <c r="D118" s="1">
        <f>D117+'.r file'!D123</f>
        <v>375</v>
      </c>
      <c r="E118" s="1">
        <f>E117+'.r file'!E123</f>
        <v>341</v>
      </c>
      <c r="F118" s="1">
        <f>F117+'.r file'!F123</f>
        <v>315.70000000000016</v>
      </c>
      <c r="G118" s="1">
        <f>G117+'.r file'!G123</f>
        <v>214.58999999999997</v>
      </c>
      <c r="H118" s="1">
        <f>H117+'.r file'!H123</f>
        <v>426</v>
      </c>
      <c r="I118" s="1">
        <f>I117+'.r file'!I123</f>
        <v>276.43</v>
      </c>
      <c r="J118" s="1">
        <f>J117+'.r file'!J123</f>
        <v>269</v>
      </c>
      <c r="K118" s="1">
        <f>K117+'.r file'!K123</f>
        <v>445</v>
      </c>
      <c r="L118" s="1">
        <f>L117+'.r file'!L123</f>
        <v>396.49999999999932</v>
      </c>
      <c r="M118" s="1">
        <f>M117+'.r file'!M123</f>
        <v>1303</v>
      </c>
      <c r="N118" s="1">
        <f>N117+'.r file'!N123</f>
        <v>109.00999999999996</v>
      </c>
      <c r="O118" s="1">
        <f>O117+'.r file'!O123</f>
        <v>637</v>
      </c>
      <c r="P118" s="1">
        <f>P117+'.r file'!P123</f>
        <v>362.2000000000001</v>
      </c>
      <c r="Q118" s="1">
        <f>Q117+'.r file'!Q123</f>
        <v>445</v>
      </c>
      <c r="R118" s="1">
        <f>R117+'.r file'!R123</f>
        <v>436.87999999999994</v>
      </c>
      <c r="S118" s="1">
        <f>S117+'.r file'!S123</f>
        <v>482.5499999999999</v>
      </c>
      <c r="T118" s="1">
        <f>T117+'.r file'!T123</f>
        <v>536</v>
      </c>
      <c r="U118" s="1">
        <f>U117+'.r file'!U123</f>
        <v>868.50000000000034</v>
      </c>
      <c r="V118" s="1">
        <f>V117+'.r file'!V123</f>
        <v>695</v>
      </c>
      <c r="W118" s="1">
        <f>W117+'.r file'!W123</f>
        <v>926</v>
      </c>
      <c r="X118" s="1">
        <f>X117+'.r file'!X123</f>
        <v>786</v>
      </c>
      <c r="Y118" s="1">
        <f>Y117+'.r file'!Y123</f>
        <v>618</v>
      </c>
      <c r="Z118" s="1">
        <f>Z117+'.r file'!Z123</f>
        <v>830.81000000000006</v>
      </c>
      <c r="AA118" s="1">
        <f>AA117+'.r file'!AA123</f>
        <v>649.7100000000006</v>
      </c>
      <c r="AB118" s="1">
        <f>AB117+'.r file'!AB123</f>
        <v>620.01000000000033</v>
      </c>
      <c r="AC118" s="1">
        <f>AC117+'.r file'!AC123</f>
        <v>669</v>
      </c>
      <c r="AD118" s="1">
        <f>AD117+'.r file'!AD123</f>
        <v>625.60000000000014</v>
      </c>
      <c r="AE118" s="1">
        <f>AE117+'.r file'!AE123</f>
        <v>616.62</v>
      </c>
      <c r="AF118" s="1">
        <f>AF117+'.r file'!AF123</f>
        <v>535.42000000000007</v>
      </c>
    </row>
    <row r="119" spans="1:32" x14ac:dyDescent="0.25">
      <c r="A119" s="6">
        <v>27058.208333333332</v>
      </c>
      <c r="B119" s="1">
        <f>B118+'.r file'!B124</f>
        <v>728.92000000000064</v>
      </c>
      <c r="C119" s="1">
        <f>C118+'.r file'!C124</f>
        <v>614.90000000000009</v>
      </c>
      <c r="D119" s="1">
        <f>D118+'.r file'!D124</f>
        <v>375</v>
      </c>
      <c r="E119" s="1">
        <f>E118+'.r file'!E124</f>
        <v>341</v>
      </c>
      <c r="F119" s="1">
        <f>F118+'.r file'!F124</f>
        <v>315.70000000000016</v>
      </c>
      <c r="G119" s="1">
        <f>G118+'.r file'!G124</f>
        <v>214.58999999999997</v>
      </c>
      <c r="H119" s="1">
        <f>H118+'.r file'!H124</f>
        <v>426</v>
      </c>
      <c r="I119" s="1">
        <f>I118+'.r file'!I124</f>
        <v>276.43</v>
      </c>
      <c r="J119" s="1">
        <f>J118+'.r file'!J124</f>
        <v>269</v>
      </c>
      <c r="K119" s="1">
        <f>K118+'.r file'!K124</f>
        <v>445</v>
      </c>
      <c r="L119" s="1">
        <f>L118+'.r file'!L124</f>
        <v>396.6399999999993</v>
      </c>
      <c r="M119" s="1">
        <f>M118+'.r file'!M124</f>
        <v>1303</v>
      </c>
      <c r="N119" s="1">
        <f>N118+'.r file'!N124</f>
        <v>109.08999999999996</v>
      </c>
      <c r="O119" s="1">
        <f>O118+'.r file'!O124</f>
        <v>637</v>
      </c>
      <c r="P119" s="1">
        <f>P118+'.r file'!P124</f>
        <v>362.2000000000001</v>
      </c>
      <c r="Q119" s="1">
        <f>Q118+'.r file'!Q124</f>
        <v>445</v>
      </c>
      <c r="R119" s="1">
        <f>R118+'.r file'!R124</f>
        <v>436.87999999999994</v>
      </c>
      <c r="S119" s="1">
        <f>S118+'.r file'!S124</f>
        <v>482.5499999999999</v>
      </c>
      <c r="T119" s="1">
        <f>T118+'.r file'!T124</f>
        <v>536</v>
      </c>
      <c r="U119" s="1">
        <f>U118+'.r file'!U124</f>
        <v>868.50000000000034</v>
      </c>
      <c r="V119" s="1">
        <f>V118+'.r file'!V124</f>
        <v>695</v>
      </c>
      <c r="W119" s="1">
        <f>W118+'.r file'!W124</f>
        <v>926</v>
      </c>
      <c r="X119" s="1">
        <f>X118+'.r file'!X124</f>
        <v>786</v>
      </c>
      <c r="Y119" s="1">
        <f>Y118+'.r file'!Y124</f>
        <v>618</v>
      </c>
      <c r="Z119" s="1">
        <f>Z118+'.r file'!Z124</f>
        <v>830.81000000000006</v>
      </c>
      <c r="AA119" s="1">
        <f>AA118+'.r file'!AA124</f>
        <v>649.80000000000064</v>
      </c>
      <c r="AB119" s="1">
        <f>AB118+'.r file'!AB124</f>
        <v>620.01000000000033</v>
      </c>
      <c r="AC119" s="1">
        <f>AC118+'.r file'!AC124</f>
        <v>669</v>
      </c>
      <c r="AD119" s="1">
        <f>AD118+'.r file'!AD124</f>
        <v>625.60000000000014</v>
      </c>
      <c r="AE119" s="1">
        <f>AE118+'.r file'!AE124</f>
        <v>616.62</v>
      </c>
      <c r="AF119" s="1">
        <f>AF118+'.r file'!AF124</f>
        <v>535.42000000000007</v>
      </c>
    </row>
    <row r="120" spans="1:32" x14ac:dyDescent="0.25">
      <c r="A120" s="6">
        <v>27058.25</v>
      </c>
      <c r="B120" s="1">
        <f>B119+'.r file'!B125</f>
        <v>728.92000000000064</v>
      </c>
      <c r="C120" s="1">
        <f>C119+'.r file'!C125</f>
        <v>614.90000000000009</v>
      </c>
      <c r="D120" s="1">
        <f>D119+'.r file'!D125</f>
        <v>375</v>
      </c>
      <c r="E120" s="1">
        <f>E119+'.r file'!E125</f>
        <v>341</v>
      </c>
      <c r="F120" s="1">
        <f>F119+'.r file'!F125</f>
        <v>315.70000000000016</v>
      </c>
      <c r="G120" s="1">
        <f>G119+'.r file'!G125</f>
        <v>214.58999999999997</v>
      </c>
      <c r="H120" s="1">
        <f>H119+'.r file'!H125</f>
        <v>426</v>
      </c>
      <c r="I120" s="1">
        <f>I119+'.r file'!I125</f>
        <v>276.43</v>
      </c>
      <c r="J120" s="1">
        <f>J119+'.r file'!J125</f>
        <v>269</v>
      </c>
      <c r="K120" s="1">
        <f>K119+'.r file'!K125</f>
        <v>445</v>
      </c>
      <c r="L120" s="1">
        <f>L119+'.r file'!L125</f>
        <v>396.77999999999929</v>
      </c>
      <c r="M120" s="1">
        <f>M119+'.r file'!M125</f>
        <v>1303</v>
      </c>
      <c r="N120" s="1">
        <f>N119+'.r file'!N125</f>
        <v>109.16999999999996</v>
      </c>
      <c r="O120" s="1">
        <f>O119+'.r file'!O125</f>
        <v>637</v>
      </c>
      <c r="P120" s="1">
        <f>P119+'.r file'!P125</f>
        <v>362.2000000000001</v>
      </c>
      <c r="Q120" s="1">
        <f>Q119+'.r file'!Q125</f>
        <v>445</v>
      </c>
      <c r="R120" s="1">
        <f>R119+'.r file'!R125</f>
        <v>436.87999999999994</v>
      </c>
      <c r="S120" s="1">
        <f>S119+'.r file'!S125</f>
        <v>482.5499999999999</v>
      </c>
      <c r="T120" s="1">
        <f>T119+'.r file'!T125</f>
        <v>536</v>
      </c>
      <c r="U120" s="1">
        <f>U119+'.r file'!U125</f>
        <v>868.50000000000034</v>
      </c>
      <c r="V120" s="1">
        <f>V119+'.r file'!V125</f>
        <v>695</v>
      </c>
      <c r="W120" s="1">
        <f>W119+'.r file'!W125</f>
        <v>926</v>
      </c>
      <c r="X120" s="1">
        <f>X119+'.r file'!X125</f>
        <v>786</v>
      </c>
      <c r="Y120" s="1">
        <f>Y119+'.r file'!Y125</f>
        <v>618</v>
      </c>
      <c r="Z120" s="1">
        <f>Z119+'.r file'!Z125</f>
        <v>830.81000000000006</v>
      </c>
      <c r="AA120" s="1">
        <f>AA119+'.r file'!AA125</f>
        <v>649.89000000000067</v>
      </c>
      <c r="AB120" s="1">
        <f>AB119+'.r file'!AB125</f>
        <v>620.01000000000033</v>
      </c>
      <c r="AC120" s="1">
        <f>AC119+'.r file'!AC125</f>
        <v>669</v>
      </c>
      <c r="AD120" s="1">
        <f>AD119+'.r file'!AD125</f>
        <v>625.60000000000014</v>
      </c>
      <c r="AE120" s="1">
        <f>AE119+'.r file'!AE125</f>
        <v>616.62</v>
      </c>
      <c r="AF120" s="1">
        <f>AF119+'.r file'!AF125</f>
        <v>535.42000000000007</v>
      </c>
    </row>
    <row r="121" spans="1:32" x14ac:dyDescent="0.25">
      <c r="A121" s="6">
        <v>27058.291666666668</v>
      </c>
      <c r="B121" s="1">
        <f>B120+'.r file'!B126</f>
        <v>728.92000000000064</v>
      </c>
      <c r="C121" s="1">
        <f>C120+'.r file'!C126</f>
        <v>614.90000000000009</v>
      </c>
      <c r="D121" s="1">
        <f>D120+'.r file'!D126</f>
        <v>375</v>
      </c>
      <c r="E121" s="1">
        <f>E120+'.r file'!E126</f>
        <v>341</v>
      </c>
      <c r="F121" s="1">
        <f>F120+'.r file'!F126</f>
        <v>315.70000000000016</v>
      </c>
      <c r="G121" s="1">
        <f>G120+'.r file'!G126</f>
        <v>214.58999999999997</v>
      </c>
      <c r="H121" s="1">
        <f>H120+'.r file'!H126</f>
        <v>426</v>
      </c>
      <c r="I121" s="1">
        <f>I120+'.r file'!I126</f>
        <v>276.43</v>
      </c>
      <c r="J121" s="1">
        <f>J120+'.r file'!J126</f>
        <v>269</v>
      </c>
      <c r="K121" s="1">
        <f>K120+'.r file'!K126</f>
        <v>445</v>
      </c>
      <c r="L121" s="1">
        <f>L120+'.r file'!L126</f>
        <v>396.91999999999928</v>
      </c>
      <c r="M121" s="1">
        <f>M120+'.r file'!M126</f>
        <v>1303</v>
      </c>
      <c r="N121" s="1">
        <f>N120+'.r file'!N126</f>
        <v>109.24999999999996</v>
      </c>
      <c r="O121" s="1">
        <f>O120+'.r file'!O126</f>
        <v>637</v>
      </c>
      <c r="P121" s="1">
        <f>P120+'.r file'!P126</f>
        <v>362.2000000000001</v>
      </c>
      <c r="Q121" s="1">
        <f>Q120+'.r file'!Q126</f>
        <v>445</v>
      </c>
      <c r="R121" s="1">
        <f>R120+'.r file'!R126</f>
        <v>436.87999999999994</v>
      </c>
      <c r="S121" s="1">
        <f>S120+'.r file'!S126</f>
        <v>482.5499999999999</v>
      </c>
      <c r="T121" s="1">
        <f>T120+'.r file'!T126</f>
        <v>536</v>
      </c>
      <c r="U121" s="1">
        <f>U120+'.r file'!U126</f>
        <v>868.50000000000034</v>
      </c>
      <c r="V121" s="1">
        <f>V120+'.r file'!V126</f>
        <v>695</v>
      </c>
      <c r="W121" s="1">
        <f>W120+'.r file'!W126</f>
        <v>926</v>
      </c>
      <c r="X121" s="1">
        <f>X120+'.r file'!X126</f>
        <v>786</v>
      </c>
      <c r="Y121" s="1">
        <f>Y120+'.r file'!Y126</f>
        <v>618</v>
      </c>
      <c r="Z121" s="1">
        <f>Z120+'.r file'!Z126</f>
        <v>830.81000000000006</v>
      </c>
      <c r="AA121" s="1">
        <f>AA120+'.r file'!AA126</f>
        <v>649.9800000000007</v>
      </c>
      <c r="AB121" s="1">
        <f>AB120+'.r file'!AB126</f>
        <v>620.01000000000033</v>
      </c>
      <c r="AC121" s="1">
        <f>AC120+'.r file'!AC126</f>
        <v>669</v>
      </c>
      <c r="AD121" s="1">
        <f>AD120+'.r file'!AD126</f>
        <v>625.60000000000014</v>
      </c>
      <c r="AE121" s="1">
        <f>AE120+'.r file'!AE126</f>
        <v>616.62</v>
      </c>
      <c r="AF121" s="1">
        <f>AF120+'.r file'!AF126</f>
        <v>535.42000000000007</v>
      </c>
    </row>
    <row r="122" spans="1:32" x14ac:dyDescent="0.25">
      <c r="A122" s="6">
        <v>27058.333333333332</v>
      </c>
      <c r="B122" s="1">
        <f>B121+'.r file'!B127</f>
        <v>728.92000000000064</v>
      </c>
      <c r="C122" s="1">
        <f>C121+'.r file'!C127</f>
        <v>614.90000000000009</v>
      </c>
      <c r="D122" s="1">
        <f>D121+'.r file'!D127</f>
        <v>375</v>
      </c>
      <c r="E122" s="1">
        <f>E121+'.r file'!E127</f>
        <v>341</v>
      </c>
      <c r="F122" s="1">
        <f>F121+'.r file'!F127</f>
        <v>315.70000000000016</v>
      </c>
      <c r="G122" s="1">
        <f>G121+'.r file'!G127</f>
        <v>214.89</v>
      </c>
      <c r="H122" s="1">
        <f>H121+'.r file'!H127</f>
        <v>426</v>
      </c>
      <c r="I122" s="1">
        <f>I121+'.r file'!I127</f>
        <v>276.43</v>
      </c>
      <c r="J122" s="1">
        <f>J121+'.r file'!J127</f>
        <v>269</v>
      </c>
      <c r="K122" s="1">
        <f>K121+'.r file'!K127</f>
        <v>445</v>
      </c>
      <c r="L122" s="1">
        <f>L121+'.r file'!L127</f>
        <v>397.05999999999926</v>
      </c>
      <c r="M122" s="1">
        <f>M121+'.r file'!M127</f>
        <v>1303</v>
      </c>
      <c r="N122" s="1">
        <f>N121+'.r file'!N127</f>
        <v>109.32999999999996</v>
      </c>
      <c r="O122" s="1">
        <f>O121+'.r file'!O127</f>
        <v>637</v>
      </c>
      <c r="P122" s="1">
        <f>P121+'.r file'!P127</f>
        <v>362.2000000000001</v>
      </c>
      <c r="Q122" s="1">
        <f>Q121+'.r file'!Q127</f>
        <v>445</v>
      </c>
      <c r="R122" s="1">
        <f>R121+'.r file'!R127</f>
        <v>436.87999999999994</v>
      </c>
      <c r="S122" s="1">
        <f>S121+'.r file'!S127</f>
        <v>482.5499999999999</v>
      </c>
      <c r="T122" s="1">
        <f>T121+'.r file'!T127</f>
        <v>536</v>
      </c>
      <c r="U122" s="1">
        <f>U121+'.r file'!U127</f>
        <v>868.50000000000034</v>
      </c>
      <c r="V122" s="1">
        <f>V121+'.r file'!V127</f>
        <v>695</v>
      </c>
      <c r="W122" s="1">
        <f>W121+'.r file'!W127</f>
        <v>926</v>
      </c>
      <c r="X122" s="1">
        <f>X121+'.r file'!X127</f>
        <v>786</v>
      </c>
      <c r="Y122" s="1">
        <f>Y121+'.r file'!Y127</f>
        <v>618</v>
      </c>
      <c r="Z122" s="1">
        <f>Z121+'.r file'!Z127</f>
        <v>830.81000000000006</v>
      </c>
      <c r="AA122" s="1">
        <f>AA121+'.r file'!AA127</f>
        <v>650.07000000000073</v>
      </c>
      <c r="AB122" s="1">
        <f>AB121+'.r file'!AB127</f>
        <v>620.01000000000033</v>
      </c>
      <c r="AC122" s="1">
        <f>AC121+'.r file'!AC127</f>
        <v>669</v>
      </c>
      <c r="AD122" s="1">
        <f>AD121+'.r file'!AD127</f>
        <v>625.60000000000014</v>
      </c>
      <c r="AE122" s="1">
        <f>AE121+'.r file'!AE127</f>
        <v>616.62</v>
      </c>
      <c r="AF122" s="1">
        <f>AF121+'.r file'!AF127</f>
        <v>535.42000000000007</v>
      </c>
    </row>
    <row r="123" spans="1:32" x14ac:dyDescent="0.25">
      <c r="A123" s="6">
        <v>27058.375</v>
      </c>
      <c r="B123" s="1">
        <f>B122+'.r file'!B128</f>
        <v>728.92000000000064</v>
      </c>
      <c r="C123" s="1">
        <f>C122+'.r file'!C128</f>
        <v>614.90000000000009</v>
      </c>
      <c r="D123" s="1">
        <f>D122+'.r file'!D128</f>
        <v>375</v>
      </c>
      <c r="E123" s="1">
        <f>E122+'.r file'!E128</f>
        <v>341</v>
      </c>
      <c r="F123" s="1">
        <f>F122+'.r file'!F128</f>
        <v>315.70000000000016</v>
      </c>
      <c r="G123" s="1">
        <f>G122+'.r file'!G128</f>
        <v>214.92999999999998</v>
      </c>
      <c r="H123" s="1">
        <f>H122+'.r file'!H128</f>
        <v>426</v>
      </c>
      <c r="I123" s="1">
        <f>I122+'.r file'!I128</f>
        <v>276.43</v>
      </c>
      <c r="J123" s="1">
        <f>J122+'.r file'!J128</f>
        <v>269</v>
      </c>
      <c r="K123" s="1">
        <f>K122+'.r file'!K128</f>
        <v>445</v>
      </c>
      <c r="L123" s="1">
        <f>L122+'.r file'!L128</f>
        <v>397.19999999999925</v>
      </c>
      <c r="M123" s="1">
        <f>M122+'.r file'!M128</f>
        <v>1303</v>
      </c>
      <c r="N123" s="1">
        <f>N122+'.r file'!N128</f>
        <v>109.40999999999995</v>
      </c>
      <c r="O123" s="1">
        <f>O122+'.r file'!O128</f>
        <v>637</v>
      </c>
      <c r="P123" s="1">
        <f>P122+'.r file'!P128</f>
        <v>362.2000000000001</v>
      </c>
      <c r="Q123" s="1">
        <f>Q122+'.r file'!Q128</f>
        <v>445</v>
      </c>
      <c r="R123" s="1">
        <f>R122+'.r file'!R128</f>
        <v>436.87999999999994</v>
      </c>
      <c r="S123" s="1">
        <f>S122+'.r file'!S128</f>
        <v>482.5499999999999</v>
      </c>
      <c r="T123" s="1">
        <f>T122+'.r file'!T128</f>
        <v>536</v>
      </c>
      <c r="U123" s="1">
        <f>U122+'.r file'!U128</f>
        <v>868.50000000000034</v>
      </c>
      <c r="V123" s="1">
        <f>V122+'.r file'!V128</f>
        <v>695</v>
      </c>
      <c r="W123" s="1">
        <f>W122+'.r file'!W128</f>
        <v>926</v>
      </c>
      <c r="X123" s="1">
        <f>X122+'.r file'!X128</f>
        <v>786</v>
      </c>
      <c r="Y123" s="1">
        <f>Y122+'.r file'!Y128</f>
        <v>618</v>
      </c>
      <c r="Z123" s="1">
        <f>Z122+'.r file'!Z128</f>
        <v>830.81000000000006</v>
      </c>
      <c r="AA123" s="1">
        <f>AA122+'.r file'!AA128</f>
        <v>650.21000000000072</v>
      </c>
      <c r="AB123" s="1">
        <f>AB122+'.r file'!AB128</f>
        <v>620.01000000000033</v>
      </c>
      <c r="AC123" s="1">
        <f>AC122+'.r file'!AC128</f>
        <v>669</v>
      </c>
      <c r="AD123" s="1">
        <f>AD122+'.r file'!AD128</f>
        <v>625.60000000000014</v>
      </c>
      <c r="AE123" s="1">
        <f>AE122+'.r file'!AE128</f>
        <v>616.62</v>
      </c>
      <c r="AF123" s="1">
        <f>AF122+'.r file'!AF128</f>
        <v>535.42000000000007</v>
      </c>
    </row>
    <row r="124" spans="1:32" x14ac:dyDescent="0.25">
      <c r="A124" s="6">
        <v>27058.416666666668</v>
      </c>
      <c r="B124" s="1">
        <f>B123+'.r file'!B129</f>
        <v>728.92000000000064</v>
      </c>
      <c r="C124" s="1">
        <f>C123+'.r file'!C129</f>
        <v>614.90000000000009</v>
      </c>
      <c r="D124" s="1">
        <f>D123+'.r file'!D129</f>
        <v>375</v>
      </c>
      <c r="E124" s="1">
        <f>E123+'.r file'!E129</f>
        <v>341</v>
      </c>
      <c r="F124" s="1">
        <f>F123+'.r file'!F129</f>
        <v>315.70000000000016</v>
      </c>
      <c r="G124" s="1">
        <f>G123+'.r file'!G129</f>
        <v>214.98999999999998</v>
      </c>
      <c r="H124" s="1">
        <f>H123+'.r file'!H129</f>
        <v>426</v>
      </c>
      <c r="I124" s="1">
        <f>I123+'.r file'!I129</f>
        <v>276.43</v>
      </c>
      <c r="J124" s="1">
        <f>J123+'.r file'!J129</f>
        <v>269</v>
      </c>
      <c r="K124" s="1">
        <f>K123+'.r file'!K129</f>
        <v>445</v>
      </c>
      <c r="L124" s="1">
        <f>L123+'.r file'!L129</f>
        <v>397.19999999999925</v>
      </c>
      <c r="M124" s="1">
        <f>M123+'.r file'!M129</f>
        <v>1303</v>
      </c>
      <c r="N124" s="1">
        <f>N123+'.r file'!N129</f>
        <v>109.40999999999995</v>
      </c>
      <c r="O124" s="1">
        <f>O123+'.r file'!O129</f>
        <v>637</v>
      </c>
      <c r="P124" s="1">
        <f>P123+'.r file'!P129</f>
        <v>362.23000000000008</v>
      </c>
      <c r="Q124" s="1">
        <f>Q123+'.r file'!Q129</f>
        <v>445</v>
      </c>
      <c r="R124" s="1">
        <f>R123+'.r file'!R129</f>
        <v>436.87999999999994</v>
      </c>
      <c r="S124" s="1">
        <f>S123+'.r file'!S129</f>
        <v>482.5499999999999</v>
      </c>
      <c r="T124" s="1">
        <f>T123+'.r file'!T129</f>
        <v>536</v>
      </c>
      <c r="U124" s="1">
        <f>U123+'.r file'!U129</f>
        <v>868.50000000000034</v>
      </c>
      <c r="V124" s="1">
        <f>V123+'.r file'!V129</f>
        <v>695</v>
      </c>
      <c r="W124" s="1">
        <f>W123+'.r file'!W129</f>
        <v>926</v>
      </c>
      <c r="X124" s="1">
        <f>X123+'.r file'!X129</f>
        <v>786</v>
      </c>
      <c r="Y124" s="1">
        <f>Y123+'.r file'!Y129</f>
        <v>618</v>
      </c>
      <c r="Z124" s="1">
        <f>Z123+'.r file'!Z129</f>
        <v>830.81000000000006</v>
      </c>
      <c r="AA124" s="1">
        <f>AA123+'.r file'!AA129</f>
        <v>651.05000000000075</v>
      </c>
      <c r="AB124" s="1">
        <f>AB123+'.r file'!AB129</f>
        <v>620.01000000000033</v>
      </c>
      <c r="AC124" s="1">
        <f>AC123+'.r file'!AC129</f>
        <v>669</v>
      </c>
      <c r="AD124" s="1">
        <f>AD123+'.r file'!AD129</f>
        <v>625.60000000000014</v>
      </c>
      <c r="AE124" s="1">
        <f>AE123+'.r file'!AE129</f>
        <v>616.62</v>
      </c>
      <c r="AF124" s="1">
        <f>AF123+'.r file'!AF129</f>
        <v>535.42000000000007</v>
      </c>
    </row>
    <row r="125" spans="1:32" x14ac:dyDescent="0.25">
      <c r="A125" s="6">
        <v>27058.458333333332</v>
      </c>
      <c r="B125" s="1">
        <f>B124+'.r file'!B130</f>
        <v>728.92000000000064</v>
      </c>
      <c r="C125" s="1">
        <f>C124+'.r file'!C130</f>
        <v>614.90000000000009</v>
      </c>
      <c r="D125" s="1">
        <f>D124+'.r file'!D130</f>
        <v>375</v>
      </c>
      <c r="E125" s="1">
        <f>E124+'.r file'!E130</f>
        <v>341</v>
      </c>
      <c r="F125" s="1">
        <f>F124+'.r file'!F130</f>
        <v>315.70000000000016</v>
      </c>
      <c r="G125" s="1">
        <f>G124+'.r file'!G130</f>
        <v>214.98999999999998</v>
      </c>
      <c r="H125" s="1">
        <f>H124+'.r file'!H130</f>
        <v>426</v>
      </c>
      <c r="I125" s="1">
        <f>I124+'.r file'!I130</f>
        <v>276.43</v>
      </c>
      <c r="J125" s="1">
        <f>J124+'.r file'!J130</f>
        <v>269</v>
      </c>
      <c r="K125" s="1">
        <f>K124+'.r file'!K130</f>
        <v>445</v>
      </c>
      <c r="L125" s="1">
        <f>L124+'.r file'!L130</f>
        <v>397.19999999999925</v>
      </c>
      <c r="M125" s="1">
        <f>M124+'.r file'!M130</f>
        <v>1303</v>
      </c>
      <c r="N125" s="1">
        <f>N124+'.r file'!N130</f>
        <v>109.40999999999995</v>
      </c>
      <c r="O125" s="1">
        <f>O124+'.r file'!O130</f>
        <v>637</v>
      </c>
      <c r="P125" s="1">
        <f>P124+'.r file'!P130</f>
        <v>362.26000000000005</v>
      </c>
      <c r="Q125" s="1">
        <f>Q124+'.r file'!Q130</f>
        <v>445</v>
      </c>
      <c r="R125" s="1">
        <f>R124+'.r file'!R130</f>
        <v>436.87999999999994</v>
      </c>
      <c r="S125" s="1">
        <f>S124+'.r file'!S130</f>
        <v>482.5499999999999</v>
      </c>
      <c r="T125" s="1">
        <f>T124+'.r file'!T130</f>
        <v>536</v>
      </c>
      <c r="U125" s="1">
        <f>U124+'.r file'!U130</f>
        <v>868.50000000000034</v>
      </c>
      <c r="V125" s="1">
        <f>V124+'.r file'!V130</f>
        <v>695</v>
      </c>
      <c r="W125" s="1">
        <f>W124+'.r file'!W130</f>
        <v>926</v>
      </c>
      <c r="X125" s="1">
        <f>X124+'.r file'!X130</f>
        <v>786</v>
      </c>
      <c r="Y125" s="1">
        <f>Y124+'.r file'!Y130</f>
        <v>618</v>
      </c>
      <c r="Z125" s="1">
        <f>Z124+'.r file'!Z130</f>
        <v>830.81000000000006</v>
      </c>
      <c r="AA125" s="1">
        <f>AA124+'.r file'!AA130</f>
        <v>651.89000000000078</v>
      </c>
      <c r="AB125" s="1">
        <f>AB124+'.r file'!AB130</f>
        <v>620.01000000000033</v>
      </c>
      <c r="AC125" s="1">
        <f>AC124+'.r file'!AC130</f>
        <v>669</v>
      </c>
      <c r="AD125" s="1">
        <f>AD124+'.r file'!AD130</f>
        <v>625.60000000000014</v>
      </c>
      <c r="AE125" s="1">
        <f>AE124+'.r file'!AE130</f>
        <v>616.62</v>
      </c>
      <c r="AF125" s="1">
        <f>AF124+'.r file'!AF130</f>
        <v>535.42000000000007</v>
      </c>
    </row>
    <row r="126" spans="1:32" x14ac:dyDescent="0.25">
      <c r="A126" s="6">
        <v>27058.5</v>
      </c>
      <c r="B126" s="1">
        <f>B125+'.r file'!B131</f>
        <v>728.92000000000064</v>
      </c>
      <c r="C126" s="1">
        <f>C125+'.r file'!C131</f>
        <v>614.90000000000009</v>
      </c>
      <c r="D126" s="1">
        <f>D125+'.r file'!D131</f>
        <v>375</v>
      </c>
      <c r="E126" s="1">
        <f>E125+'.r file'!E131</f>
        <v>341</v>
      </c>
      <c r="F126" s="1">
        <f>F125+'.r file'!F131</f>
        <v>315.70000000000016</v>
      </c>
      <c r="G126" s="1">
        <f>G125+'.r file'!G131</f>
        <v>214.98999999999998</v>
      </c>
      <c r="H126" s="1">
        <f>H125+'.r file'!H131</f>
        <v>426</v>
      </c>
      <c r="I126" s="1">
        <f>I125+'.r file'!I131</f>
        <v>276.43</v>
      </c>
      <c r="J126" s="1">
        <f>J125+'.r file'!J131</f>
        <v>269</v>
      </c>
      <c r="K126" s="1">
        <f>K125+'.r file'!K131</f>
        <v>445</v>
      </c>
      <c r="L126" s="1">
        <f>L125+'.r file'!L131</f>
        <v>397.19999999999925</v>
      </c>
      <c r="M126" s="1">
        <f>M125+'.r file'!M131</f>
        <v>1303</v>
      </c>
      <c r="N126" s="1">
        <f>N125+'.r file'!N131</f>
        <v>109.40999999999995</v>
      </c>
      <c r="O126" s="1">
        <f>O125+'.r file'!O131</f>
        <v>637</v>
      </c>
      <c r="P126" s="1">
        <f>P125+'.r file'!P131</f>
        <v>362.29</v>
      </c>
      <c r="Q126" s="1">
        <f>Q125+'.r file'!Q131</f>
        <v>445</v>
      </c>
      <c r="R126" s="1">
        <f>R125+'.r file'!R131</f>
        <v>436.87999999999994</v>
      </c>
      <c r="S126" s="1">
        <f>S125+'.r file'!S131</f>
        <v>482.5499999999999</v>
      </c>
      <c r="T126" s="1">
        <f>T125+'.r file'!T131</f>
        <v>536</v>
      </c>
      <c r="U126" s="1">
        <f>U125+'.r file'!U131</f>
        <v>868.50000000000034</v>
      </c>
      <c r="V126" s="1">
        <f>V125+'.r file'!V131</f>
        <v>695</v>
      </c>
      <c r="W126" s="1">
        <f>W125+'.r file'!W131</f>
        <v>926</v>
      </c>
      <c r="X126" s="1">
        <f>X125+'.r file'!X131</f>
        <v>786</v>
      </c>
      <c r="Y126" s="1">
        <f>Y125+'.r file'!Y131</f>
        <v>618</v>
      </c>
      <c r="Z126" s="1">
        <f>Z125+'.r file'!Z131</f>
        <v>830.81000000000006</v>
      </c>
      <c r="AA126" s="1">
        <f>AA125+'.r file'!AA131</f>
        <v>652.73000000000081</v>
      </c>
      <c r="AB126" s="1">
        <f>AB125+'.r file'!AB131</f>
        <v>620.01000000000033</v>
      </c>
      <c r="AC126" s="1">
        <f>AC125+'.r file'!AC131</f>
        <v>669</v>
      </c>
      <c r="AD126" s="1">
        <f>AD125+'.r file'!AD131</f>
        <v>625.60000000000014</v>
      </c>
      <c r="AE126" s="1">
        <f>AE125+'.r file'!AE131</f>
        <v>616.73</v>
      </c>
      <c r="AF126" s="1">
        <f>AF125+'.r file'!AF131</f>
        <v>535.42000000000007</v>
      </c>
    </row>
    <row r="127" spans="1:32" x14ac:dyDescent="0.25">
      <c r="A127" s="6">
        <v>27058.541666666668</v>
      </c>
      <c r="B127" s="1">
        <f>B126+'.r file'!B132</f>
        <v>728.92000000000064</v>
      </c>
      <c r="C127" s="1">
        <f>C126+'.r file'!C132</f>
        <v>614.90000000000009</v>
      </c>
      <c r="D127" s="1">
        <f>D126+'.r file'!D132</f>
        <v>375</v>
      </c>
      <c r="E127" s="1">
        <f>E126+'.r file'!E132</f>
        <v>341</v>
      </c>
      <c r="F127" s="1">
        <f>F126+'.r file'!F132</f>
        <v>315.70000000000016</v>
      </c>
      <c r="G127" s="1">
        <f>G126+'.r file'!G132</f>
        <v>214.98999999999998</v>
      </c>
      <c r="H127" s="1">
        <f>H126+'.r file'!H132</f>
        <v>426</v>
      </c>
      <c r="I127" s="1">
        <f>I126+'.r file'!I132</f>
        <v>276.43</v>
      </c>
      <c r="J127" s="1">
        <f>J126+'.r file'!J132</f>
        <v>269</v>
      </c>
      <c r="K127" s="1">
        <f>K126+'.r file'!K132</f>
        <v>445</v>
      </c>
      <c r="L127" s="1">
        <f>L126+'.r file'!L132</f>
        <v>397.19999999999925</v>
      </c>
      <c r="M127" s="1">
        <f>M126+'.r file'!M132</f>
        <v>1303</v>
      </c>
      <c r="N127" s="1">
        <f>N126+'.r file'!N132</f>
        <v>109.40999999999995</v>
      </c>
      <c r="O127" s="1">
        <f>O126+'.r file'!O132</f>
        <v>637</v>
      </c>
      <c r="P127" s="1">
        <f>P126+'.r file'!P132</f>
        <v>362.32</v>
      </c>
      <c r="Q127" s="1">
        <f>Q126+'.r file'!Q132</f>
        <v>445</v>
      </c>
      <c r="R127" s="1">
        <f>R126+'.r file'!R132</f>
        <v>436.87999999999994</v>
      </c>
      <c r="S127" s="1">
        <f>S126+'.r file'!S132</f>
        <v>482.5499999999999</v>
      </c>
      <c r="T127" s="1">
        <f>T126+'.r file'!T132</f>
        <v>536</v>
      </c>
      <c r="U127" s="1">
        <f>U126+'.r file'!U132</f>
        <v>868.50000000000034</v>
      </c>
      <c r="V127" s="1">
        <f>V126+'.r file'!V132</f>
        <v>695</v>
      </c>
      <c r="W127" s="1">
        <f>W126+'.r file'!W132</f>
        <v>926</v>
      </c>
      <c r="X127" s="1">
        <f>X126+'.r file'!X132</f>
        <v>786</v>
      </c>
      <c r="Y127" s="1">
        <f>Y126+'.r file'!Y132</f>
        <v>618</v>
      </c>
      <c r="Z127" s="1">
        <f>Z126+'.r file'!Z132</f>
        <v>831.91000000000008</v>
      </c>
      <c r="AA127" s="1">
        <f>AA126+'.r file'!AA132</f>
        <v>653.57000000000085</v>
      </c>
      <c r="AB127" s="1">
        <f>AB126+'.r file'!AB132</f>
        <v>621.47000000000037</v>
      </c>
      <c r="AC127" s="1">
        <f>AC126+'.r file'!AC132</f>
        <v>669</v>
      </c>
      <c r="AD127" s="1">
        <f>AD126+'.r file'!AD132</f>
        <v>625.60000000000014</v>
      </c>
      <c r="AE127" s="1">
        <f>AE126+'.r file'!AE132</f>
        <v>616.84</v>
      </c>
      <c r="AF127" s="1">
        <f>AF126+'.r file'!AF132</f>
        <v>535.42000000000007</v>
      </c>
    </row>
    <row r="128" spans="1:32" x14ac:dyDescent="0.25">
      <c r="A128" s="6">
        <v>27058.583333333332</v>
      </c>
      <c r="B128" s="1">
        <f>B127+'.r file'!B133</f>
        <v>728.92000000000064</v>
      </c>
      <c r="C128" s="1">
        <f>C127+'.r file'!C133</f>
        <v>614.90000000000009</v>
      </c>
      <c r="D128" s="1">
        <f>D127+'.r file'!D133</f>
        <v>375</v>
      </c>
      <c r="E128" s="1">
        <f>E127+'.r file'!E133</f>
        <v>341</v>
      </c>
      <c r="F128" s="1">
        <f>F127+'.r file'!F133</f>
        <v>315.70000000000016</v>
      </c>
      <c r="G128" s="1">
        <f>G127+'.r file'!G133</f>
        <v>215.08999999999997</v>
      </c>
      <c r="H128" s="1">
        <f>H127+'.r file'!H133</f>
        <v>426</v>
      </c>
      <c r="I128" s="1">
        <f>I127+'.r file'!I133</f>
        <v>276.43</v>
      </c>
      <c r="J128" s="1">
        <f>J127+'.r file'!J133</f>
        <v>269</v>
      </c>
      <c r="K128" s="1">
        <f>K127+'.r file'!K133</f>
        <v>445</v>
      </c>
      <c r="L128" s="1">
        <f>L127+'.r file'!L133</f>
        <v>397.19999999999925</v>
      </c>
      <c r="M128" s="1">
        <f>M127+'.r file'!M133</f>
        <v>1303</v>
      </c>
      <c r="N128" s="1">
        <f>N127+'.r file'!N133</f>
        <v>109.60999999999996</v>
      </c>
      <c r="O128" s="1">
        <f>O127+'.r file'!O133</f>
        <v>637</v>
      </c>
      <c r="P128" s="1">
        <f>P127+'.r file'!P133</f>
        <v>362.34999999999997</v>
      </c>
      <c r="Q128" s="1">
        <f>Q127+'.r file'!Q133</f>
        <v>445</v>
      </c>
      <c r="R128" s="1">
        <f>R127+'.r file'!R133</f>
        <v>436.87999999999994</v>
      </c>
      <c r="S128" s="1">
        <f>S127+'.r file'!S133</f>
        <v>482.5499999999999</v>
      </c>
      <c r="T128" s="1">
        <f>T127+'.r file'!T133</f>
        <v>536</v>
      </c>
      <c r="U128" s="1">
        <f>U127+'.r file'!U133</f>
        <v>868.50000000000034</v>
      </c>
      <c r="V128" s="1">
        <f>V127+'.r file'!V133</f>
        <v>695</v>
      </c>
      <c r="W128" s="1">
        <f>W127+'.r file'!W133</f>
        <v>926</v>
      </c>
      <c r="X128" s="1">
        <f>X127+'.r file'!X133</f>
        <v>786</v>
      </c>
      <c r="Y128" s="1">
        <f>Y127+'.r file'!Y133</f>
        <v>618</v>
      </c>
      <c r="Z128" s="1">
        <f>Z127+'.r file'!Z133</f>
        <v>832.10000000000014</v>
      </c>
      <c r="AA128" s="1">
        <f>AA127+'.r file'!AA133</f>
        <v>654.41000000000088</v>
      </c>
      <c r="AB128" s="1">
        <f>AB127+'.r file'!AB133</f>
        <v>622.01000000000033</v>
      </c>
      <c r="AC128" s="1">
        <f>AC127+'.r file'!AC133</f>
        <v>669</v>
      </c>
      <c r="AD128" s="1">
        <f>AD127+'.r file'!AD133</f>
        <v>625.60000000000014</v>
      </c>
      <c r="AE128" s="1">
        <f>AE127+'.r file'!AE133</f>
        <v>616.95000000000005</v>
      </c>
      <c r="AF128" s="1">
        <f>AF127+'.r file'!AF133</f>
        <v>536.0200000000001</v>
      </c>
    </row>
    <row r="129" spans="1:32" x14ac:dyDescent="0.25">
      <c r="A129" s="6">
        <v>27058.625</v>
      </c>
      <c r="B129" s="1">
        <f>B128+'.r file'!B134</f>
        <v>728.92000000000064</v>
      </c>
      <c r="C129" s="1">
        <f>C128+'.r file'!C134</f>
        <v>614.90000000000009</v>
      </c>
      <c r="D129" s="1">
        <f>D128+'.r file'!D134</f>
        <v>375</v>
      </c>
      <c r="E129" s="1">
        <f>E128+'.r file'!E134</f>
        <v>341</v>
      </c>
      <c r="F129" s="1">
        <f>F128+'.r file'!F134</f>
        <v>315.70000000000016</v>
      </c>
      <c r="G129" s="1">
        <f>G128+'.r file'!G134</f>
        <v>215.28999999999996</v>
      </c>
      <c r="H129" s="1">
        <f>H128+'.r file'!H134</f>
        <v>426</v>
      </c>
      <c r="I129" s="1">
        <f>I128+'.r file'!I134</f>
        <v>276.43</v>
      </c>
      <c r="J129" s="1">
        <f>J128+'.r file'!J134</f>
        <v>269</v>
      </c>
      <c r="K129" s="1">
        <f>K128+'.r file'!K134</f>
        <v>445</v>
      </c>
      <c r="L129" s="1">
        <f>L128+'.r file'!L134</f>
        <v>397.19999999999925</v>
      </c>
      <c r="M129" s="1">
        <f>M128+'.r file'!M134</f>
        <v>1303</v>
      </c>
      <c r="N129" s="1">
        <f>N128+'.r file'!N134</f>
        <v>110.40999999999995</v>
      </c>
      <c r="O129" s="1">
        <f>O128+'.r file'!O134</f>
        <v>637</v>
      </c>
      <c r="P129" s="1">
        <f>P128+'.r file'!P134</f>
        <v>362.37999999999994</v>
      </c>
      <c r="Q129" s="1">
        <f>Q128+'.r file'!Q134</f>
        <v>445</v>
      </c>
      <c r="R129" s="1">
        <f>R128+'.r file'!R134</f>
        <v>436.87999999999994</v>
      </c>
      <c r="S129" s="1">
        <f>S128+'.r file'!S134</f>
        <v>482.5499999999999</v>
      </c>
      <c r="T129" s="1">
        <f>T128+'.r file'!T134</f>
        <v>536</v>
      </c>
      <c r="U129" s="1">
        <f>U128+'.r file'!U134</f>
        <v>868.50000000000034</v>
      </c>
      <c r="V129" s="1">
        <f>V128+'.r file'!V134</f>
        <v>695</v>
      </c>
      <c r="W129" s="1">
        <f>W128+'.r file'!W134</f>
        <v>926</v>
      </c>
      <c r="X129" s="1">
        <f>X128+'.r file'!X134</f>
        <v>786</v>
      </c>
      <c r="Y129" s="1">
        <f>Y128+'.r file'!Y134</f>
        <v>618</v>
      </c>
      <c r="Z129" s="1">
        <f>Z128+'.r file'!Z134</f>
        <v>832.41000000000008</v>
      </c>
      <c r="AA129" s="1">
        <f>AA128+'.r file'!AA134</f>
        <v>655.25000000000091</v>
      </c>
      <c r="AB129" s="1">
        <f>AB128+'.r file'!AB134</f>
        <v>622.01000000000033</v>
      </c>
      <c r="AC129" s="1">
        <f>AC128+'.r file'!AC134</f>
        <v>669</v>
      </c>
      <c r="AD129" s="1">
        <f>AD128+'.r file'!AD134</f>
        <v>625.60000000000014</v>
      </c>
      <c r="AE129" s="1">
        <f>AE128+'.r file'!AE134</f>
        <v>617.06000000000006</v>
      </c>
      <c r="AF129" s="1">
        <f>AF128+'.r file'!AF134</f>
        <v>536.32000000000005</v>
      </c>
    </row>
    <row r="130" spans="1:32" x14ac:dyDescent="0.25">
      <c r="A130" s="6">
        <v>27058.666666666668</v>
      </c>
      <c r="B130" s="1">
        <f>B129+'.r file'!B135</f>
        <v>728.92000000000064</v>
      </c>
      <c r="C130" s="1">
        <f>C129+'.r file'!C135</f>
        <v>614.90000000000009</v>
      </c>
      <c r="D130" s="1">
        <f>D129+'.r file'!D135</f>
        <v>375</v>
      </c>
      <c r="E130" s="1">
        <f>E129+'.r file'!E135</f>
        <v>341</v>
      </c>
      <c r="F130" s="1">
        <f>F129+'.r file'!F135</f>
        <v>315.70000000000016</v>
      </c>
      <c r="G130" s="1">
        <f>G129+'.r file'!G135</f>
        <v>215.28999999999996</v>
      </c>
      <c r="H130" s="1">
        <f>H129+'.r file'!H135</f>
        <v>426</v>
      </c>
      <c r="I130" s="1">
        <f>I129+'.r file'!I135</f>
        <v>276.43</v>
      </c>
      <c r="J130" s="1">
        <f>J129+'.r file'!J135</f>
        <v>269</v>
      </c>
      <c r="K130" s="1">
        <f>K129+'.r file'!K135</f>
        <v>445</v>
      </c>
      <c r="L130" s="1">
        <f>L129+'.r file'!L135</f>
        <v>397.19999999999925</v>
      </c>
      <c r="M130" s="1">
        <f>M129+'.r file'!M135</f>
        <v>1303</v>
      </c>
      <c r="N130" s="1">
        <f>N129+'.r file'!N135</f>
        <v>110.40999999999995</v>
      </c>
      <c r="O130" s="1">
        <f>O129+'.r file'!O135</f>
        <v>637</v>
      </c>
      <c r="P130" s="1">
        <f>P129+'.r file'!P135</f>
        <v>362.40999999999991</v>
      </c>
      <c r="Q130" s="1">
        <f>Q129+'.r file'!Q135</f>
        <v>445</v>
      </c>
      <c r="R130" s="1">
        <f>R129+'.r file'!R135</f>
        <v>436.87999999999994</v>
      </c>
      <c r="S130" s="1">
        <f>S129+'.r file'!S135</f>
        <v>482.5499999999999</v>
      </c>
      <c r="T130" s="1">
        <f>T129+'.r file'!T135</f>
        <v>536</v>
      </c>
      <c r="U130" s="1">
        <f>U129+'.r file'!U135</f>
        <v>868.50000000000034</v>
      </c>
      <c r="V130" s="1">
        <f>V129+'.r file'!V135</f>
        <v>695</v>
      </c>
      <c r="W130" s="1">
        <f>W129+'.r file'!W135</f>
        <v>926</v>
      </c>
      <c r="X130" s="1">
        <f>X129+'.r file'!X135</f>
        <v>786</v>
      </c>
      <c r="Y130" s="1">
        <f>Y129+'.r file'!Y135</f>
        <v>618</v>
      </c>
      <c r="Z130" s="1">
        <f>Z129+'.r file'!Z135</f>
        <v>832.41000000000008</v>
      </c>
      <c r="AA130" s="1">
        <f>AA129+'.r file'!AA135</f>
        <v>656.09000000000094</v>
      </c>
      <c r="AB130" s="1">
        <f>AB129+'.r file'!AB135</f>
        <v>622.01000000000033</v>
      </c>
      <c r="AC130" s="1">
        <f>AC129+'.r file'!AC135</f>
        <v>669</v>
      </c>
      <c r="AD130" s="1">
        <f>AD129+'.r file'!AD135</f>
        <v>625.60000000000014</v>
      </c>
      <c r="AE130" s="1">
        <f>AE129+'.r file'!AE135</f>
        <v>617.17000000000007</v>
      </c>
      <c r="AF130" s="1">
        <f>AF129+'.r file'!AF135</f>
        <v>536.42000000000007</v>
      </c>
    </row>
    <row r="131" spans="1:32" x14ac:dyDescent="0.25">
      <c r="A131" s="6">
        <v>27058.708333333332</v>
      </c>
      <c r="B131" s="1">
        <f>B130+'.r file'!B136</f>
        <v>728.92000000000064</v>
      </c>
      <c r="C131" s="1">
        <f>C130+'.r file'!C136</f>
        <v>614.90000000000009</v>
      </c>
      <c r="D131" s="1">
        <f>D130+'.r file'!D136</f>
        <v>375</v>
      </c>
      <c r="E131" s="1">
        <f>E130+'.r file'!E136</f>
        <v>341</v>
      </c>
      <c r="F131" s="1">
        <f>F130+'.r file'!F136</f>
        <v>315.70000000000016</v>
      </c>
      <c r="G131" s="1">
        <f>G130+'.r file'!G136</f>
        <v>215.28999999999996</v>
      </c>
      <c r="H131" s="1">
        <f>H130+'.r file'!H136</f>
        <v>426</v>
      </c>
      <c r="I131" s="1">
        <f>I130+'.r file'!I136</f>
        <v>276.43</v>
      </c>
      <c r="J131" s="1">
        <f>J130+'.r file'!J136</f>
        <v>269</v>
      </c>
      <c r="K131" s="1">
        <f>K130+'.r file'!K136</f>
        <v>445</v>
      </c>
      <c r="L131" s="1">
        <f>L130+'.r file'!L136</f>
        <v>397.19999999999925</v>
      </c>
      <c r="M131" s="1">
        <f>M130+'.r file'!M136</f>
        <v>1303</v>
      </c>
      <c r="N131" s="1">
        <f>N130+'.r file'!N136</f>
        <v>110.40999999999995</v>
      </c>
      <c r="O131" s="1">
        <f>O130+'.r file'!O136</f>
        <v>637</v>
      </c>
      <c r="P131" s="1">
        <f>P130+'.r file'!P136</f>
        <v>362.43999999999988</v>
      </c>
      <c r="Q131" s="1">
        <f>Q130+'.r file'!Q136</f>
        <v>445</v>
      </c>
      <c r="R131" s="1">
        <f>R130+'.r file'!R136</f>
        <v>436.87999999999994</v>
      </c>
      <c r="S131" s="1">
        <f>S130+'.r file'!S136</f>
        <v>482.5499999999999</v>
      </c>
      <c r="T131" s="1">
        <f>T130+'.r file'!T136</f>
        <v>536</v>
      </c>
      <c r="U131" s="1">
        <f>U130+'.r file'!U136</f>
        <v>868.50000000000034</v>
      </c>
      <c r="V131" s="1">
        <f>V130+'.r file'!V136</f>
        <v>695</v>
      </c>
      <c r="W131" s="1">
        <f>W130+'.r file'!W136</f>
        <v>926</v>
      </c>
      <c r="X131" s="1">
        <f>X130+'.r file'!X136</f>
        <v>786</v>
      </c>
      <c r="Y131" s="1">
        <f>Y130+'.r file'!Y136</f>
        <v>618</v>
      </c>
      <c r="Z131" s="1">
        <f>Z130+'.r file'!Z136</f>
        <v>832.41000000000008</v>
      </c>
      <c r="AA131" s="1">
        <f>AA130+'.r file'!AA136</f>
        <v>656.93000000000097</v>
      </c>
      <c r="AB131" s="1">
        <f>AB130+'.r file'!AB136</f>
        <v>622.01000000000033</v>
      </c>
      <c r="AC131" s="1">
        <f>AC130+'.r file'!AC136</f>
        <v>669</v>
      </c>
      <c r="AD131" s="1">
        <f>AD130+'.r file'!AD136</f>
        <v>625.60000000000014</v>
      </c>
      <c r="AE131" s="1">
        <f>AE130+'.r file'!AE136</f>
        <v>617.28000000000009</v>
      </c>
      <c r="AF131" s="1">
        <f>AF130+'.r file'!AF136</f>
        <v>536.42000000000007</v>
      </c>
    </row>
    <row r="132" spans="1:32" x14ac:dyDescent="0.25">
      <c r="A132" s="6">
        <v>27058.75</v>
      </c>
      <c r="B132" s="1">
        <f>B131+'.r file'!B137</f>
        <v>728.92000000000064</v>
      </c>
      <c r="C132" s="1">
        <f>C131+'.r file'!C137</f>
        <v>614.90000000000009</v>
      </c>
      <c r="D132" s="1">
        <f>D131+'.r file'!D137</f>
        <v>375</v>
      </c>
      <c r="E132" s="1">
        <f>E131+'.r file'!E137</f>
        <v>341</v>
      </c>
      <c r="F132" s="1">
        <f>F131+'.r file'!F137</f>
        <v>315.70000000000016</v>
      </c>
      <c r="G132" s="1">
        <f>G131+'.r file'!G137</f>
        <v>215.28999999999996</v>
      </c>
      <c r="H132" s="1">
        <f>H131+'.r file'!H137</f>
        <v>426</v>
      </c>
      <c r="I132" s="1">
        <f>I131+'.r file'!I137</f>
        <v>276.43</v>
      </c>
      <c r="J132" s="1">
        <f>J131+'.r file'!J137</f>
        <v>269</v>
      </c>
      <c r="K132" s="1">
        <f>K131+'.r file'!K137</f>
        <v>445</v>
      </c>
      <c r="L132" s="1">
        <f>L131+'.r file'!L137</f>
        <v>397.19999999999925</v>
      </c>
      <c r="M132" s="1">
        <f>M131+'.r file'!M137</f>
        <v>1303</v>
      </c>
      <c r="N132" s="1">
        <f>N131+'.r file'!N137</f>
        <v>110.40999999999995</v>
      </c>
      <c r="O132" s="1">
        <f>O131+'.r file'!O137</f>
        <v>637</v>
      </c>
      <c r="P132" s="1">
        <f>P131+'.r file'!P137</f>
        <v>362.46999999999986</v>
      </c>
      <c r="Q132" s="1">
        <f>Q131+'.r file'!Q137</f>
        <v>445</v>
      </c>
      <c r="R132" s="1">
        <f>R131+'.r file'!R137</f>
        <v>436.87999999999994</v>
      </c>
      <c r="S132" s="1">
        <f>S131+'.r file'!S137</f>
        <v>482.5499999999999</v>
      </c>
      <c r="T132" s="1">
        <f>T131+'.r file'!T137</f>
        <v>536</v>
      </c>
      <c r="U132" s="1">
        <f>U131+'.r file'!U137</f>
        <v>868.50000000000034</v>
      </c>
      <c r="V132" s="1">
        <f>V131+'.r file'!V137</f>
        <v>695</v>
      </c>
      <c r="W132" s="1">
        <f>W131+'.r file'!W137</f>
        <v>926</v>
      </c>
      <c r="X132" s="1">
        <f>X131+'.r file'!X137</f>
        <v>786</v>
      </c>
      <c r="Y132" s="1">
        <f>Y131+'.r file'!Y137</f>
        <v>618</v>
      </c>
      <c r="Z132" s="1">
        <f>Z131+'.r file'!Z137</f>
        <v>832.41000000000008</v>
      </c>
      <c r="AA132" s="1">
        <f>AA131+'.r file'!AA137</f>
        <v>657.770000000001</v>
      </c>
      <c r="AB132" s="1">
        <f>AB131+'.r file'!AB137</f>
        <v>622.01000000000033</v>
      </c>
      <c r="AC132" s="1">
        <f>AC131+'.r file'!AC137</f>
        <v>669</v>
      </c>
      <c r="AD132" s="1">
        <f>AD131+'.r file'!AD137</f>
        <v>625.60000000000014</v>
      </c>
      <c r="AE132" s="1">
        <f>AE131+'.r file'!AE137</f>
        <v>617.3900000000001</v>
      </c>
      <c r="AF132" s="1">
        <f>AF131+'.r file'!AF137</f>
        <v>536.42000000000007</v>
      </c>
    </row>
    <row r="133" spans="1:32" x14ac:dyDescent="0.25">
      <c r="A133" s="6">
        <v>27058.791666666668</v>
      </c>
      <c r="B133" s="1">
        <f>B132+'.r file'!B138</f>
        <v>728.92000000000064</v>
      </c>
      <c r="C133" s="1">
        <f>C132+'.r file'!C138</f>
        <v>614.90000000000009</v>
      </c>
      <c r="D133" s="1">
        <f>D132+'.r file'!D138</f>
        <v>375</v>
      </c>
      <c r="E133" s="1">
        <f>E132+'.r file'!E138</f>
        <v>341</v>
      </c>
      <c r="F133" s="1">
        <f>F132+'.r file'!F138</f>
        <v>315.70000000000016</v>
      </c>
      <c r="G133" s="1">
        <f>G132+'.r file'!G138</f>
        <v>215.28999999999996</v>
      </c>
      <c r="H133" s="1">
        <f>H132+'.r file'!H138</f>
        <v>426</v>
      </c>
      <c r="I133" s="1">
        <f>I132+'.r file'!I138</f>
        <v>276.43</v>
      </c>
      <c r="J133" s="1">
        <f>J132+'.r file'!J138</f>
        <v>269</v>
      </c>
      <c r="K133" s="1">
        <f>K132+'.r file'!K138</f>
        <v>445</v>
      </c>
      <c r="L133" s="1">
        <f>L132+'.r file'!L138</f>
        <v>397.19999999999925</v>
      </c>
      <c r="M133" s="1">
        <f>M132+'.r file'!M138</f>
        <v>1303</v>
      </c>
      <c r="N133" s="1">
        <f>N132+'.r file'!N138</f>
        <v>110.40999999999995</v>
      </c>
      <c r="O133" s="1">
        <f>O132+'.r file'!O138</f>
        <v>637</v>
      </c>
      <c r="P133" s="1">
        <f>P132+'.r file'!P138</f>
        <v>362.49999999999983</v>
      </c>
      <c r="Q133" s="1">
        <f>Q132+'.r file'!Q138</f>
        <v>445</v>
      </c>
      <c r="R133" s="1">
        <f>R132+'.r file'!R138</f>
        <v>436.87999999999994</v>
      </c>
      <c r="S133" s="1">
        <f>S132+'.r file'!S138</f>
        <v>482.5499999999999</v>
      </c>
      <c r="T133" s="1">
        <f>T132+'.r file'!T138</f>
        <v>536</v>
      </c>
      <c r="U133" s="1">
        <f>U132+'.r file'!U138</f>
        <v>868.50000000000034</v>
      </c>
      <c r="V133" s="1">
        <f>V132+'.r file'!V138</f>
        <v>695</v>
      </c>
      <c r="W133" s="1">
        <f>W132+'.r file'!W138</f>
        <v>926</v>
      </c>
      <c r="X133" s="1">
        <f>X132+'.r file'!X138</f>
        <v>786</v>
      </c>
      <c r="Y133" s="1">
        <f>Y132+'.r file'!Y138</f>
        <v>618</v>
      </c>
      <c r="Z133" s="1">
        <f>Z132+'.r file'!Z138</f>
        <v>832.41000000000008</v>
      </c>
      <c r="AA133" s="1">
        <f>AA132+'.r file'!AA138</f>
        <v>658.61000000000104</v>
      </c>
      <c r="AB133" s="1">
        <f>AB132+'.r file'!AB138</f>
        <v>622.01000000000033</v>
      </c>
      <c r="AC133" s="1">
        <f>AC132+'.r file'!AC138</f>
        <v>669</v>
      </c>
      <c r="AD133" s="1">
        <f>AD132+'.r file'!AD138</f>
        <v>625.60000000000014</v>
      </c>
      <c r="AE133" s="1">
        <f>AE132+'.r file'!AE138</f>
        <v>617.50000000000011</v>
      </c>
      <c r="AF133" s="1">
        <f>AF132+'.r file'!AF138</f>
        <v>536.42000000000007</v>
      </c>
    </row>
    <row r="134" spans="1:32" x14ac:dyDescent="0.25">
      <c r="A134" s="6">
        <v>27058.833333333332</v>
      </c>
      <c r="B134" s="1">
        <f>B133+'.r file'!B139</f>
        <v>728.92000000000064</v>
      </c>
      <c r="C134" s="1">
        <f>C133+'.r file'!C139</f>
        <v>614.90000000000009</v>
      </c>
      <c r="D134" s="1">
        <f>D133+'.r file'!D139</f>
        <v>375</v>
      </c>
      <c r="E134" s="1">
        <f>E133+'.r file'!E139</f>
        <v>341</v>
      </c>
      <c r="F134" s="1">
        <f>F133+'.r file'!F139</f>
        <v>315.70000000000016</v>
      </c>
      <c r="G134" s="1">
        <f>G133+'.r file'!G139</f>
        <v>215.28999999999996</v>
      </c>
      <c r="H134" s="1">
        <f>H133+'.r file'!H139</f>
        <v>426</v>
      </c>
      <c r="I134" s="1">
        <f>I133+'.r file'!I139</f>
        <v>276.43</v>
      </c>
      <c r="J134" s="1">
        <f>J133+'.r file'!J139</f>
        <v>269</v>
      </c>
      <c r="K134" s="1">
        <f>K133+'.r file'!K139</f>
        <v>445</v>
      </c>
      <c r="L134" s="1">
        <f>L133+'.r file'!L139</f>
        <v>397.19999999999925</v>
      </c>
      <c r="M134" s="1">
        <f>M133+'.r file'!M139</f>
        <v>1303</v>
      </c>
      <c r="N134" s="1">
        <f>N133+'.r file'!N139</f>
        <v>110.40999999999995</v>
      </c>
      <c r="O134" s="1">
        <f>O133+'.r file'!O139</f>
        <v>637</v>
      </c>
      <c r="P134" s="1">
        <f>P133+'.r file'!P139</f>
        <v>362.5299999999998</v>
      </c>
      <c r="Q134" s="1">
        <f>Q133+'.r file'!Q139</f>
        <v>445</v>
      </c>
      <c r="R134" s="1">
        <f>R133+'.r file'!R139</f>
        <v>436.87999999999994</v>
      </c>
      <c r="S134" s="1">
        <f>S133+'.r file'!S139</f>
        <v>482.5499999999999</v>
      </c>
      <c r="T134" s="1">
        <f>T133+'.r file'!T139</f>
        <v>536</v>
      </c>
      <c r="U134" s="1">
        <f>U133+'.r file'!U139</f>
        <v>868.50000000000034</v>
      </c>
      <c r="V134" s="1">
        <f>V133+'.r file'!V139</f>
        <v>695</v>
      </c>
      <c r="W134" s="1">
        <f>W133+'.r file'!W139</f>
        <v>926</v>
      </c>
      <c r="X134" s="1">
        <f>X133+'.r file'!X139</f>
        <v>786</v>
      </c>
      <c r="Y134" s="1">
        <f>Y133+'.r file'!Y139</f>
        <v>618</v>
      </c>
      <c r="Z134" s="1">
        <f>Z133+'.r file'!Z139</f>
        <v>832.41000000000008</v>
      </c>
      <c r="AA134" s="1">
        <f>AA133+'.r file'!AA139</f>
        <v>659.45000000000107</v>
      </c>
      <c r="AB134" s="1">
        <f>AB133+'.r file'!AB139</f>
        <v>622.01000000000033</v>
      </c>
      <c r="AC134" s="1">
        <f>AC133+'.r file'!AC139</f>
        <v>669</v>
      </c>
      <c r="AD134" s="1">
        <f>AD133+'.r file'!AD139</f>
        <v>625.60000000000014</v>
      </c>
      <c r="AE134" s="1">
        <f>AE133+'.r file'!AE139</f>
        <v>617.61000000000013</v>
      </c>
      <c r="AF134" s="1">
        <f>AF133+'.r file'!AF139</f>
        <v>536.42000000000007</v>
      </c>
    </row>
    <row r="135" spans="1:32" x14ac:dyDescent="0.25">
      <c r="A135" s="6">
        <v>27058.875</v>
      </c>
      <c r="B135" s="1">
        <f>B134+'.r file'!B140</f>
        <v>729.12000000000069</v>
      </c>
      <c r="C135" s="1">
        <f>C134+'.r file'!C140</f>
        <v>614.90000000000009</v>
      </c>
      <c r="D135" s="1">
        <f>D134+'.r file'!D140</f>
        <v>375</v>
      </c>
      <c r="E135" s="1">
        <f>E134+'.r file'!E140</f>
        <v>341</v>
      </c>
      <c r="F135" s="1">
        <f>F134+'.r file'!F140</f>
        <v>315.70000000000016</v>
      </c>
      <c r="G135" s="1">
        <f>G134+'.r file'!G140</f>
        <v>215.28999999999996</v>
      </c>
      <c r="H135" s="1">
        <f>H134+'.r file'!H140</f>
        <v>426</v>
      </c>
      <c r="I135" s="1">
        <f>I134+'.r file'!I140</f>
        <v>276.43</v>
      </c>
      <c r="J135" s="1">
        <f>J134+'.r file'!J140</f>
        <v>269</v>
      </c>
      <c r="K135" s="1">
        <f>K134+'.r file'!K140</f>
        <v>445</v>
      </c>
      <c r="L135" s="1">
        <f>L134+'.r file'!L140</f>
        <v>397.19999999999925</v>
      </c>
      <c r="M135" s="1">
        <f>M134+'.r file'!M140</f>
        <v>1303</v>
      </c>
      <c r="N135" s="1">
        <f>N134+'.r file'!N140</f>
        <v>110.40999999999995</v>
      </c>
      <c r="O135" s="1">
        <f>O134+'.r file'!O140</f>
        <v>637</v>
      </c>
      <c r="P135" s="1">
        <f>P134+'.r file'!P140</f>
        <v>362.55999999999977</v>
      </c>
      <c r="Q135" s="1">
        <f>Q134+'.r file'!Q140</f>
        <v>445</v>
      </c>
      <c r="R135" s="1">
        <f>R134+'.r file'!R140</f>
        <v>436.87999999999994</v>
      </c>
      <c r="S135" s="1">
        <f>S134+'.r file'!S140</f>
        <v>482.5499999999999</v>
      </c>
      <c r="T135" s="1">
        <f>T134+'.r file'!T140</f>
        <v>536</v>
      </c>
      <c r="U135" s="1">
        <f>U134+'.r file'!U140</f>
        <v>868.50000000000034</v>
      </c>
      <c r="V135" s="1">
        <f>V134+'.r file'!V140</f>
        <v>695</v>
      </c>
      <c r="W135" s="1">
        <f>W134+'.r file'!W140</f>
        <v>926</v>
      </c>
      <c r="X135" s="1">
        <f>X134+'.r file'!X140</f>
        <v>786</v>
      </c>
      <c r="Y135" s="1">
        <f>Y134+'.r file'!Y140</f>
        <v>618</v>
      </c>
      <c r="Z135" s="1">
        <f>Z134+'.r file'!Z140</f>
        <v>832.41000000000008</v>
      </c>
      <c r="AA135" s="1">
        <f>AA134+'.r file'!AA140</f>
        <v>660.2900000000011</v>
      </c>
      <c r="AB135" s="1">
        <f>AB134+'.r file'!AB140</f>
        <v>622.01000000000033</v>
      </c>
      <c r="AC135" s="1">
        <f>AC134+'.r file'!AC140</f>
        <v>669</v>
      </c>
      <c r="AD135" s="1">
        <f>AD134+'.r file'!AD140</f>
        <v>625.60000000000014</v>
      </c>
      <c r="AE135" s="1">
        <f>AE134+'.r file'!AE140</f>
        <v>617.72000000000014</v>
      </c>
      <c r="AF135" s="1">
        <f>AF134+'.r file'!AF140</f>
        <v>537.0200000000001</v>
      </c>
    </row>
    <row r="136" spans="1:32" x14ac:dyDescent="0.25">
      <c r="A136" s="6">
        <v>27058.916666666668</v>
      </c>
      <c r="B136" s="1">
        <f>B135+'.r file'!B141</f>
        <v>729.82000000000073</v>
      </c>
      <c r="C136" s="1">
        <f>C135+'.r file'!C141</f>
        <v>614.90000000000009</v>
      </c>
      <c r="D136" s="1">
        <f>D135+'.r file'!D141</f>
        <v>375</v>
      </c>
      <c r="E136" s="1">
        <f>E135+'.r file'!E141</f>
        <v>341</v>
      </c>
      <c r="F136" s="1">
        <f>F135+'.r file'!F141</f>
        <v>315.70000000000016</v>
      </c>
      <c r="G136" s="1">
        <f>G135+'.r file'!G141</f>
        <v>215.28999999999996</v>
      </c>
      <c r="H136" s="1">
        <f>H135+'.r file'!H141</f>
        <v>426</v>
      </c>
      <c r="I136" s="1">
        <f>I135+'.r file'!I141</f>
        <v>276.43</v>
      </c>
      <c r="J136" s="1">
        <f>J135+'.r file'!J141</f>
        <v>269</v>
      </c>
      <c r="K136" s="1">
        <f>K135+'.r file'!K141</f>
        <v>445</v>
      </c>
      <c r="L136" s="1">
        <f>L135+'.r file'!L141</f>
        <v>397.19999999999925</v>
      </c>
      <c r="M136" s="1">
        <f>M135+'.r file'!M141</f>
        <v>1303</v>
      </c>
      <c r="N136" s="1">
        <f>N135+'.r file'!N141</f>
        <v>110.40999999999995</v>
      </c>
      <c r="O136" s="1">
        <f>O135+'.r file'!O141</f>
        <v>637</v>
      </c>
      <c r="P136" s="1">
        <f>P135+'.r file'!P141</f>
        <v>362.58999999999975</v>
      </c>
      <c r="Q136" s="1">
        <f>Q135+'.r file'!Q141</f>
        <v>445</v>
      </c>
      <c r="R136" s="1">
        <f>R135+'.r file'!R141</f>
        <v>436.87999999999994</v>
      </c>
      <c r="S136" s="1">
        <f>S135+'.r file'!S141</f>
        <v>483.64999999999992</v>
      </c>
      <c r="T136" s="1">
        <f>T135+'.r file'!T141</f>
        <v>536</v>
      </c>
      <c r="U136" s="1">
        <f>U135+'.r file'!U141</f>
        <v>868.50000000000034</v>
      </c>
      <c r="V136" s="1">
        <f>V135+'.r file'!V141</f>
        <v>695</v>
      </c>
      <c r="W136" s="1">
        <f>W135+'.r file'!W141</f>
        <v>926</v>
      </c>
      <c r="X136" s="1">
        <f>X135+'.r file'!X141</f>
        <v>786</v>
      </c>
      <c r="Y136" s="1">
        <f>Y135+'.r file'!Y141</f>
        <v>618</v>
      </c>
      <c r="Z136" s="1">
        <f>Z135+'.r file'!Z141</f>
        <v>832.41000000000008</v>
      </c>
      <c r="AA136" s="1">
        <f>AA135+'.r file'!AA141</f>
        <v>661.13000000000113</v>
      </c>
      <c r="AB136" s="1">
        <f>AB135+'.r file'!AB141</f>
        <v>622.01000000000033</v>
      </c>
      <c r="AC136" s="1">
        <f>AC135+'.r file'!AC141</f>
        <v>669</v>
      </c>
      <c r="AD136" s="1">
        <f>AD135+'.r file'!AD141</f>
        <v>625.60000000000014</v>
      </c>
      <c r="AE136" s="1">
        <f>AE135+'.r file'!AE141</f>
        <v>617.83000000000015</v>
      </c>
      <c r="AF136" s="1">
        <f>AF135+'.r file'!AF141</f>
        <v>537.0200000000001</v>
      </c>
    </row>
    <row r="137" spans="1:32" x14ac:dyDescent="0.25">
      <c r="A137" s="6">
        <v>27058.958333333332</v>
      </c>
      <c r="B137" s="1">
        <f>B136+'.r file'!B142</f>
        <v>730.12000000000069</v>
      </c>
      <c r="C137" s="1">
        <f>C136+'.r file'!C142</f>
        <v>614.90000000000009</v>
      </c>
      <c r="D137" s="1">
        <f>D136+'.r file'!D142</f>
        <v>375</v>
      </c>
      <c r="E137" s="1">
        <f>E136+'.r file'!E142</f>
        <v>341</v>
      </c>
      <c r="F137" s="1">
        <f>F136+'.r file'!F142</f>
        <v>315.70000000000016</v>
      </c>
      <c r="G137" s="1">
        <f>G136+'.r file'!G142</f>
        <v>215.28999999999996</v>
      </c>
      <c r="H137" s="1">
        <f>H136+'.r file'!H142</f>
        <v>426</v>
      </c>
      <c r="I137" s="1">
        <f>I136+'.r file'!I142</f>
        <v>276.43</v>
      </c>
      <c r="J137" s="1">
        <f>J136+'.r file'!J142</f>
        <v>269</v>
      </c>
      <c r="K137" s="1">
        <f>K136+'.r file'!K142</f>
        <v>445</v>
      </c>
      <c r="L137" s="1">
        <f>L136+'.r file'!L142</f>
        <v>397.19999999999925</v>
      </c>
      <c r="M137" s="1">
        <f>M136+'.r file'!M142</f>
        <v>1303</v>
      </c>
      <c r="N137" s="1">
        <f>N136+'.r file'!N142</f>
        <v>110.40999999999995</v>
      </c>
      <c r="O137" s="1">
        <f>O136+'.r file'!O142</f>
        <v>637</v>
      </c>
      <c r="P137" s="1">
        <f>P136+'.r file'!P142</f>
        <v>362.61999999999972</v>
      </c>
      <c r="Q137" s="1">
        <f>Q136+'.r file'!Q142</f>
        <v>445</v>
      </c>
      <c r="R137" s="1">
        <f>R136+'.r file'!R142</f>
        <v>436.87999999999994</v>
      </c>
      <c r="S137" s="1">
        <f>S136+'.r file'!S142</f>
        <v>483.74999999999994</v>
      </c>
      <c r="T137" s="1">
        <f>T136+'.r file'!T142</f>
        <v>536</v>
      </c>
      <c r="U137" s="1">
        <f>U136+'.r file'!U142</f>
        <v>868.50000000000034</v>
      </c>
      <c r="V137" s="1">
        <f>V136+'.r file'!V142</f>
        <v>695</v>
      </c>
      <c r="W137" s="1">
        <f>W136+'.r file'!W142</f>
        <v>926</v>
      </c>
      <c r="X137" s="1">
        <f>X136+'.r file'!X142</f>
        <v>786</v>
      </c>
      <c r="Y137" s="1">
        <f>Y136+'.r file'!Y142</f>
        <v>618</v>
      </c>
      <c r="Z137" s="1">
        <f>Z136+'.r file'!Z142</f>
        <v>832.57</v>
      </c>
      <c r="AA137" s="1">
        <f>AA136+'.r file'!AA142</f>
        <v>661.97000000000116</v>
      </c>
      <c r="AB137" s="1">
        <f>AB136+'.r file'!AB142</f>
        <v>622.01000000000033</v>
      </c>
      <c r="AC137" s="1">
        <f>AC136+'.r file'!AC142</f>
        <v>669</v>
      </c>
      <c r="AD137" s="1">
        <f>AD136+'.r file'!AD142</f>
        <v>625.60000000000014</v>
      </c>
      <c r="AE137" s="1">
        <f>AE136+'.r file'!AE142</f>
        <v>617.94000000000017</v>
      </c>
      <c r="AF137" s="1">
        <f>AF136+'.r file'!AF142</f>
        <v>537.0200000000001</v>
      </c>
    </row>
    <row r="138" spans="1:32" x14ac:dyDescent="0.25">
      <c r="A138" s="6">
        <v>27059</v>
      </c>
      <c r="B138" s="1">
        <f>B137+'.r file'!B143</f>
        <v>730.12000000000069</v>
      </c>
      <c r="C138" s="1">
        <f>C137+'.r file'!C143</f>
        <v>614.90000000000009</v>
      </c>
      <c r="D138" s="1">
        <f>D137+'.r file'!D143</f>
        <v>375</v>
      </c>
      <c r="E138" s="1">
        <f>E137+'.r file'!E143</f>
        <v>341</v>
      </c>
      <c r="F138" s="1">
        <f>F137+'.r file'!F143</f>
        <v>315.70000000000016</v>
      </c>
      <c r="G138" s="1">
        <f>G137+'.r file'!G143</f>
        <v>215.28999999999996</v>
      </c>
      <c r="H138" s="1">
        <f>H137+'.r file'!H143</f>
        <v>426</v>
      </c>
      <c r="I138" s="1">
        <f>I137+'.r file'!I143</f>
        <v>276.43</v>
      </c>
      <c r="J138" s="1">
        <f>J137+'.r file'!J143</f>
        <v>269</v>
      </c>
      <c r="K138" s="1">
        <f>K137+'.r file'!K143</f>
        <v>445</v>
      </c>
      <c r="L138" s="1">
        <f>L137+'.r file'!L143</f>
        <v>397.19999999999925</v>
      </c>
      <c r="M138" s="1">
        <f>M137+'.r file'!M143</f>
        <v>1303</v>
      </c>
      <c r="N138" s="1">
        <f>N137+'.r file'!N143</f>
        <v>110.40999999999995</v>
      </c>
      <c r="O138" s="1">
        <f>O137+'.r file'!O143</f>
        <v>637</v>
      </c>
      <c r="P138" s="1">
        <f>P137+'.r file'!P143</f>
        <v>362.64999999999969</v>
      </c>
      <c r="Q138" s="1">
        <f>Q137+'.r file'!Q143</f>
        <v>445</v>
      </c>
      <c r="R138" s="1">
        <f>R137+'.r file'!R143</f>
        <v>436.87999999999994</v>
      </c>
      <c r="S138" s="1">
        <f>S137+'.r file'!S143</f>
        <v>483.74999999999994</v>
      </c>
      <c r="T138" s="1">
        <f>T137+'.r file'!T143</f>
        <v>536</v>
      </c>
      <c r="U138" s="1">
        <f>U137+'.r file'!U143</f>
        <v>868.50000000000034</v>
      </c>
      <c r="V138" s="1">
        <f>V137+'.r file'!V143</f>
        <v>695</v>
      </c>
      <c r="W138" s="1">
        <f>W137+'.r file'!W143</f>
        <v>926</v>
      </c>
      <c r="X138" s="1">
        <f>X137+'.r file'!X143</f>
        <v>786</v>
      </c>
      <c r="Y138" s="1">
        <f>Y137+'.r file'!Y143</f>
        <v>618</v>
      </c>
      <c r="Z138" s="1">
        <f>Z137+'.r file'!Z143</f>
        <v>832.91000000000008</v>
      </c>
      <c r="AA138" s="1">
        <f>AA137+'.r file'!AA143</f>
        <v>662.8100000000012</v>
      </c>
      <c r="AB138" s="1">
        <f>AB137+'.r file'!AB143</f>
        <v>622.01000000000033</v>
      </c>
      <c r="AC138" s="1">
        <f>AC137+'.r file'!AC143</f>
        <v>669</v>
      </c>
      <c r="AD138" s="1">
        <f>AD137+'.r file'!AD143</f>
        <v>625.60000000000014</v>
      </c>
      <c r="AE138" s="1">
        <f>AE137+'.r file'!AE143</f>
        <v>618.05000000000018</v>
      </c>
      <c r="AF138" s="1">
        <f>AF137+'.r file'!AF143</f>
        <v>537.12000000000012</v>
      </c>
    </row>
    <row r="139" spans="1:32" x14ac:dyDescent="0.25">
      <c r="A139" s="6">
        <v>27059.041666666668</v>
      </c>
      <c r="B139" s="1">
        <f>B138+'.r file'!B144</f>
        <v>730.32000000000073</v>
      </c>
      <c r="C139" s="1">
        <f>C138+'.r file'!C144</f>
        <v>614.90000000000009</v>
      </c>
      <c r="D139" s="1">
        <f>D138+'.r file'!D144</f>
        <v>375</v>
      </c>
      <c r="E139" s="1">
        <f>E138+'.r file'!E144</f>
        <v>341</v>
      </c>
      <c r="F139" s="1">
        <f>F138+'.r file'!F144</f>
        <v>315.70000000000016</v>
      </c>
      <c r="G139" s="1">
        <f>G138+'.r file'!G144</f>
        <v>215.28999999999996</v>
      </c>
      <c r="H139" s="1">
        <f>H138+'.r file'!H144</f>
        <v>426</v>
      </c>
      <c r="I139" s="1">
        <f>I138+'.r file'!I144</f>
        <v>276.43</v>
      </c>
      <c r="J139" s="1">
        <f>J138+'.r file'!J144</f>
        <v>269</v>
      </c>
      <c r="K139" s="1">
        <f>K138+'.r file'!K144</f>
        <v>445</v>
      </c>
      <c r="L139" s="1">
        <f>L138+'.r file'!L144</f>
        <v>397.19999999999925</v>
      </c>
      <c r="M139" s="1">
        <f>M138+'.r file'!M144</f>
        <v>1303</v>
      </c>
      <c r="N139" s="1">
        <f>N138+'.r file'!N144</f>
        <v>110.40999999999995</v>
      </c>
      <c r="O139" s="1">
        <f>O138+'.r file'!O144</f>
        <v>637</v>
      </c>
      <c r="P139" s="1">
        <f>P138+'.r file'!P144</f>
        <v>362.67999999999967</v>
      </c>
      <c r="Q139" s="1">
        <f>Q138+'.r file'!Q144</f>
        <v>445</v>
      </c>
      <c r="R139" s="1">
        <f>R138+'.r file'!R144</f>
        <v>436.87999999999994</v>
      </c>
      <c r="S139" s="1">
        <f>S138+'.r file'!S144</f>
        <v>483.74999999999994</v>
      </c>
      <c r="T139" s="1">
        <f>T138+'.r file'!T144</f>
        <v>536</v>
      </c>
      <c r="U139" s="1">
        <f>U138+'.r file'!U144</f>
        <v>868.50000000000034</v>
      </c>
      <c r="V139" s="1">
        <f>V138+'.r file'!V144</f>
        <v>695</v>
      </c>
      <c r="W139" s="1">
        <f>W138+'.r file'!W144</f>
        <v>926</v>
      </c>
      <c r="X139" s="1">
        <f>X138+'.r file'!X144</f>
        <v>786</v>
      </c>
      <c r="Y139" s="1">
        <f>Y138+'.r file'!Y144</f>
        <v>618</v>
      </c>
      <c r="Z139" s="1">
        <f>Z138+'.r file'!Z144</f>
        <v>832.91000000000008</v>
      </c>
      <c r="AA139" s="1">
        <f>AA138+'.r file'!AA144</f>
        <v>663.65000000000123</v>
      </c>
      <c r="AB139" s="1">
        <f>AB138+'.r file'!AB144</f>
        <v>622.01000000000033</v>
      </c>
      <c r="AC139" s="1">
        <f>AC138+'.r file'!AC144</f>
        <v>669</v>
      </c>
      <c r="AD139" s="1">
        <f>AD138+'.r file'!AD144</f>
        <v>625.60000000000014</v>
      </c>
      <c r="AE139" s="1">
        <f>AE138+'.r file'!AE144</f>
        <v>618.1600000000002</v>
      </c>
      <c r="AF139" s="1">
        <f>AF138+'.r file'!AF144</f>
        <v>537.12000000000012</v>
      </c>
    </row>
    <row r="140" spans="1:32" x14ac:dyDescent="0.25">
      <c r="A140" s="6">
        <v>27059.083333333332</v>
      </c>
      <c r="B140" s="1">
        <f>B139+'.r file'!B145</f>
        <v>733.58000000000072</v>
      </c>
      <c r="C140" s="1">
        <f>C139+'.r file'!C145</f>
        <v>614.90000000000009</v>
      </c>
      <c r="D140" s="1">
        <f>D139+'.r file'!D145</f>
        <v>375</v>
      </c>
      <c r="E140" s="1">
        <f>E139+'.r file'!E145</f>
        <v>341</v>
      </c>
      <c r="F140" s="1">
        <f>F139+'.r file'!F145</f>
        <v>315.70000000000016</v>
      </c>
      <c r="G140" s="1">
        <f>G139+'.r file'!G145</f>
        <v>215.28999999999996</v>
      </c>
      <c r="H140" s="1">
        <f>H139+'.r file'!H145</f>
        <v>426</v>
      </c>
      <c r="I140" s="1">
        <f>I139+'.r file'!I145</f>
        <v>276.43</v>
      </c>
      <c r="J140" s="1">
        <f>J139+'.r file'!J145</f>
        <v>269</v>
      </c>
      <c r="K140" s="1">
        <f>K139+'.r file'!K145</f>
        <v>445</v>
      </c>
      <c r="L140" s="1">
        <f>L139+'.r file'!L145</f>
        <v>397.19999999999925</v>
      </c>
      <c r="M140" s="1">
        <f>M139+'.r file'!M145</f>
        <v>1303</v>
      </c>
      <c r="N140" s="1">
        <f>N139+'.r file'!N145</f>
        <v>110.40999999999995</v>
      </c>
      <c r="O140" s="1">
        <f>O139+'.r file'!O145</f>
        <v>637</v>
      </c>
      <c r="P140" s="1">
        <f>P139+'.r file'!P145</f>
        <v>362.70999999999964</v>
      </c>
      <c r="Q140" s="1">
        <f>Q139+'.r file'!Q145</f>
        <v>445</v>
      </c>
      <c r="R140" s="1">
        <f>R139+'.r file'!R145</f>
        <v>436.87999999999994</v>
      </c>
      <c r="S140" s="1">
        <f>S139+'.r file'!S145</f>
        <v>483.74999999999994</v>
      </c>
      <c r="T140" s="1">
        <f>T139+'.r file'!T145</f>
        <v>536</v>
      </c>
      <c r="U140" s="1">
        <f>U139+'.r file'!U145</f>
        <v>868.50000000000034</v>
      </c>
      <c r="V140" s="1">
        <f>V139+'.r file'!V145</f>
        <v>695</v>
      </c>
      <c r="W140" s="1">
        <f>W139+'.r file'!W145</f>
        <v>926</v>
      </c>
      <c r="X140" s="1">
        <f>X139+'.r file'!X145</f>
        <v>786</v>
      </c>
      <c r="Y140" s="1">
        <f>Y139+'.r file'!Y145</f>
        <v>618</v>
      </c>
      <c r="Z140" s="1">
        <f>Z139+'.r file'!Z145</f>
        <v>833.81000000000006</v>
      </c>
      <c r="AA140" s="1">
        <f>AA139+'.r file'!AA145</f>
        <v>664.49000000000126</v>
      </c>
      <c r="AB140" s="1">
        <f>AB139+'.r file'!AB145</f>
        <v>622.01000000000033</v>
      </c>
      <c r="AC140" s="1">
        <f>AC139+'.r file'!AC145</f>
        <v>669</v>
      </c>
      <c r="AD140" s="1">
        <f>AD139+'.r file'!AD145</f>
        <v>625.60000000000014</v>
      </c>
      <c r="AE140" s="1">
        <f>AE139+'.r file'!AE145</f>
        <v>618.1600000000002</v>
      </c>
      <c r="AF140" s="1">
        <f>AF139+'.r file'!AF145</f>
        <v>537.12000000000012</v>
      </c>
    </row>
    <row r="141" spans="1:32" x14ac:dyDescent="0.25">
      <c r="A141" s="6">
        <v>27059.125</v>
      </c>
      <c r="B141" s="1">
        <f>B140+'.r file'!B146</f>
        <v>734.92000000000075</v>
      </c>
      <c r="C141" s="1">
        <f>C140+'.r file'!C146</f>
        <v>614.90000000000009</v>
      </c>
      <c r="D141" s="1">
        <f>D140+'.r file'!D146</f>
        <v>375</v>
      </c>
      <c r="E141" s="1">
        <f>E140+'.r file'!E146</f>
        <v>341</v>
      </c>
      <c r="F141" s="1">
        <f>F140+'.r file'!F146</f>
        <v>315.70000000000016</v>
      </c>
      <c r="G141" s="1">
        <f>G140+'.r file'!G146</f>
        <v>215.48999999999995</v>
      </c>
      <c r="H141" s="1">
        <f>H140+'.r file'!H146</f>
        <v>426</v>
      </c>
      <c r="I141" s="1">
        <f>I140+'.r file'!I146</f>
        <v>276.43</v>
      </c>
      <c r="J141" s="1">
        <f>J140+'.r file'!J146</f>
        <v>269</v>
      </c>
      <c r="K141" s="1">
        <f>K140+'.r file'!K146</f>
        <v>445</v>
      </c>
      <c r="L141" s="1">
        <f>L140+'.r file'!L146</f>
        <v>397.19999999999925</v>
      </c>
      <c r="M141" s="1">
        <f>M140+'.r file'!M146</f>
        <v>1303</v>
      </c>
      <c r="N141" s="1">
        <f>N140+'.r file'!N146</f>
        <v>110.40999999999995</v>
      </c>
      <c r="O141" s="1">
        <f>O140+'.r file'!O146</f>
        <v>637</v>
      </c>
      <c r="P141" s="1">
        <f>P140+'.r file'!P146</f>
        <v>362.73999999999961</v>
      </c>
      <c r="Q141" s="1">
        <f>Q140+'.r file'!Q146</f>
        <v>445</v>
      </c>
      <c r="R141" s="1">
        <f>R140+'.r file'!R146</f>
        <v>437.27999999999992</v>
      </c>
      <c r="S141" s="1">
        <f>S140+'.r file'!S146</f>
        <v>483.74999999999994</v>
      </c>
      <c r="T141" s="1">
        <f>T140+'.r file'!T146</f>
        <v>536</v>
      </c>
      <c r="U141" s="1">
        <f>U140+'.r file'!U146</f>
        <v>868.77000000000032</v>
      </c>
      <c r="V141" s="1">
        <f>V140+'.r file'!V146</f>
        <v>695</v>
      </c>
      <c r="W141" s="1">
        <f>W140+'.r file'!W146</f>
        <v>926</v>
      </c>
      <c r="X141" s="1">
        <f>X140+'.r file'!X146</f>
        <v>786</v>
      </c>
      <c r="Y141" s="1">
        <f>Y140+'.r file'!Y146</f>
        <v>618</v>
      </c>
      <c r="Z141" s="1">
        <f>Z140+'.r file'!Z146</f>
        <v>833.81000000000006</v>
      </c>
      <c r="AA141" s="1">
        <f>AA140+'.r file'!AA146</f>
        <v>665.33000000000129</v>
      </c>
      <c r="AB141" s="1">
        <f>AB140+'.r file'!AB146</f>
        <v>622.01000000000033</v>
      </c>
      <c r="AC141" s="1">
        <f>AC140+'.r file'!AC146</f>
        <v>669</v>
      </c>
      <c r="AD141" s="1">
        <f>AD140+'.r file'!AD146</f>
        <v>625.60000000000014</v>
      </c>
      <c r="AE141" s="1">
        <f>AE140+'.r file'!AE146</f>
        <v>618.1600000000002</v>
      </c>
      <c r="AF141" s="1">
        <f>AF140+'.r file'!AF146</f>
        <v>537.12000000000012</v>
      </c>
    </row>
    <row r="142" spans="1:32" x14ac:dyDescent="0.25">
      <c r="A142" s="6">
        <v>27059.166666666668</v>
      </c>
      <c r="B142" s="1">
        <f>B141+'.r file'!B147</f>
        <v>735.04000000000076</v>
      </c>
      <c r="C142" s="1">
        <f>C141+'.r file'!C147</f>
        <v>614.90000000000009</v>
      </c>
      <c r="D142" s="1">
        <f>D141+'.r file'!D147</f>
        <v>375</v>
      </c>
      <c r="E142" s="1">
        <f>E141+'.r file'!E147</f>
        <v>341</v>
      </c>
      <c r="F142" s="1">
        <f>F141+'.r file'!F147</f>
        <v>315.70000000000016</v>
      </c>
      <c r="G142" s="1">
        <f>G141+'.r file'!G147</f>
        <v>215.48999999999995</v>
      </c>
      <c r="H142" s="1">
        <f>H141+'.r file'!H147</f>
        <v>426</v>
      </c>
      <c r="I142" s="1">
        <f>I141+'.r file'!I147</f>
        <v>276.43</v>
      </c>
      <c r="J142" s="1">
        <f>J141+'.r file'!J147</f>
        <v>269</v>
      </c>
      <c r="K142" s="1">
        <f>K141+'.r file'!K147</f>
        <v>445</v>
      </c>
      <c r="L142" s="1">
        <f>L141+'.r file'!L147</f>
        <v>397.19999999999925</v>
      </c>
      <c r="M142" s="1">
        <f>M141+'.r file'!M147</f>
        <v>1303</v>
      </c>
      <c r="N142" s="1">
        <f>N141+'.r file'!N147</f>
        <v>110.40999999999995</v>
      </c>
      <c r="O142" s="1">
        <f>O141+'.r file'!O147</f>
        <v>637</v>
      </c>
      <c r="P142" s="1">
        <f>P141+'.r file'!P147</f>
        <v>362.76999999999958</v>
      </c>
      <c r="Q142" s="1">
        <f>Q141+'.r file'!Q147</f>
        <v>445</v>
      </c>
      <c r="R142" s="1">
        <f>R141+'.r file'!R147</f>
        <v>439.4799999999999</v>
      </c>
      <c r="S142" s="1">
        <f>S141+'.r file'!S147</f>
        <v>483.74999999999994</v>
      </c>
      <c r="T142" s="1">
        <f>T141+'.r file'!T147</f>
        <v>536</v>
      </c>
      <c r="U142" s="1">
        <f>U141+'.r file'!U147</f>
        <v>871.61000000000035</v>
      </c>
      <c r="V142" s="1">
        <f>V141+'.r file'!V147</f>
        <v>695</v>
      </c>
      <c r="W142" s="1">
        <f>W141+'.r file'!W147</f>
        <v>926</v>
      </c>
      <c r="X142" s="1">
        <f>X141+'.r file'!X147</f>
        <v>786</v>
      </c>
      <c r="Y142" s="1">
        <f>Y141+'.r file'!Y147</f>
        <v>618</v>
      </c>
      <c r="Z142" s="1">
        <f>Z141+'.r file'!Z147</f>
        <v>833.81000000000006</v>
      </c>
      <c r="AA142" s="1">
        <f>AA141+'.r file'!AA147</f>
        <v>666.17000000000132</v>
      </c>
      <c r="AB142" s="1">
        <f>AB141+'.r file'!AB147</f>
        <v>622.01000000000033</v>
      </c>
      <c r="AC142" s="1">
        <f>AC141+'.r file'!AC147</f>
        <v>669</v>
      </c>
      <c r="AD142" s="1">
        <f>AD141+'.r file'!AD147</f>
        <v>625.60000000000014</v>
      </c>
      <c r="AE142" s="1">
        <f>AE141+'.r file'!AE147</f>
        <v>618.1600000000002</v>
      </c>
      <c r="AF142" s="1">
        <f>AF141+'.r file'!AF147</f>
        <v>537.12000000000012</v>
      </c>
    </row>
    <row r="143" spans="1:32" x14ac:dyDescent="0.25">
      <c r="A143" s="6">
        <v>27059.208333333332</v>
      </c>
      <c r="B143" s="1">
        <f>B142+'.r file'!B148</f>
        <v>735.39000000000078</v>
      </c>
      <c r="C143" s="1">
        <f>C142+'.r file'!C148</f>
        <v>614.90000000000009</v>
      </c>
      <c r="D143" s="1">
        <f>D142+'.r file'!D148</f>
        <v>375</v>
      </c>
      <c r="E143" s="1">
        <f>E142+'.r file'!E148</f>
        <v>341</v>
      </c>
      <c r="F143" s="1">
        <f>F142+'.r file'!F148</f>
        <v>315.70000000000016</v>
      </c>
      <c r="G143" s="1">
        <f>G142+'.r file'!G148</f>
        <v>215.68999999999994</v>
      </c>
      <c r="H143" s="1">
        <f>H142+'.r file'!H148</f>
        <v>426</v>
      </c>
      <c r="I143" s="1">
        <f>I142+'.r file'!I148</f>
        <v>276.43</v>
      </c>
      <c r="J143" s="1">
        <f>J142+'.r file'!J148</f>
        <v>269</v>
      </c>
      <c r="K143" s="1">
        <f>K142+'.r file'!K148</f>
        <v>445</v>
      </c>
      <c r="L143" s="1">
        <f>L142+'.r file'!L148</f>
        <v>397.19999999999925</v>
      </c>
      <c r="M143" s="1">
        <f>M142+'.r file'!M148</f>
        <v>1303</v>
      </c>
      <c r="N143" s="1">
        <f>N142+'.r file'!N148</f>
        <v>110.40999999999995</v>
      </c>
      <c r="O143" s="1">
        <f>O142+'.r file'!O148</f>
        <v>637</v>
      </c>
      <c r="P143" s="1">
        <f>P142+'.r file'!P148</f>
        <v>362.79999999999956</v>
      </c>
      <c r="Q143" s="1">
        <f>Q142+'.r file'!Q148</f>
        <v>445</v>
      </c>
      <c r="R143" s="1">
        <f>R142+'.r file'!R148</f>
        <v>439.87999999999988</v>
      </c>
      <c r="S143" s="1">
        <f>S142+'.r file'!S148</f>
        <v>483.74999999999994</v>
      </c>
      <c r="T143" s="1">
        <f>T142+'.r file'!T148</f>
        <v>536</v>
      </c>
      <c r="U143" s="1">
        <f>U142+'.r file'!U148</f>
        <v>871.63000000000034</v>
      </c>
      <c r="V143" s="1">
        <f>V142+'.r file'!V148</f>
        <v>695</v>
      </c>
      <c r="W143" s="1">
        <f>W142+'.r file'!W148</f>
        <v>926</v>
      </c>
      <c r="X143" s="1">
        <f>X142+'.r file'!X148</f>
        <v>786</v>
      </c>
      <c r="Y143" s="1">
        <f>Y142+'.r file'!Y148</f>
        <v>618</v>
      </c>
      <c r="Z143" s="1">
        <f>Z142+'.r file'!Z148</f>
        <v>833.81000000000006</v>
      </c>
      <c r="AA143" s="1">
        <f>AA142+'.r file'!AA148</f>
        <v>667.01000000000136</v>
      </c>
      <c r="AB143" s="1">
        <f>AB142+'.r file'!AB148</f>
        <v>622.01000000000033</v>
      </c>
      <c r="AC143" s="1">
        <f>AC142+'.r file'!AC148</f>
        <v>669</v>
      </c>
      <c r="AD143" s="1">
        <f>AD142+'.r file'!AD148</f>
        <v>625.60000000000014</v>
      </c>
      <c r="AE143" s="1">
        <f>AE142+'.r file'!AE148</f>
        <v>620.06000000000017</v>
      </c>
      <c r="AF143" s="1">
        <f>AF142+'.r file'!AF148</f>
        <v>538.20000000000016</v>
      </c>
    </row>
    <row r="144" spans="1:32" x14ac:dyDescent="0.25">
      <c r="A144" s="6">
        <v>27059.25</v>
      </c>
      <c r="B144" s="1">
        <f>B143+'.r file'!B149</f>
        <v>736.1200000000008</v>
      </c>
      <c r="C144" s="1">
        <f>C143+'.r file'!C149</f>
        <v>614.90000000000009</v>
      </c>
      <c r="D144" s="1">
        <f>D143+'.r file'!D149</f>
        <v>375</v>
      </c>
      <c r="E144" s="1">
        <f>E143+'.r file'!E149</f>
        <v>341</v>
      </c>
      <c r="F144" s="1">
        <f>F143+'.r file'!F149</f>
        <v>317.00000000000017</v>
      </c>
      <c r="G144" s="1">
        <f>G143+'.r file'!G149</f>
        <v>215.88999999999993</v>
      </c>
      <c r="H144" s="1">
        <f>H143+'.r file'!H149</f>
        <v>426</v>
      </c>
      <c r="I144" s="1">
        <f>I143+'.r file'!I149</f>
        <v>276.43</v>
      </c>
      <c r="J144" s="1">
        <f>J143+'.r file'!J149</f>
        <v>269</v>
      </c>
      <c r="K144" s="1">
        <f>K143+'.r file'!K149</f>
        <v>445</v>
      </c>
      <c r="L144" s="1">
        <f>L143+'.r file'!L149</f>
        <v>397.19999999999925</v>
      </c>
      <c r="M144" s="1">
        <f>M143+'.r file'!M149</f>
        <v>1303</v>
      </c>
      <c r="N144" s="1">
        <f>N143+'.r file'!N149</f>
        <v>110.40999999999995</v>
      </c>
      <c r="O144" s="1">
        <f>O143+'.r file'!O149</f>
        <v>637</v>
      </c>
      <c r="P144" s="1">
        <f>P143+'.r file'!P149</f>
        <v>362.82999999999953</v>
      </c>
      <c r="Q144" s="1">
        <f>Q143+'.r file'!Q149</f>
        <v>445</v>
      </c>
      <c r="R144" s="1">
        <f>R143+'.r file'!R149</f>
        <v>439.87999999999988</v>
      </c>
      <c r="S144" s="1">
        <f>S143+'.r file'!S149</f>
        <v>483.74999999999994</v>
      </c>
      <c r="T144" s="1">
        <f>T143+'.r file'!T149</f>
        <v>536</v>
      </c>
      <c r="U144" s="1">
        <f>U143+'.r file'!U149</f>
        <v>871.65000000000032</v>
      </c>
      <c r="V144" s="1">
        <f>V143+'.r file'!V149</f>
        <v>695</v>
      </c>
      <c r="W144" s="1">
        <f>W143+'.r file'!W149</f>
        <v>926</v>
      </c>
      <c r="X144" s="1">
        <f>X143+'.r file'!X149</f>
        <v>786</v>
      </c>
      <c r="Y144" s="1">
        <f>Y143+'.r file'!Y149</f>
        <v>618</v>
      </c>
      <c r="Z144" s="1">
        <f>Z143+'.r file'!Z149</f>
        <v>833.81000000000006</v>
      </c>
      <c r="AA144" s="1">
        <f>AA143+'.r file'!AA149</f>
        <v>667.85000000000139</v>
      </c>
      <c r="AB144" s="1">
        <f>AB143+'.r file'!AB149</f>
        <v>622.01000000000033</v>
      </c>
      <c r="AC144" s="1">
        <f>AC143+'.r file'!AC149</f>
        <v>669</v>
      </c>
      <c r="AD144" s="1">
        <f>AD143+'.r file'!AD149</f>
        <v>625.60000000000014</v>
      </c>
      <c r="AE144" s="1">
        <f>AE143+'.r file'!AE149</f>
        <v>620.06000000000017</v>
      </c>
      <c r="AF144" s="1">
        <f>AF143+'.r file'!AF149</f>
        <v>538.42000000000019</v>
      </c>
    </row>
    <row r="145" spans="1:32" x14ac:dyDescent="0.25">
      <c r="A145" s="6">
        <v>27059.291666666668</v>
      </c>
      <c r="B145" s="1">
        <f>B144+'.r file'!B150</f>
        <v>736.26000000000079</v>
      </c>
      <c r="C145" s="1">
        <f>C144+'.r file'!C150</f>
        <v>614.90000000000009</v>
      </c>
      <c r="D145" s="1">
        <f>D144+'.r file'!D150</f>
        <v>375</v>
      </c>
      <c r="E145" s="1">
        <f>E144+'.r file'!E150</f>
        <v>341</v>
      </c>
      <c r="F145" s="1">
        <f>F144+'.r file'!F150</f>
        <v>317.00000000000017</v>
      </c>
      <c r="G145" s="1">
        <f>G144+'.r file'!G150</f>
        <v>216.21999999999994</v>
      </c>
      <c r="H145" s="1">
        <f>H144+'.r file'!H150</f>
        <v>426</v>
      </c>
      <c r="I145" s="1">
        <f>I144+'.r file'!I150</f>
        <v>276.43</v>
      </c>
      <c r="J145" s="1">
        <f>J144+'.r file'!J150</f>
        <v>269</v>
      </c>
      <c r="K145" s="1">
        <f>K144+'.r file'!K150</f>
        <v>445</v>
      </c>
      <c r="L145" s="1">
        <f>L144+'.r file'!L150</f>
        <v>397.19999999999925</v>
      </c>
      <c r="M145" s="1">
        <f>M144+'.r file'!M150</f>
        <v>1303</v>
      </c>
      <c r="N145" s="1">
        <f>N144+'.r file'!N150</f>
        <v>110.40999999999995</v>
      </c>
      <c r="O145" s="1">
        <f>O144+'.r file'!O150</f>
        <v>637</v>
      </c>
      <c r="P145" s="1">
        <f>P144+'.r file'!P150</f>
        <v>362.8599999999995</v>
      </c>
      <c r="Q145" s="1">
        <f>Q144+'.r file'!Q150</f>
        <v>445</v>
      </c>
      <c r="R145" s="1">
        <f>R144+'.r file'!R150</f>
        <v>439.87999999999988</v>
      </c>
      <c r="S145" s="1">
        <f>S144+'.r file'!S150</f>
        <v>483.74999999999994</v>
      </c>
      <c r="T145" s="1">
        <f>T144+'.r file'!T150</f>
        <v>536</v>
      </c>
      <c r="U145" s="1">
        <f>U144+'.r file'!U150</f>
        <v>871.6700000000003</v>
      </c>
      <c r="V145" s="1">
        <f>V144+'.r file'!V150</f>
        <v>695</v>
      </c>
      <c r="W145" s="1">
        <f>W144+'.r file'!W150</f>
        <v>926</v>
      </c>
      <c r="X145" s="1">
        <f>X144+'.r file'!X150</f>
        <v>786</v>
      </c>
      <c r="Y145" s="1">
        <f>Y144+'.r file'!Y150</f>
        <v>618</v>
      </c>
      <c r="Z145" s="1">
        <f>Z144+'.r file'!Z150</f>
        <v>833.81000000000006</v>
      </c>
      <c r="AA145" s="1">
        <f>AA144+'.r file'!AA150</f>
        <v>668.69000000000142</v>
      </c>
      <c r="AB145" s="1">
        <f>AB144+'.r file'!AB150</f>
        <v>622.01000000000033</v>
      </c>
      <c r="AC145" s="1">
        <f>AC144+'.r file'!AC150</f>
        <v>669</v>
      </c>
      <c r="AD145" s="1">
        <f>AD144+'.r file'!AD150</f>
        <v>625.60000000000014</v>
      </c>
      <c r="AE145" s="1">
        <f>AE144+'.r file'!AE150</f>
        <v>620.06000000000017</v>
      </c>
      <c r="AF145" s="1">
        <f>AF144+'.r file'!AF150</f>
        <v>538.42000000000019</v>
      </c>
    </row>
    <row r="146" spans="1:32" x14ac:dyDescent="0.25">
      <c r="A146" s="6">
        <v>27059.333333333332</v>
      </c>
      <c r="B146" s="1">
        <f>B145+'.r file'!B151</f>
        <v>736.6200000000008</v>
      </c>
      <c r="C146" s="1">
        <f>C145+'.r file'!C151</f>
        <v>614.90000000000009</v>
      </c>
      <c r="D146" s="1">
        <f>D145+'.r file'!D151</f>
        <v>375</v>
      </c>
      <c r="E146" s="1">
        <f>E145+'.r file'!E151</f>
        <v>341</v>
      </c>
      <c r="F146" s="1">
        <f>F145+'.r file'!F151</f>
        <v>317.00000000000017</v>
      </c>
      <c r="G146" s="1">
        <f>G145+'.r file'!G151</f>
        <v>216.49999999999994</v>
      </c>
      <c r="H146" s="1">
        <f>H145+'.r file'!H151</f>
        <v>426</v>
      </c>
      <c r="I146" s="1">
        <f>I145+'.r file'!I151</f>
        <v>276.43</v>
      </c>
      <c r="J146" s="1">
        <f>J145+'.r file'!J151</f>
        <v>269</v>
      </c>
      <c r="K146" s="1">
        <f>K145+'.r file'!K151</f>
        <v>445</v>
      </c>
      <c r="L146" s="1">
        <f>L145+'.r file'!L151</f>
        <v>397.19999999999925</v>
      </c>
      <c r="M146" s="1">
        <f>M145+'.r file'!M151</f>
        <v>1303</v>
      </c>
      <c r="N146" s="1">
        <f>N145+'.r file'!N151</f>
        <v>110.40999999999995</v>
      </c>
      <c r="O146" s="1">
        <f>O145+'.r file'!O151</f>
        <v>637</v>
      </c>
      <c r="P146" s="1">
        <f>P145+'.r file'!P151</f>
        <v>362.88999999999947</v>
      </c>
      <c r="Q146" s="1">
        <f>Q145+'.r file'!Q151</f>
        <v>445</v>
      </c>
      <c r="R146" s="1">
        <f>R145+'.r file'!R151</f>
        <v>439.87999999999988</v>
      </c>
      <c r="S146" s="1">
        <f>S145+'.r file'!S151</f>
        <v>483.74999999999994</v>
      </c>
      <c r="T146" s="1">
        <f>T145+'.r file'!T151</f>
        <v>536</v>
      </c>
      <c r="U146" s="1">
        <f>U145+'.r file'!U151</f>
        <v>871.69000000000028</v>
      </c>
      <c r="V146" s="1">
        <f>V145+'.r file'!V151</f>
        <v>695</v>
      </c>
      <c r="W146" s="1">
        <f>W145+'.r file'!W151</f>
        <v>926</v>
      </c>
      <c r="X146" s="1">
        <f>X145+'.r file'!X151</f>
        <v>786</v>
      </c>
      <c r="Y146" s="1">
        <f>Y145+'.r file'!Y151</f>
        <v>618</v>
      </c>
      <c r="Z146" s="1">
        <f>Z145+'.r file'!Z151</f>
        <v>833.81000000000006</v>
      </c>
      <c r="AA146" s="1">
        <f>AA145+'.r file'!AA151</f>
        <v>669.53000000000145</v>
      </c>
      <c r="AB146" s="1">
        <f>AB145+'.r file'!AB151</f>
        <v>622.01000000000033</v>
      </c>
      <c r="AC146" s="1">
        <f>AC145+'.r file'!AC151</f>
        <v>669</v>
      </c>
      <c r="AD146" s="1">
        <f>AD145+'.r file'!AD151</f>
        <v>625.60000000000014</v>
      </c>
      <c r="AE146" s="1">
        <f>AE145+'.r file'!AE151</f>
        <v>620.06000000000017</v>
      </c>
      <c r="AF146" s="1">
        <f>AF145+'.r file'!AF151</f>
        <v>538.42000000000019</v>
      </c>
    </row>
    <row r="147" spans="1:32" x14ac:dyDescent="0.25">
      <c r="A147" s="6">
        <v>27059.375</v>
      </c>
      <c r="B147" s="1">
        <f>B146+'.r file'!B152</f>
        <v>739.92000000000075</v>
      </c>
      <c r="C147" s="1">
        <f>C146+'.r file'!C152</f>
        <v>614.90000000000009</v>
      </c>
      <c r="D147" s="1">
        <f>D146+'.r file'!D152</f>
        <v>375</v>
      </c>
      <c r="E147" s="1">
        <f>E146+'.r file'!E152</f>
        <v>341</v>
      </c>
      <c r="F147" s="1">
        <f>F146+'.r file'!F152</f>
        <v>317.00000000000017</v>
      </c>
      <c r="G147" s="1">
        <f>G146+'.r file'!G152</f>
        <v>217.06999999999994</v>
      </c>
      <c r="H147" s="1">
        <f>H146+'.r file'!H152</f>
        <v>426</v>
      </c>
      <c r="I147" s="1">
        <f>I146+'.r file'!I152</f>
        <v>276.43</v>
      </c>
      <c r="J147" s="1">
        <f>J146+'.r file'!J152</f>
        <v>269</v>
      </c>
      <c r="K147" s="1">
        <f>K146+'.r file'!K152</f>
        <v>445</v>
      </c>
      <c r="L147" s="1">
        <f>L146+'.r file'!L152</f>
        <v>397.19999999999925</v>
      </c>
      <c r="M147" s="1">
        <f>M146+'.r file'!M152</f>
        <v>1303</v>
      </c>
      <c r="N147" s="1">
        <f>N146+'.r file'!N152</f>
        <v>110.40999999999995</v>
      </c>
      <c r="O147" s="1">
        <f>O146+'.r file'!O152</f>
        <v>637</v>
      </c>
      <c r="P147" s="1">
        <f>P146+'.r file'!P152</f>
        <v>362.91999999999945</v>
      </c>
      <c r="Q147" s="1">
        <f>Q146+'.r file'!Q152</f>
        <v>445</v>
      </c>
      <c r="R147" s="1">
        <f>R146+'.r file'!R152</f>
        <v>439.87999999999988</v>
      </c>
      <c r="S147" s="1">
        <f>S146+'.r file'!S152</f>
        <v>483.74999999999994</v>
      </c>
      <c r="T147" s="1">
        <f>T146+'.r file'!T152</f>
        <v>536</v>
      </c>
      <c r="U147" s="1">
        <f>U146+'.r file'!U152</f>
        <v>871.70000000000027</v>
      </c>
      <c r="V147" s="1">
        <f>V146+'.r file'!V152</f>
        <v>695</v>
      </c>
      <c r="W147" s="1">
        <f>W146+'.r file'!W152</f>
        <v>926</v>
      </c>
      <c r="X147" s="1">
        <f>X146+'.r file'!X152</f>
        <v>786</v>
      </c>
      <c r="Y147" s="1">
        <f>Y146+'.r file'!Y152</f>
        <v>618</v>
      </c>
      <c r="Z147" s="1">
        <f>Z146+'.r file'!Z152</f>
        <v>833.81000000000006</v>
      </c>
      <c r="AA147" s="1">
        <f>AA146+'.r file'!AA152</f>
        <v>670.31000000000142</v>
      </c>
      <c r="AB147" s="1">
        <f>AB146+'.r file'!AB152</f>
        <v>622.01000000000033</v>
      </c>
      <c r="AC147" s="1">
        <f>AC146+'.r file'!AC152</f>
        <v>669</v>
      </c>
      <c r="AD147" s="1">
        <f>AD146+'.r file'!AD152</f>
        <v>625.60000000000014</v>
      </c>
      <c r="AE147" s="1">
        <f>AE146+'.r file'!AE152</f>
        <v>620.06000000000017</v>
      </c>
      <c r="AF147" s="1">
        <f>AF146+'.r file'!AF152</f>
        <v>538.42000000000019</v>
      </c>
    </row>
    <row r="148" spans="1:32" x14ac:dyDescent="0.25">
      <c r="A148" s="6">
        <v>27059.416666666668</v>
      </c>
      <c r="B148" s="1">
        <f>B147+'.r file'!B153</f>
        <v>739.92000000000075</v>
      </c>
      <c r="C148" s="1">
        <f>C147+'.r file'!C153</f>
        <v>614.90000000000009</v>
      </c>
      <c r="D148" s="1">
        <f>D147+'.r file'!D153</f>
        <v>375</v>
      </c>
      <c r="E148" s="1">
        <f>E147+'.r file'!E153</f>
        <v>341</v>
      </c>
      <c r="F148" s="1">
        <f>F147+'.r file'!F153</f>
        <v>317.50000000000017</v>
      </c>
      <c r="G148" s="1">
        <f>G147+'.r file'!G153</f>
        <v>217.09999999999994</v>
      </c>
      <c r="H148" s="1">
        <f>H147+'.r file'!H153</f>
        <v>426</v>
      </c>
      <c r="I148" s="1">
        <f>I147+'.r file'!I153</f>
        <v>276.43</v>
      </c>
      <c r="J148" s="1">
        <f>J147+'.r file'!J153</f>
        <v>269</v>
      </c>
      <c r="K148" s="1">
        <f>K147+'.r file'!K153</f>
        <v>445</v>
      </c>
      <c r="L148" s="1">
        <f>L147+'.r file'!L153</f>
        <v>397.32999999999925</v>
      </c>
      <c r="M148" s="1">
        <f>M147+'.r file'!M153</f>
        <v>1303</v>
      </c>
      <c r="N148" s="1">
        <f>N147+'.r file'!N153</f>
        <v>110.40999999999995</v>
      </c>
      <c r="O148" s="1">
        <f>O147+'.r file'!O153</f>
        <v>637</v>
      </c>
      <c r="P148" s="1">
        <f>P147+'.r file'!P153</f>
        <v>362.91999999999945</v>
      </c>
      <c r="Q148" s="1">
        <f>Q147+'.r file'!Q153</f>
        <v>445</v>
      </c>
      <c r="R148" s="1">
        <f>R147+'.r file'!R153</f>
        <v>439.87999999999988</v>
      </c>
      <c r="S148" s="1">
        <f>S147+'.r file'!S153</f>
        <v>483.74999999999994</v>
      </c>
      <c r="T148" s="1">
        <f>T147+'.r file'!T153</f>
        <v>536</v>
      </c>
      <c r="U148" s="1">
        <f>U147+'.r file'!U153</f>
        <v>871.70000000000027</v>
      </c>
      <c r="V148" s="1">
        <f>V147+'.r file'!V153</f>
        <v>695</v>
      </c>
      <c r="W148" s="1">
        <f>W147+'.r file'!W153</f>
        <v>926</v>
      </c>
      <c r="X148" s="1">
        <f>X147+'.r file'!X153</f>
        <v>786</v>
      </c>
      <c r="Y148" s="1">
        <f>Y147+'.r file'!Y153</f>
        <v>618</v>
      </c>
      <c r="Z148" s="1">
        <f>Z147+'.r file'!Z153</f>
        <v>835.31000000000006</v>
      </c>
      <c r="AA148" s="1">
        <f>AA147+'.r file'!AA153</f>
        <v>670.31000000000142</v>
      </c>
      <c r="AB148" s="1">
        <f>AB147+'.r file'!AB153</f>
        <v>622.01000000000033</v>
      </c>
      <c r="AC148" s="1">
        <f>AC147+'.r file'!AC153</f>
        <v>669</v>
      </c>
      <c r="AD148" s="1">
        <f>AD147+'.r file'!AD153</f>
        <v>625.60000000000014</v>
      </c>
      <c r="AE148" s="1">
        <f>AE147+'.r file'!AE153</f>
        <v>620.06000000000017</v>
      </c>
      <c r="AF148" s="1">
        <f>AF147+'.r file'!AF153</f>
        <v>538.42000000000019</v>
      </c>
    </row>
    <row r="149" spans="1:32" x14ac:dyDescent="0.25">
      <c r="A149" s="6">
        <v>27059.458333333332</v>
      </c>
      <c r="B149" s="1">
        <f>B148+'.r file'!B154</f>
        <v>742.82000000000073</v>
      </c>
      <c r="C149" s="1">
        <f>C148+'.r file'!C154</f>
        <v>614.90000000000009</v>
      </c>
      <c r="D149" s="1">
        <f>D148+'.r file'!D154</f>
        <v>375</v>
      </c>
      <c r="E149" s="1">
        <f>E148+'.r file'!E154</f>
        <v>341</v>
      </c>
      <c r="F149" s="1">
        <f>F148+'.r file'!F154</f>
        <v>317.50000000000017</v>
      </c>
      <c r="G149" s="1">
        <f>G148+'.r file'!G154</f>
        <v>217.86999999999995</v>
      </c>
      <c r="H149" s="1">
        <f>H148+'.r file'!H154</f>
        <v>426</v>
      </c>
      <c r="I149" s="1">
        <f>I148+'.r file'!I154</f>
        <v>276.43</v>
      </c>
      <c r="J149" s="1">
        <f>J148+'.r file'!J154</f>
        <v>269</v>
      </c>
      <c r="K149" s="1">
        <f>K148+'.r file'!K154</f>
        <v>445</v>
      </c>
      <c r="L149" s="1">
        <f>L148+'.r file'!L154</f>
        <v>397.45999999999924</v>
      </c>
      <c r="M149" s="1">
        <f>M148+'.r file'!M154</f>
        <v>1303</v>
      </c>
      <c r="N149" s="1">
        <f>N148+'.r file'!N154</f>
        <v>110.40999999999995</v>
      </c>
      <c r="O149" s="1">
        <f>O148+'.r file'!O154</f>
        <v>637</v>
      </c>
      <c r="P149" s="1">
        <f>P148+'.r file'!P154</f>
        <v>362.91999999999945</v>
      </c>
      <c r="Q149" s="1">
        <f>Q148+'.r file'!Q154</f>
        <v>445</v>
      </c>
      <c r="R149" s="1">
        <f>R148+'.r file'!R154</f>
        <v>439.87999999999988</v>
      </c>
      <c r="S149" s="1">
        <f>S148+'.r file'!S154</f>
        <v>483.74999999999994</v>
      </c>
      <c r="T149" s="1">
        <f>T148+'.r file'!T154</f>
        <v>536</v>
      </c>
      <c r="U149" s="1">
        <f>U148+'.r file'!U154</f>
        <v>871.70000000000027</v>
      </c>
      <c r="V149" s="1">
        <f>V148+'.r file'!V154</f>
        <v>695</v>
      </c>
      <c r="W149" s="1">
        <f>W148+'.r file'!W154</f>
        <v>926</v>
      </c>
      <c r="X149" s="1">
        <f>X148+'.r file'!X154</f>
        <v>786</v>
      </c>
      <c r="Y149" s="1">
        <f>Y148+'.r file'!Y154</f>
        <v>618</v>
      </c>
      <c r="Z149" s="1">
        <f>Z148+'.r file'!Z154</f>
        <v>835.31000000000006</v>
      </c>
      <c r="AA149" s="1">
        <f>AA148+'.r file'!AA154</f>
        <v>670.31000000000142</v>
      </c>
      <c r="AB149" s="1">
        <f>AB148+'.r file'!AB154</f>
        <v>622.01000000000033</v>
      </c>
      <c r="AC149" s="1">
        <f>AC148+'.r file'!AC154</f>
        <v>669</v>
      </c>
      <c r="AD149" s="1">
        <f>AD148+'.r file'!AD154</f>
        <v>625.60000000000014</v>
      </c>
      <c r="AE149" s="1">
        <f>AE148+'.r file'!AE154</f>
        <v>621.1600000000002</v>
      </c>
      <c r="AF149" s="1">
        <f>AF148+'.r file'!AF154</f>
        <v>539.62000000000023</v>
      </c>
    </row>
    <row r="150" spans="1:32" x14ac:dyDescent="0.25">
      <c r="A150" s="6">
        <v>27059.5</v>
      </c>
      <c r="B150" s="1">
        <f>B149+'.r file'!B155</f>
        <v>743.02000000000078</v>
      </c>
      <c r="C150" s="1">
        <f>C149+'.r file'!C155</f>
        <v>614.90000000000009</v>
      </c>
      <c r="D150" s="1">
        <f>D149+'.r file'!D155</f>
        <v>375</v>
      </c>
      <c r="E150" s="1">
        <f>E149+'.r file'!E155</f>
        <v>341</v>
      </c>
      <c r="F150" s="1">
        <f>F149+'.r file'!F155</f>
        <v>318.70000000000016</v>
      </c>
      <c r="G150" s="1">
        <f>G149+'.r file'!G155</f>
        <v>218.16999999999996</v>
      </c>
      <c r="H150" s="1">
        <f>H149+'.r file'!H155</f>
        <v>426</v>
      </c>
      <c r="I150" s="1">
        <f>I149+'.r file'!I155</f>
        <v>277.13</v>
      </c>
      <c r="J150" s="1">
        <f>J149+'.r file'!J155</f>
        <v>269</v>
      </c>
      <c r="K150" s="1">
        <f>K149+'.r file'!K155</f>
        <v>445</v>
      </c>
      <c r="L150" s="1">
        <f>L149+'.r file'!L155</f>
        <v>397.58999999999924</v>
      </c>
      <c r="M150" s="1">
        <f>M149+'.r file'!M155</f>
        <v>1303</v>
      </c>
      <c r="N150" s="1">
        <f>N149+'.r file'!N155</f>
        <v>110.40999999999995</v>
      </c>
      <c r="O150" s="1">
        <f>O149+'.r file'!O155</f>
        <v>637</v>
      </c>
      <c r="P150" s="1">
        <f>P149+'.r file'!P155</f>
        <v>362.91999999999945</v>
      </c>
      <c r="Q150" s="1">
        <f>Q149+'.r file'!Q155</f>
        <v>445</v>
      </c>
      <c r="R150" s="1">
        <f>R149+'.r file'!R155</f>
        <v>439.87999999999988</v>
      </c>
      <c r="S150" s="1">
        <f>S149+'.r file'!S155</f>
        <v>483.74999999999994</v>
      </c>
      <c r="T150" s="1">
        <f>T149+'.r file'!T155</f>
        <v>536</v>
      </c>
      <c r="U150" s="1">
        <f>U149+'.r file'!U155</f>
        <v>871.70000000000027</v>
      </c>
      <c r="V150" s="1">
        <f>V149+'.r file'!V155</f>
        <v>695</v>
      </c>
      <c r="W150" s="1">
        <f>W149+'.r file'!W155</f>
        <v>926</v>
      </c>
      <c r="X150" s="1">
        <f>X149+'.r file'!X155</f>
        <v>786</v>
      </c>
      <c r="Y150" s="1">
        <f>Y149+'.r file'!Y155</f>
        <v>618</v>
      </c>
      <c r="Z150" s="1">
        <f>Z149+'.r file'!Z155</f>
        <v>835.31000000000006</v>
      </c>
      <c r="AA150" s="1">
        <f>AA149+'.r file'!AA155</f>
        <v>670.31000000000142</v>
      </c>
      <c r="AB150" s="1">
        <f>AB149+'.r file'!AB155</f>
        <v>622.01000000000033</v>
      </c>
      <c r="AC150" s="1">
        <f>AC149+'.r file'!AC155</f>
        <v>669</v>
      </c>
      <c r="AD150" s="1">
        <f>AD149+'.r file'!AD155</f>
        <v>625.60000000000014</v>
      </c>
      <c r="AE150" s="1">
        <f>AE149+'.r file'!AE155</f>
        <v>621.1600000000002</v>
      </c>
      <c r="AF150" s="1">
        <f>AF149+'.r file'!AF155</f>
        <v>539.62000000000023</v>
      </c>
    </row>
    <row r="151" spans="1:32" x14ac:dyDescent="0.25">
      <c r="A151" s="6">
        <v>27059.541666666668</v>
      </c>
      <c r="B151" s="1">
        <f>B150+'.r file'!B156</f>
        <v>744.18000000000075</v>
      </c>
      <c r="C151" s="1">
        <f>C150+'.r file'!C156</f>
        <v>614.90000000000009</v>
      </c>
      <c r="D151" s="1">
        <f>D150+'.r file'!D156</f>
        <v>375</v>
      </c>
      <c r="E151" s="1">
        <f>E150+'.r file'!E156</f>
        <v>341</v>
      </c>
      <c r="F151" s="1">
        <f>F150+'.r file'!F156</f>
        <v>318.70000000000016</v>
      </c>
      <c r="G151" s="1">
        <f>G150+'.r file'!G156</f>
        <v>218.19999999999996</v>
      </c>
      <c r="H151" s="1">
        <f>H150+'.r file'!H156</f>
        <v>426</v>
      </c>
      <c r="I151" s="1">
        <f>I150+'.r file'!I156</f>
        <v>277.13</v>
      </c>
      <c r="J151" s="1">
        <f>J150+'.r file'!J156</f>
        <v>269</v>
      </c>
      <c r="K151" s="1">
        <f>K150+'.r file'!K156</f>
        <v>445</v>
      </c>
      <c r="L151" s="1">
        <f>L150+'.r file'!L156</f>
        <v>397.71999999999923</v>
      </c>
      <c r="M151" s="1">
        <f>M150+'.r file'!M156</f>
        <v>1303</v>
      </c>
      <c r="N151" s="1">
        <f>N150+'.r file'!N156</f>
        <v>110.40999999999995</v>
      </c>
      <c r="O151" s="1">
        <f>O150+'.r file'!O156</f>
        <v>637</v>
      </c>
      <c r="P151" s="1">
        <f>P150+'.r file'!P156</f>
        <v>362.91999999999945</v>
      </c>
      <c r="Q151" s="1">
        <f>Q150+'.r file'!Q156</f>
        <v>445</v>
      </c>
      <c r="R151" s="1">
        <f>R150+'.r file'!R156</f>
        <v>439.87999999999988</v>
      </c>
      <c r="S151" s="1">
        <f>S150+'.r file'!S156</f>
        <v>483.74999999999994</v>
      </c>
      <c r="T151" s="1">
        <f>T150+'.r file'!T156</f>
        <v>536</v>
      </c>
      <c r="U151" s="1">
        <f>U150+'.r file'!U156</f>
        <v>871.72000000000025</v>
      </c>
      <c r="V151" s="1">
        <f>V150+'.r file'!V156</f>
        <v>695</v>
      </c>
      <c r="W151" s="1">
        <f>W150+'.r file'!W156</f>
        <v>926</v>
      </c>
      <c r="X151" s="1">
        <f>X150+'.r file'!X156</f>
        <v>786</v>
      </c>
      <c r="Y151" s="1">
        <f>Y150+'.r file'!Y156</f>
        <v>618</v>
      </c>
      <c r="Z151" s="1">
        <f>Z150+'.r file'!Z156</f>
        <v>835.31000000000006</v>
      </c>
      <c r="AA151" s="1">
        <f>AA150+'.r file'!AA156</f>
        <v>670.31000000000142</v>
      </c>
      <c r="AB151" s="1">
        <f>AB150+'.r file'!AB156</f>
        <v>622.01000000000033</v>
      </c>
      <c r="AC151" s="1">
        <f>AC150+'.r file'!AC156</f>
        <v>669</v>
      </c>
      <c r="AD151" s="1">
        <f>AD150+'.r file'!AD156</f>
        <v>625.60000000000014</v>
      </c>
      <c r="AE151" s="1">
        <f>AE150+'.r file'!AE156</f>
        <v>621.1600000000002</v>
      </c>
      <c r="AF151" s="1">
        <f>AF150+'.r file'!AF156</f>
        <v>539.62000000000023</v>
      </c>
    </row>
    <row r="152" spans="1:32" x14ac:dyDescent="0.25">
      <c r="A152" s="6">
        <v>27059.583333333332</v>
      </c>
      <c r="B152" s="1">
        <f>B151+'.r file'!B157</f>
        <v>746.72000000000071</v>
      </c>
      <c r="C152" s="1">
        <f>C151+'.r file'!C157</f>
        <v>614.90000000000009</v>
      </c>
      <c r="D152" s="1">
        <f>D151+'.r file'!D157</f>
        <v>375</v>
      </c>
      <c r="E152" s="1">
        <f>E151+'.r file'!E157</f>
        <v>341</v>
      </c>
      <c r="F152" s="1">
        <f>F151+'.r file'!F157</f>
        <v>318.70000000000016</v>
      </c>
      <c r="G152" s="1">
        <f>G151+'.r file'!G157</f>
        <v>218.19999999999996</v>
      </c>
      <c r="H152" s="1">
        <f>H151+'.r file'!H157</f>
        <v>426</v>
      </c>
      <c r="I152" s="1">
        <f>I151+'.r file'!I157</f>
        <v>277.13</v>
      </c>
      <c r="J152" s="1">
        <f>J151+'.r file'!J157</f>
        <v>269</v>
      </c>
      <c r="K152" s="1">
        <f>K151+'.r file'!K157</f>
        <v>445</v>
      </c>
      <c r="L152" s="1">
        <f>L151+'.r file'!L157</f>
        <v>397.84999999999923</v>
      </c>
      <c r="M152" s="1">
        <f>M151+'.r file'!M157</f>
        <v>1303</v>
      </c>
      <c r="N152" s="1">
        <f>N151+'.r file'!N157</f>
        <v>110.40999999999995</v>
      </c>
      <c r="O152" s="1">
        <f>O151+'.r file'!O157</f>
        <v>637</v>
      </c>
      <c r="P152" s="1">
        <f>P151+'.r file'!P157</f>
        <v>362.91999999999945</v>
      </c>
      <c r="Q152" s="1">
        <f>Q151+'.r file'!Q157</f>
        <v>445</v>
      </c>
      <c r="R152" s="1">
        <f>R151+'.r file'!R157</f>
        <v>439.87999999999988</v>
      </c>
      <c r="S152" s="1">
        <f>S151+'.r file'!S157</f>
        <v>483.74999999999994</v>
      </c>
      <c r="T152" s="1">
        <f>T151+'.r file'!T157</f>
        <v>536</v>
      </c>
      <c r="U152" s="1">
        <f>U151+'.r file'!U157</f>
        <v>871.8000000000003</v>
      </c>
      <c r="V152" s="1">
        <f>V151+'.r file'!V157</f>
        <v>695</v>
      </c>
      <c r="W152" s="1">
        <f>W151+'.r file'!W157</f>
        <v>926</v>
      </c>
      <c r="X152" s="1">
        <f>X151+'.r file'!X157</f>
        <v>786</v>
      </c>
      <c r="Y152" s="1">
        <f>Y151+'.r file'!Y157</f>
        <v>618</v>
      </c>
      <c r="Z152" s="1">
        <f>Z151+'.r file'!Z157</f>
        <v>835.31000000000006</v>
      </c>
      <c r="AA152" s="1">
        <f>AA151+'.r file'!AA157</f>
        <v>670.31000000000142</v>
      </c>
      <c r="AB152" s="1">
        <f>AB151+'.r file'!AB157</f>
        <v>622.01000000000033</v>
      </c>
      <c r="AC152" s="1">
        <f>AC151+'.r file'!AC157</f>
        <v>669</v>
      </c>
      <c r="AD152" s="1">
        <f>AD151+'.r file'!AD157</f>
        <v>625.60000000000014</v>
      </c>
      <c r="AE152" s="1">
        <f>AE151+'.r file'!AE157</f>
        <v>622.06000000000017</v>
      </c>
      <c r="AF152" s="1">
        <f>AF151+'.r file'!AF157</f>
        <v>539.62000000000023</v>
      </c>
    </row>
    <row r="153" spans="1:32" x14ac:dyDescent="0.25">
      <c r="A153" s="6">
        <v>27059.625</v>
      </c>
      <c r="B153" s="1">
        <f>B152+'.r file'!B158</f>
        <v>746.72000000000071</v>
      </c>
      <c r="C153" s="1">
        <f>C152+'.r file'!C158</f>
        <v>614.90000000000009</v>
      </c>
      <c r="D153" s="1">
        <f>D152+'.r file'!D158</f>
        <v>375</v>
      </c>
      <c r="E153" s="1">
        <f>E152+'.r file'!E158</f>
        <v>341</v>
      </c>
      <c r="F153" s="1">
        <f>F152+'.r file'!F158</f>
        <v>318.70000000000016</v>
      </c>
      <c r="G153" s="1">
        <f>G152+'.r file'!G158</f>
        <v>218.19999999999996</v>
      </c>
      <c r="H153" s="1">
        <f>H152+'.r file'!H158</f>
        <v>426</v>
      </c>
      <c r="I153" s="1">
        <f>I152+'.r file'!I158</f>
        <v>277.13</v>
      </c>
      <c r="J153" s="1">
        <f>J152+'.r file'!J158</f>
        <v>269</v>
      </c>
      <c r="K153" s="1">
        <f>K152+'.r file'!K158</f>
        <v>445</v>
      </c>
      <c r="L153" s="1">
        <f>L152+'.r file'!L158</f>
        <v>397.97999999999922</v>
      </c>
      <c r="M153" s="1">
        <f>M152+'.r file'!M158</f>
        <v>1303</v>
      </c>
      <c r="N153" s="1">
        <f>N152+'.r file'!N158</f>
        <v>110.40999999999995</v>
      </c>
      <c r="O153" s="1">
        <f>O152+'.r file'!O158</f>
        <v>637</v>
      </c>
      <c r="P153" s="1">
        <f>P152+'.r file'!P158</f>
        <v>362.91999999999945</v>
      </c>
      <c r="Q153" s="1">
        <f>Q152+'.r file'!Q158</f>
        <v>445</v>
      </c>
      <c r="R153" s="1">
        <f>R152+'.r file'!R158</f>
        <v>439.87999999999988</v>
      </c>
      <c r="S153" s="1">
        <f>S152+'.r file'!S158</f>
        <v>483.74999999999994</v>
      </c>
      <c r="T153" s="1">
        <f>T152+'.r file'!T158</f>
        <v>536</v>
      </c>
      <c r="U153" s="1">
        <f>U152+'.r file'!U158</f>
        <v>871.88000000000034</v>
      </c>
      <c r="V153" s="1">
        <f>V152+'.r file'!V158</f>
        <v>695</v>
      </c>
      <c r="W153" s="1">
        <f>W152+'.r file'!W158</f>
        <v>926</v>
      </c>
      <c r="X153" s="1">
        <f>X152+'.r file'!X158</f>
        <v>786</v>
      </c>
      <c r="Y153" s="1">
        <f>Y152+'.r file'!Y158</f>
        <v>618</v>
      </c>
      <c r="Z153" s="1">
        <f>Z152+'.r file'!Z158</f>
        <v>835.31000000000006</v>
      </c>
      <c r="AA153" s="1">
        <f>AA152+'.r file'!AA158</f>
        <v>670.31000000000142</v>
      </c>
      <c r="AB153" s="1">
        <f>AB152+'.r file'!AB158</f>
        <v>622.01000000000033</v>
      </c>
      <c r="AC153" s="1">
        <f>AC152+'.r file'!AC158</f>
        <v>669</v>
      </c>
      <c r="AD153" s="1">
        <f>AD152+'.r file'!AD158</f>
        <v>625.60000000000014</v>
      </c>
      <c r="AE153" s="1">
        <f>AE152+'.r file'!AE158</f>
        <v>622.06000000000017</v>
      </c>
      <c r="AF153" s="1">
        <f>AF152+'.r file'!AF158</f>
        <v>539.62000000000023</v>
      </c>
    </row>
    <row r="154" spans="1:32" x14ac:dyDescent="0.25">
      <c r="A154" s="6">
        <v>27059.666666666668</v>
      </c>
      <c r="B154" s="1">
        <f>B153+'.r file'!B159</f>
        <v>747.22000000000071</v>
      </c>
      <c r="C154" s="1">
        <f>C153+'.r file'!C159</f>
        <v>614.90000000000009</v>
      </c>
      <c r="D154" s="1">
        <f>D153+'.r file'!D159</f>
        <v>375</v>
      </c>
      <c r="E154" s="1">
        <f>E153+'.r file'!E159</f>
        <v>341</v>
      </c>
      <c r="F154" s="1">
        <f>F153+'.r file'!F159</f>
        <v>318.70000000000016</v>
      </c>
      <c r="G154" s="1">
        <f>G153+'.r file'!G159</f>
        <v>218.19999999999996</v>
      </c>
      <c r="H154" s="1">
        <f>H153+'.r file'!H159</f>
        <v>426</v>
      </c>
      <c r="I154" s="1">
        <f>I153+'.r file'!I159</f>
        <v>277.13</v>
      </c>
      <c r="J154" s="1">
        <f>J153+'.r file'!J159</f>
        <v>269</v>
      </c>
      <c r="K154" s="1">
        <f>K153+'.r file'!K159</f>
        <v>445</v>
      </c>
      <c r="L154" s="1">
        <f>L153+'.r file'!L159</f>
        <v>398.10999999999922</v>
      </c>
      <c r="M154" s="1">
        <f>M153+'.r file'!M159</f>
        <v>1303</v>
      </c>
      <c r="N154" s="1">
        <f>N153+'.r file'!N159</f>
        <v>110.40999999999995</v>
      </c>
      <c r="O154" s="1">
        <f>O153+'.r file'!O159</f>
        <v>637</v>
      </c>
      <c r="P154" s="1">
        <f>P153+'.r file'!P159</f>
        <v>362.91999999999945</v>
      </c>
      <c r="Q154" s="1">
        <f>Q153+'.r file'!Q159</f>
        <v>445</v>
      </c>
      <c r="R154" s="1">
        <f>R153+'.r file'!R159</f>
        <v>439.87999999999988</v>
      </c>
      <c r="S154" s="1">
        <f>S153+'.r file'!S159</f>
        <v>483.74999999999994</v>
      </c>
      <c r="T154" s="1">
        <f>T153+'.r file'!T159</f>
        <v>536</v>
      </c>
      <c r="U154" s="1">
        <f>U153+'.r file'!U159</f>
        <v>871.96000000000038</v>
      </c>
      <c r="V154" s="1">
        <f>V153+'.r file'!V159</f>
        <v>695</v>
      </c>
      <c r="W154" s="1">
        <f>W153+'.r file'!W159</f>
        <v>926</v>
      </c>
      <c r="X154" s="1">
        <f>X153+'.r file'!X159</f>
        <v>786</v>
      </c>
      <c r="Y154" s="1">
        <f>Y153+'.r file'!Y159</f>
        <v>618</v>
      </c>
      <c r="Z154" s="1">
        <f>Z153+'.r file'!Z159</f>
        <v>835.31000000000006</v>
      </c>
      <c r="AA154" s="1">
        <f>AA153+'.r file'!AA159</f>
        <v>670.31000000000142</v>
      </c>
      <c r="AB154" s="1">
        <f>AB153+'.r file'!AB159</f>
        <v>622.01000000000033</v>
      </c>
      <c r="AC154" s="1">
        <f>AC153+'.r file'!AC159</f>
        <v>669</v>
      </c>
      <c r="AD154" s="1">
        <f>AD153+'.r file'!AD159</f>
        <v>625.60000000000014</v>
      </c>
      <c r="AE154" s="1">
        <f>AE153+'.r file'!AE159</f>
        <v>622.06000000000017</v>
      </c>
      <c r="AF154" s="1">
        <f>AF153+'.r file'!AF159</f>
        <v>539.62000000000023</v>
      </c>
    </row>
    <row r="155" spans="1:32" x14ac:dyDescent="0.25">
      <c r="A155" s="6">
        <v>27059.708333333332</v>
      </c>
      <c r="B155" s="1">
        <f>B154+'.r file'!B160</f>
        <v>747.54000000000076</v>
      </c>
      <c r="C155" s="1">
        <f>C154+'.r file'!C160</f>
        <v>614.90000000000009</v>
      </c>
      <c r="D155" s="1">
        <f>D154+'.r file'!D160</f>
        <v>375</v>
      </c>
      <c r="E155" s="1">
        <f>E154+'.r file'!E160</f>
        <v>341</v>
      </c>
      <c r="F155" s="1">
        <f>F154+'.r file'!F160</f>
        <v>318.70000000000016</v>
      </c>
      <c r="G155" s="1">
        <f>G154+'.r file'!G160</f>
        <v>218.19999999999996</v>
      </c>
      <c r="H155" s="1">
        <f>H154+'.r file'!H160</f>
        <v>426</v>
      </c>
      <c r="I155" s="1">
        <f>I154+'.r file'!I160</f>
        <v>278.02999999999997</v>
      </c>
      <c r="J155" s="1">
        <f>J154+'.r file'!J160</f>
        <v>269</v>
      </c>
      <c r="K155" s="1">
        <f>K154+'.r file'!K160</f>
        <v>445</v>
      </c>
      <c r="L155" s="1">
        <f>L154+'.r file'!L160</f>
        <v>398.23999999999921</v>
      </c>
      <c r="M155" s="1">
        <f>M154+'.r file'!M160</f>
        <v>1303</v>
      </c>
      <c r="N155" s="1">
        <f>N154+'.r file'!N160</f>
        <v>110.40999999999995</v>
      </c>
      <c r="O155" s="1">
        <f>O154+'.r file'!O160</f>
        <v>637</v>
      </c>
      <c r="P155" s="1">
        <f>P154+'.r file'!P160</f>
        <v>362.91999999999945</v>
      </c>
      <c r="Q155" s="1">
        <f>Q154+'.r file'!Q160</f>
        <v>445</v>
      </c>
      <c r="R155" s="1">
        <f>R154+'.r file'!R160</f>
        <v>439.87999999999988</v>
      </c>
      <c r="S155" s="1">
        <f>S154+'.r file'!S160</f>
        <v>483.74999999999994</v>
      </c>
      <c r="T155" s="1">
        <f>T154+'.r file'!T160</f>
        <v>536</v>
      </c>
      <c r="U155" s="1">
        <f>U154+'.r file'!U160</f>
        <v>872.04000000000042</v>
      </c>
      <c r="V155" s="1">
        <f>V154+'.r file'!V160</f>
        <v>695</v>
      </c>
      <c r="W155" s="1">
        <f>W154+'.r file'!W160</f>
        <v>926</v>
      </c>
      <c r="X155" s="1">
        <f>X154+'.r file'!X160</f>
        <v>786</v>
      </c>
      <c r="Y155" s="1">
        <f>Y154+'.r file'!Y160</f>
        <v>618</v>
      </c>
      <c r="Z155" s="1">
        <f>Z154+'.r file'!Z160</f>
        <v>835.31000000000006</v>
      </c>
      <c r="AA155" s="1">
        <f>AA154+'.r file'!AA160</f>
        <v>670.31000000000142</v>
      </c>
      <c r="AB155" s="1">
        <f>AB154+'.r file'!AB160</f>
        <v>622.01000000000033</v>
      </c>
      <c r="AC155" s="1">
        <f>AC154+'.r file'!AC160</f>
        <v>669</v>
      </c>
      <c r="AD155" s="1">
        <f>AD154+'.r file'!AD160</f>
        <v>625.60000000000014</v>
      </c>
      <c r="AE155" s="1">
        <f>AE154+'.r file'!AE160</f>
        <v>622.06000000000017</v>
      </c>
      <c r="AF155" s="1">
        <f>AF154+'.r file'!AF160</f>
        <v>539.62000000000023</v>
      </c>
    </row>
    <row r="156" spans="1:32" x14ac:dyDescent="0.25">
      <c r="A156" s="6">
        <v>27059.75</v>
      </c>
      <c r="B156" s="1">
        <f>B155+'.r file'!B161</f>
        <v>748.82000000000073</v>
      </c>
      <c r="C156" s="1">
        <f>C155+'.r file'!C161</f>
        <v>614.90000000000009</v>
      </c>
      <c r="D156" s="1">
        <f>D155+'.r file'!D161</f>
        <v>375</v>
      </c>
      <c r="E156" s="1">
        <f>E155+'.r file'!E161</f>
        <v>341</v>
      </c>
      <c r="F156" s="1">
        <f>F155+'.r file'!F161</f>
        <v>318.70000000000016</v>
      </c>
      <c r="G156" s="1">
        <f>G155+'.r file'!G161</f>
        <v>218.19999999999996</v>
      </c>
      <c r="H156" s="1">
        <f>H155+'.r file'!H161</f>
        <v>426</v>
      </c>
      <c r="I156" s="1">
        <f>I155+'.r file'!I161</f>
        <v>278.02999999999997</v>
      </c>
      <c r="J156" s="1">
        <f>J155+'.r file'!J161</f>
        <v>269</v>
      </c>
      <c r="K156" s="1">
        <f>K155+'.r file'!K161</f>
        <v>445</v>
      </c>
      <c r="L156" s="1">
        <f>L155+'.r file'!L161</f>
        <v>398.36999999999921</v>
      </c>
      <c r="M156" s="1">
        <f>M155+'.r file'!M161</f>
        <v>1303</v>
      </c>
      <c r="N156" s="1">
        <f>N155+'.r file'!N161</f>
        <v>110.40999999999995</v>
      </c>
      <c r="O156" s="1">
        <f>O155+'.r file'!O161</f>
        <v>637</v>
      </c>
      <c r="P156" s="1">
        <f>P155+'.r file'!P161</f>
        <v>362.91999999999945</v>
      </c>
      <c r="Q156" s="1">
        <f>Q155+'.r file'!Q161</f>
        <v>445</v>
      </c>
      <c r="R156" s="1">
        <f>R155+'.r file'!R161</f>
        <v>439.87999999999988</v>
      </c>
      <c r="S156" s="1">
        <f>S155+'.r file'!S161</f>
        <v>483.74999999999994</v>
      </c>
      <c r="T156" s="1">
        <f>T155+'.r file'!T161</f>
        <v>536</v>
      </c>
      <c r="U156" s="1">
        <f>U155+'.r file'!U161</f>
        <v>872.12000000000046</v>
      </c>
      <c r="V156" s="1">
        <f>V155+'.r file'!V161</f>
        <v>695</v>
      </c>
      <c r="W156" s="1">
        <f>W155+'.r file'!W161</f>
        <v>926</v>
      </c>
      <c r="X156" s="1">
        <f>X155+'.r file'!X161</f>
        <v>786</v>
      </c>
      <c r="Y156" s="1">
        <f>Y155+'.r file'!Y161</f>
        <v>618</v>
      </c>
      <c r="Z156" s="1">
        <f>Z155+'.r file'!Z161</f>
        <v>835.31000000000006</v>
      </c>
      <c r="AA156" s="1">
        <f>AA155+'.r file'!AA161</f>
        <v>670.31000000000142</v>
      </c>
      <c r="AB156" s="1">
        <f>AB155+'.r file'!AB161</f>
        <v>622.01000000000033</v>
      </c>
      <c r="AC156" s="1">
        <f>AC155+'.r file'!AC161</f>
        <v>669</v>
      </c>
      <c r="AD156" s="1">
        <f>AD155+'.r file'!AD161</f>
        <v>625.60000000000014</v>
      </c>
      <c r="AE156" s="1">
        <f>AE155+'.r file'!AE161</f>
        <v>622.06000000000017</v>
      </c>
      <c r="AF156" s="1">
        <f>AF155+'.r file'!AF161</f>
        <v>539.62000000000023</v>
      </c>
    </row>
    <row r="157" spans="1:32" x14ac:dyDescent="0.25">
      <c r="A157" s="6">
        <v>27059.791666666668</v>
      </c>
      <c r="B157" s="1">
        <f>B156+'.r file'!B162</f>
        <v>749.3600000000007</v>
      </c>
      <c r="C157" s="1">
        <f>C156+'.r file'!C162</f>
        <v>614.90000000000009</v>
      </c>
      <c r="D157" s="1">
        <f>D156+'.r file'!D162</f>
        <v>375</v>
      </c>
      <c r="E157" s="1">
        <f>E156+'.r file'!E162</f>
        <v>341</v>
      </c>
      <c r="F157" s="1">
        <f>F156+'.r file'!F162</f>
        <v>318.70000000000016</v>
      </c>
      <c r="G157" s="1">
        <f>G156+'.r file'!G162</f>
        <v>218.19999999999996</v>
      </c>
      <c r="H157" s="1">
        <f>H156+'.r file'!H162</f>
        <v>426</v>
      </c>
      <c r="I157" s="1">
        <f>I156+'.r file'!I162</f>
        <v>278.02999999999997</v>
      </c>
      <c r="J157" s="1">
        <f>J156+'.r file'!J162</f>
        <v>269</v>
      </c>
      <c r="K157" s="1">
        <f>K156+'.r file'!K162</f>
        <v>445</v>
      </c>
      <c r="L157" s="1">
        <f>L156+'.r file'!L162</f>
        <v>398.4999999999992</v>
      </c>
      <c r="M157" s="1">
        <f>M156+'.r file'!M162</f>
        <v>1303</v>
      </c>
      <c r="N157" s="1">
        <f>N156+'.r file'!N162</f>
        <v>110.40999999999995</v>
      </c>
      <c r="O157" s="1">
        <f>O156+'.r file'!O162</f>
        <v>637</v>
      </c>
      <c r="P157" s="1">
        <f>P156+'.r file'!P162</f>
        <v>362.91999999999945</v>
      </c>
      <c r="Q157" s="1">
        <f>Q156+'.r file'!Q162</f>
        <v>445</v>
      </c>
      <c r="R157" s="1">
        <f>R156+'.r file'!R162</f>
        <v>439.87999999999988</v>
      </c>
      <c r="S157" s="1">
        <f>S156+'.r file'!S162</f>
        <v>483.74999999999994</v>
      </c>
      <c r="T157" s="1">
        <f>T156+'.r file'!T162</f>
        <v>536</v>
      </c>
      <c r="U157" s="1">
        <f>U156+'.r file'!U162</f>
        <v>872.17000000000041</v>
      </c>
      <c r="V157" s="1">
        <f>V156+'.r file'!V162</f>
        <v>695</v>
      </c>
      <c r="W157" s="1">
        <f>W156+'.r file'!W162</f>
        <v>926</v>
      </c>
      <c r="X157" s="1">
        <f>X156+'.r file'!X162</f>
        <v>786</v>
      </c>
      <c r="Y157" s="1">
        <f>Y156+'.r file'!Y162</f>
        <v>618</v>
      </c>
      <c r="Z157" s="1">
        <f>Z156+'.r file'!Z162</f>
        <v>835.61</v>
      </c>
      <c r="AA157" s="1">
        <f>AA156+'.r file'!AA162</f>
        <v>670.31000000000142</v>
      </c>
      <c r="AB157" s="1">
        <f>AB156+'.r file'!AB162</f>
        <v>622.01000000000033</v>
      </c>
      <c r="AC157" s="1">
        <f>AC156+'.r file'!AC162</f>
        <v>669</v>
      </c>
      <c r="AD157" s="1">
        <f>AD156+'.r file'!AD162</f>
        <v>625.60000000000014</v>
      </c>
      <c r="AE157" s="1">
        <f>AE156+'.r file'!AE162</f>
        <v>624.22000000000014</v>
      </c>
      <c r="AF157" s="1">
        <f>AF156+'.r file'!AF162</f>
        <v>539.62000000000023</v>
      </c>
    </row>
    <row r="158" spans="1:32" x14ac:dyDescent="0.25">
      <c r="A158" s="6">
        <v>27059.833333333332</v>
      </c>
      <c r="B158" s="1">
        <f>B157+'.r file'!B163</f>
        <v>749.72000000000071</v>
      </c>
      <c r="C158" s="1">
        <f>C157+'.r file'!C163</f>
        <v>614.90000000000009</v>
      </c>
      <c r="D158" s="1">
        <f>D157+'.r file'!D163</f>
        <v>375</v>
      </c>
      <c r="E158" s="1">
        <f>E157+'.r file'!E163</f>
        <v>341</v>
      </c>
      <c r="F158" s="1">
        <f>F157+'.r file'!F163</f>
        <v>318.70000000000016</v>
      </c>
      <c r="G158" s="1">
        <f>G157+'.r file'!G163</f>
        <v>218.19999999999996</v>
      </c>
      <c r="H158" s="1">
        <f>H157+'.r file'!H163</f>
        <v>426</v>
      </c>
      <c r="I158" s="1">
        <f>I157+'.r file'!I163</f>
        <v>278.02999999999997</v>
      </c>
      <c r="J158" s="1">
        <f>J157+'.r file'!J163</f>
        <v>269</v>
      </c>
      <c r="K158" s="1">
        <f>K157+'.r file'!K163</f>
        <v>445</v>
      </c>
      <c r="L158" s="1">
        <f>L157+'.r file'!L163</f>
        <v>398.6299999999992</v>
      </c>
      <c r="M158" s="1">
        <f>M157+'.r file'!M163</f>
        <v>1303</v>
      </c>
      <c r="N158" s="1">
        <f>N157+'.r file'!N163</f>
        <v>110.40999999999995</v>
      </c>
      <c r="O158" s="1">
        <f>O157+'.r file'!O163</f>
        <v>637</v>
      </c>
      <c r="P158" s="1">
        <f>P157+'.r file'!P163</f>
        <v>362.91999999999945</v>
      </c>
      <c r="Q158" s="1">
        <f>Q157+'.r file'!Q163</f>
        <v>445</v>
      </c>
      <c r="R158" s="1">
        <f>R157+'.r file'!R163</f>
        <v>439.87999999999988</v>
      </c>
      <c r="S158" s="1">
        <f>S157+'.r file'!S163</f>
        <v>483.74999999999994</v>
      </c>
      <c r="T158" s="1">
        <f>T157+'.r file'!T163</f>
        <v>536</v>
      </c>
      <c r="U158" s="1">
        <f>U157+'.r file'!U163</f>
        <v>872.17000000000041</v>
      </c>
      <c r="V158" s="1">
        <f>V157+'.r file'!V163</f>
        <v>695</v>
      </c>
      <c r="W158" s="1">
        <f>W157+'.r file'!W163</f>
        <v>926</v>
      </c>
      <c r="X158" s="1">
        <f>X157+'.r file'!X163</f>
        <v>786</v>
      </c>
      <c r="Y158" s="1">
        <f>Y157+'.r file'!Y163</f>
        <v>618</v>
      </c>
      <c r="Z158" s="1">
        <f>Z157+'.r file'!Z163</f>
        <v>835.61</v>
      </c>
      <c r="AA158" s="1">
        <f>AA157+'.r file'!AA163</f>
        <v>670.31000000000142</v>
      </c>
      <c r="AB158" s="1">
        <f>AB157+'.r file'!AB163</f>
        <v>622.01000000000033</v>
      </c>
      <c r="AC158" s="1">
        <f>AC157+'.r file'!AC163</f>
        <v>669</v>
      </c>
      <c r="AD158" s="1">
        <f>AD157+'.r file'!AD163</f>
        <v>625.60000000000014</v>
      </c>
      <c r="AE158" s="1">
        <f>AE157+'.r file'!AE163</f>
        <v>624.46000000000015</v>
      </c>
      <c r="AF158" s="1">
        <f>AF157+'.r file'!AF163</f>
        <v>539.82000000000028</v>
      </c>
    </row>
    <row r="159" spans="1:32" x14ac:dyDescent="0.25">
      <c r="A159" s="6">
        <v>27059.875</v>
      </c>
      <c r="B159" s="1">
        <f>B158+'.r file'!B164</f>
        <v>749.72000000000071</v>
      </c>
      <c r="C159" s="1">
        <f>C158+'.r file'!C164</f>
        <v>614.90000000000009</v>
      </c>
      <c r="D159" s="1">
        <f>D158+'.r file'!D164</f>
        <v>375</v>
      </c>
      <c r="E159" s="1">
        <f>E158+'.r file'!E164</f>
        <v>341</v>
      </c>
      <c r="F159" s="1">
        <f>F158+'.r file'!F164</f>
        <v>318.70000000000016</v>
      </c>
      <c r="G159" s="1">
        <f>G158+'.r file'!G164</f>
        <v>218.19999999999996</v>
      </c>
      <c r="H159" s="1">
        <f>H158+'.r file'!H164</f>
        <v>426</v>
      </c>
      <c r="I159" s="1">
        <f>I158+'.r file'!I164</f>
        <v>278.02999999999997</v>
      </c>
      <c r="J159" s="1">
        <f>J158+'.r file'!J164</f>
        <v>269</v>
      </c>
      <c r="K159" s="1">
        <f>K158+'.r file'!K164</f>
        <v>445</v>
      </c>
      <c r="L159" s="1">
        <f>L158+'.r file'!L164</f>
        <v>398.7599999999992</v>
      </c>
      <c r="M159" s="1">
        <f>M158+'.r file'!M164</f>
        <v>1303</v>
      </c>
      <c r="N159" s="1">
        <f>N158+'.r file'!N164</f>
        <v>110.40999999999995</v>
      </c>
      <c r="O159" s="1">
        <f>O158+'.r file'!O164</f>
        <v>637</v>
      </c>
      <c r="P159" s="1">
        <f>P158+'.r file'!P164</f>
        <v>362.91999999999945</v>
      </c>
      <c r="Q159" s="1">
        <f>Q158+'.r file'!Q164</f>
        <v>445</v>
      </c>
      <c r="R159" s="1">
        <f>R158+'.r file'!R164</f>
        <v>439.87999999999988</v>
      </c>
      <c r="S159" s="1">
        <f>S158+'.r file'!S164</f>
        <v>483.74999999999994</v>
      </c>
      <c r="T159" s="1">
        <f>T158+'.r file'!T164</f>
        <v>536</v>
      </c>
      <c r="U159" s="1">
        <f>U158+'.r file'!U164</f>
        <v>872.17000000000041</v>
      </c>
      <c r="V159" s="1">
        <f>V158+'.r file'!V164</f>
        <v>695</v>
      </c>
      <c r="W159" s="1">
        <f>W158+'.r file'!W164</f>
        <v>926</v>
      </c>
      <c r="X159" s="1">
        <f>X158+'.r file'!X164</f>
        <v>786</v>
      </c>
      <c r="Y159" s="1">
        <f>Y158+'.r file'!Y164</f>
        <v>618</v>
      </c>
      <c r="Z159" s="1">
        <f>Z158+'.r file'!Z164</f>
        <v>836.11</v>
      </c>
      <c r="AA159" s="1">
        <f>AA158+'.r file'!AA164</f>
        <v>670.31000000000142</v>
      </c>
      <c r="AB159" s="1">
        <f>AB158+'.r file'!AB164</f>
        <v>622.01000000000033</v>
      </c>
      <c r="AC159" s="1">
        <f>AC158+'.r file'!AC164</f>
        <v>669</v>
      </c>
      <c r="AD159" s="1">
        <f>AD158+'.r file'!AD164</f>
        <v>625.60000000000014</v>
      </c>
      <c r="AE159" s="1">
        <f>AE158+'.r file'!AE164</f>
        <v>624.46000000000015</v>
      </c>
      <c r="AF159" s="1">
        <f>AF158+'.r file'!AF164</f>
        <v>539.82000000000028</v>
      </c>
    </row>
    <row r="160" spans="1:32" x14ac:dyDescent="0.25">
      <c r="A160" s="6">
        <v>27059.916666666668</v>
      </c>
      <c r="B160" s="1">
        <f>B159+'.r file'!B165</f>
        <v>749.72000000000071</v>
      </c>
      <c r="C160" s="1">
        <f>C159+'.r file'!C165</f>
        <v>614.90000000000009</v>
      </c>
      <c r="D160" s="1">
        <f>D159+'.r file'!D165</f>
        <v>375</v>
      </c>
      <c r="E160" s="1">
        <f>E159+'.r file'!E165</f>
        <v>341</v>
      </c>
      <c r="F160" s="1">
        <f>F159+'.r file'!F165</f>
        <v>318.70000000000016</v>
      </c>
      <c r="G160" s="1">
        <f>G159+'.r file'!G165</f>
        <v>218.19999999999996</v>
      </c>
      <c r="H160" s="1">
        <f>H159+'.r file'!H165</f>
        <v>426</v>
      </c>
      <c r="I160" s="1">
        <f>I159+'.r file'!I165</f>
        <v>278.02999999999997</v>
      </c>
      <c r="J160" s="1">
        <f>J159+'.r file'!J165</f>
        <v>269</v>
      </c>
      <c r="K160" s="1">
        <f>K159+'.r file'!K165</f>
        <v>445</v>
      </c>
      <c r="L160" s="1">
        <f>L159+'.r file'!L165</f>
        <v>398.88999999999919</v>
      </c>
      <c r="M160" s="1">
        <f>M159+'.r file'!M165</f>
        <v>1303</v>
      </c>
      <c r="N160" s="1">
        <f>N159+'.r file'!N165</f>
        <v>110.40999999999995</v>
      </c>
      <c r="O160" s="1">
        <f>O159+'.r file'!O165</f>
        <v>637</v>
      </c>
      <c r="P160" s="1">
        <f>P159+'.r file'!P165</f>
        <v>362.91999999999945</v>
      </c>
      <c r="Q160" s="1">
        <f>Q159+'.r file'!Q165</f>
        <v>445</v>
      </c>
      <c r="R160" s="1">
        <f>R159+'.r file'!R165</f>
        <v>439.87999999999988</v>
      </c>
      <c r="S160" s="1">
        <f>S159+'.r file'!S165</f>
        <v>483.74999999999994</v>
      </c>
      <c r="T160" s="1">
        <f>T159+'.r file'!T165</f>
        <v>536</v>
      </c>
      <c r="U160" s="1">
        <f>U159+'.r file'!U165</f>
        <v>872.17000000000041</v>
      </c>
      <c r="V160" s="1">
        <f>V159+'.r file'!V165</f>
        <v>695</v>
      </c>
      <c r="W160" s="1">
        <f>W159+'.r file'!W165</f>
        <v>926</v>
      </c>
      <c r="X160" s="1">
        <f>X159+'.r file'!X165</f>
        <v>786</v>
      </c>
      <c r="Y160" s="1">
        <f>Y159+'.r file'!Y165</f>
        <v>618</v>
      </c>
      <c r="Z160" s="1">
        <f>Z159+'.r file'!Z165</f>
        <v>836.31000000000006</v>
      </c>
      <c r="AA160" s="1">
        <f>AA159+'.r file'!AA165</f>
        <v>670.31000000000142</v>
      </c>
      <c r="AB160" s="1">
        <f>AB159+'.r file'!AB165</f>
        <v>622.01000000000033</v>
      </c>
      <c r="AC160" s="1">
        <f>AC159+'.r file'!AC165</f>
        <v>669</v>
      </c>
      <c r="AD160" s="1">
        <f>AD159+'.r file'!AD165</f>
        <v>625.60000000000014</v>
      </c>
      <c r="AE160" s="1">
        <f>AE159+'.r file'!AE165</f>
        <v>624.96000000000015</v>
      </c>
      <c r="AF160" s="1">
        <f>AF159+'.r file'!AF165</f>
        <v>540.19000000000028</v>
      </c>
    </row>
    <row r="161" spans="1:32" x14ac:dyDescent="0.25">
      <c r="A161" s="6">
        <v>27059.958333333332</v>
      </c>
      <c r="B161" s="1">
        <f>B160+'.r file'!B166</f>
        <v>750.62000000000069</v>
      </c>
      <c r="C161" s="1">
        <f>C160+'.r file'!C166</f>
        <v>614.90000000000009</v>
      </c>
      <c r="D161" s="1">
        <f>D160+'.r file'!D166</f>
        <v>375</v>
      </c>
      <c r="E161" s="1">
        <f>E160+'.r file'!E166</f>
        <v>341</v>
      </c>
      <c r="F161" s="1">
        <f>F160+'.r file'!F166</f>
        <v>318.70000000000016</v>
      </c>
      <c r="G161" s="1">
        <f>G160+'.r file'!G166</f>
        <v>218.19999999999996</v>
      </c>
      <c r="H161" s="1">
        <f>H160+'.r file'!H166</f>
        <v>426</v>
      </c>
      <c r="I161" s="1">
        <f>I160+'.r file'!I166</f>
        <v>278.02999999999997</v>
      </c>
      <c r="J161" s="1">
        <f>J160+'.r file'!J166</f>
        <v>269</v>
      </c>
      <c r="K161" s="1">
        <f>K160+'.r file'!K166</f>
        <v>445</v>
      </c>
      <c r="L161" s="1">
        <f>L160+'.r file'!L166</f>
        <v>399.01999999999919</v>
      </c>
      <c r="M161" s="1">
        <f>M160+'.r file'!M166</f>
        <v>1303</v>
      </c>
      <c r="N161" s="1">
        <f>N160+'.r file'!N166</f>
        <v>110.40999999999995</v>
      </c>
      <c r="O161" s="1">
        <f>O160+'.r file'!O166</f>
        <v>637</v>
      </c>
      <c r="P161" s="1">
        <f>P160+'.r file'!P166</f>
        <v>362.91999999999945</v>
      </c>
      <c r="Q161" s="1">
        <f>Q160+'.r file'!Q166</f>
        <v>445</v>
      </c>
      <c r="R161" s="1">
        <f>R160+'.r file'!R166</f>
        <v>439.87999999999988</v>
      </c>
      <c r="S161" s="1">
        <f>S160+'.r file'!S166</f>
        <v>483.74999999999994</v>
      </c>
      <c r="T161" s="1">
        <f>T160+'.r file'!T166</f>
        <v>536</v>
      </c>
      <c r="U161" s="1">
        <f>U160+'.r file'!U166</f>
        <v>872.4300000000004</v>
      </c>
      <c r="V161" s="1">
        <f>V160+'.r file'!V166</f>
        <v>695</v>
      </c>
      <c r="W161" s="1">
        <f>W160+'.r file'!W166</f>
        <v>926</v>
      </c>
      <c r="X161" s="1">
        <f>X160+'.r file'!X166</f>
        <v>786</v>
      </c>
      <c r="Y161" s="1">
        <f>Y160+'.r file'!Y166</f>
        <v>618</v>
      </c>
      <c r="Z161" s="1">
        <f>Z160+'.r file'!Z166</f>
        <v>836.61</v>
      </c>
      <c r="AA161" s="1">
        <f>AA160+'.r file'!AA166</f>
        <v>670.36000000000138</v>
      </c>
      <c r="AB161" s="1">
        <f>AB160+'.r file'!AB166</f>
        <v>622.51000000000033</v>
      </c>
      <c r="AC161" s="1">
        <f>AC160+'.r file'!AC166</f>
        <v>669</v>
      </c>
      <c r="AD161" s="1">
        <f>AD160+'.r file'!AD166</f>
        <v>625.60000000000014</v>
      </c>
      <c r="AE161" s="1">
        <f>AE160+'.r file'!AE166</f>
        <v>626.06000000000017</v>
      </c>
      <c r="AF161" s="1">
        <f>AF160+'.r file'!AF166</f>
        <v>540.72000000000025</v>
      </c>
    </row>
    <row r="162" spans="1:32" x14ac:dyDescent="0.25">
      <c r="A162" s="6">
        <v>27060</v>
      </c>
      <c r="B162" s="1">
        <f>B161+'.r file'!B167</f>
        <v>750.62000000000069</v>
      </c>
      <c r="C162" s="1">
        <f>C161+'.r file'!C167</f>
        <v>614.90000000000009</v>
      </c>
      <c r="D162" s="1">
        <f>D161+'.r file'!D167</f>
        <v>375</v>
      </c>
      <c r="E162" s="1">
        <f>E161+'.r file'!E167</f>
        <v>341</v>
      </c>
      <c r="F162" s="1">
        <f>F161+'.r file'!F167</f>
        <v>319.10000000000014</v>
      </c>
      <c r="G162" s="1">
        <f>G161+'.r file'!G167</f>
        <v>218.19999999999996</v>
      </c>
      <c r="H162" s="1">
        <f>H161+'.r file'!H167</f>
        <v>426</v>
      </c>
      <c r="I162" s="1">
        <f>I161+'.r file'!I167</f>
        <v>278.02999999999997</v>
      </c>
      <c r="J162" s="1">
        <f>J161+'.r file'!J167</f>
        <v>269</v>
      </c>
      <c r="K162" s="1">
        <f>K161+'.r file'!K167</f>
        <v>445</v>
      </c>
      <c r="L162" s="1">
        <f>L161+'.r file'!L167</f>
        <v>399.14999999999918</v>
      </c>
      <c r="M162" s="1">
        <f>M161+'.r file'!M167</f>
        <v>1303</v>
      </c>
      <c r="N162" s="1">
        <f>N161+'.r file'!N167</f>
        <v>110.40999999999995</v>
      </c>
      <c r="O162" s="1">
        <f>O161+'.r file'!O167</f>
        <v>637</v>
      </c>
      <c r="P162" s="1">
        <f>P161+'.r file'!P167</f>
        <v>362.91999999999945</v>
      </c>
      <c r="Q162" s="1">
        <f>Q161+'.r file'!Q167</f>
        <v>445</v>
      </c>
      <c r="R162" s="1">
        <f>R161+'.r file'!R167</f>
        <v>439.87999999999988</v>
      </c>
      <c r="S162" s="1">
        <f>S161+'.r file'!S167</f>
        <v>483.74999999999994</v>
      </c>
      <c r="T162" s="1">
        <f>T161+'.r file'!T167</f>
        <v>536</v>
      </c>
      <c r="U162" s="1">
        <f>U161+'.r file'!U167</f>
        <v>873.77000000000044</v>
      </c>
      <c r="V162" s="1">
        <f>V161+'.r file'!V167</f>
        <v>695</v>
      </c>
      <c r="W162" s="1">
        <f>W161+'.r file'!W167</f>
        <v>926</v>
      </c>
      <c r="X162" s="1">
        <f>X161+'.r file'!X167</f>
        <v>786</v>
      </c>
      <c r="Y162" s="1">
        <f>Y161+'.r file'!Y167</f>
        <v>618</v>
      </c>
      <c r="Z162" s="1">
        <f>Z161+'.r file'!Z167</f>
        <v>841.30000000000007</v>
      </c>
      <c r="AA162" s="1">
        <f>AA161+'.r file'!AA167</f>
        <v>675.81000000000142</v>
      </c>
      <c r="AB162" s="1">
        <f>AB161+'.r file'!AB167</f>
        <v>626.61000000000035</v>
      </c>
      <c r="AC162" s="1">
        <f>AC161+'.r file'!AC167</f>
        <v>669</v>
      </c>
      <c r="AD162" s="1">
        <f>AD161+'.r file'!AD167</f>
        <v>625.60000000000014</v>
      </c>
      <c r="AE162" s="1">
        <f>AE161+'.r file'!AE167</f>
        <v>627.1500000000002</v>
      </c>
      <c r="AF162" s="1">
        <f>AF161+'.r file'!AF167</f>
        <v>540.72000000000025</v>
      </c>
    </row>
    <row r="163" spans="1:32" x14ac:dyDescent="0.25">
      <c r="A163" s="6">
        <v>27060.041666666668</v>
      </c>
      <c r="B163" s="1">
        <f>B162+'.r file'!B168</f>
        <v>751.64000000000067</v>
      </c>
      <c r="C163" s="1">
        <f>C162+'.r file'!C168</f>
        <v>614.90000000000009</v>
      </c>
      <c r="D163" s="1">
        <f>D162+'.r file'!D168</f>
        <v>375</v>
      </c>
      <c r="E163" s="1">
        <f>E162+'.r file'!E168</f>
        <v>341</v>
      </c>
      <c r="F163" s="1">
        <f>F162+'.r file'!F168</f>
        <v>319.10000000000014</v>
      </c>
      <c r="G163" s="1">
        <f>G162+'.r file'!G168</f>
        <v>218.19999999999996</v>
      </c>
      <c r="H163" s="1">
        <f>H162+'.r file'!H168</f>
        <v>426</v>
      </c>
      <c r="I163" s="1">
        <f>I162+'.r file'!I168</f>
        <v>278.02999999999997</v>
      </c>
      <c r="J163" s="1">
        <f>J162+'.r file'!J168</f>
        <v>269</v>
      </c>
      <c r="K163" s="1">
        <f>K162+'.r file'!K168</f>
        <v>445</v>
      </c>
      <c r="L163" s="1">
        <f>L162+'.r file'!L168</f>
        <v>399.27999999999918</v>
      </c>
      <c r="M163" s="1">
        <f>M162+'.r file'!M168</f>
        <v>1303</v>
      </c>
      <c r="N163" s="1">
        <f>N162+'.r file'!N168</f>
        <v>110.40999999999995</v>
      </c>
      <c r="O163" s="1">
        <f>O162+'.r file'!O168</f>
        <v>637</v>
      </c>
      <c r="P163" s="1">
        <f>P162+'.r file'!P168</f>
        <v>362.91999999999945</v>
      </c>
      <c r="Q163" s="1">
        <f>Q162+'.r file'!Q168</f>
        <v>445</v>
      </c>
      <c r="R163" s="1">
        <f>R162+'.r file'!R168</f>
        <v>439.87999999999988</v>
      </c>
      <c r="S163" s="1">
        <f>S162+'.r file'!S168</f>
        <v>483.74999999999994</v>
      </c>
      <c r="T163" s="1">
        <f>T162+'.r file'!T168</f>
        <v>536</v>
      </c>
      <c r="U163" s="1">
        <f>U162+'.r file'!U168</f>
        <v>877.79000000000042</v>
      </c>
      <c r="V163" s="1">
        <f>V162+'.r file'!V168</f>
        <v>695</v>
      </c>
      <c r="W163" s="1">
        <f>W162+'.r file'!W168</f>
        <v>926</v>
      </c>
      <c r="X163" s="1">
        <f>X162+'.r file'!X168</f>
        <v>786</v>
      </c>
      <c r="Y163" s="1">
        <f>Y162+'.r file'!Y168</f>
        <v>618</v>
      </c>
      <c r="Z163" s="1">
        <f>Z162+'.r file'!Z168</f>
        <v>841.31000000000006</v>
      </c>
      <c r="AA163" s="1">
        <f>AA162+'.r file'!AA168</f>
        <v>675.81000000000142</v>
      </c>
      <c r="AB163" s="1">
        <f>AB162+'.r file'!AB168</f>
        <v>626.61000000000035</v>
      </c>
      <c r="AC163" s="1">
        <f>AC162+'.r file'!AC168</f>
        <v>669</v>
      </c>
      <c r="AD163" s="1">
        <f>AD162+'.r file'!AD168</f>
        <v>625.60000000000014</v>
      </c>
      <c r="AE163" s="1">
        <f>AE162+'.r file'!AE168</f>
        <v>627.1600000000002</v>
      </c>
      <c r="AF163" s="1">
        <f>AF162+'.r file'!AF168</f>
        <v>541.12000000000023</v>
      </c>
    </row>
    <row r="164" spans="1:32" x14ac:dyDescent="0.25">
      <c r="A164" s="6">
        <v>27060.083333333332</v>
      </c>
      <c r="B164" s="1">
        <f>B163+'.r file'!B169</f>
        <v>752.02000000000066</v>
      </c>
      <c r="C164" s="1">
        <f>C163+'.r file'!C169</f>
        <v>614.90000000000009</v>
      </c>
      <c r="D164" s="1">
        <f>D163+'.r file'!D169</f>
        <v>375</v>
      </c>
      <c r="E164" s="1">
        <f>E163+'.r file'!E169</f>
        <v>341</v>
      </c>
      <c r="F164" s="1">
        <f>F163+'.r file'!F169</f>
        <v>319.10000000000014</v>
      </c>
      <c r="G164" s="1">
        <f>G163+'.r file'!G169</f>
        <v>218.19999999999996</v>
      </c>
      <c r="H164" s="1">
        <f>H163+'.r file'!H169</f>
        <v>426</v>
      </c>
      <c r="I164" s="1">
        <f>I163+'.r file'!I169</f>
        <v>278.02999999999997</v>
      </c>
      <c r="J164" s="1">
        <f>J163+'.r file'!J169</f>
        <v>269</v>
      </c>
      <c r="K164" s="1">
        <f>K163+'.r file'!K169</f>
        <v>445</v>
      </c>
      <c r="L164" s="1">
        <f>L163+'.r file'!L169</f>
        <v>399.40999999999917</v>
      </c>
      <c r="M164" s="1">
        <f>M163+'.r file'!M169</f>
        <v>1303</v>
      </c>
      <c r="N164" s="1">
        <f>N163+'.r file'!N169</f>
        <v>110.40999999999995</v>
      </c>
      <c r="O164" s="1">
        <f>O163+'.r file'!O169</f>
        <v>637</v>
      </c>
      <c r="P164" s="1">
        <f>P163+'.r file'!P169</f>
        <v>362.91999999999945</v>
      </c>
      <c r="Q164" s="1">
        <f>Q163+'.r file'!Q169</f>
        <v>445</v>
      </c>
      <c r="R164" s="1">
        <f>R163+'.r file'!R169</f>
        <v>439.87999999999988</v>
      </c>
      <c r="S164" s="1">
        <f>S163+'.r file'!S169</f>
        <v>483.74999999999994</v>
      </c>
      <c r="T164" s="1">
        <f>T163+'.r file'!T169</f>
        <v>536</v>
      </c>
      <c r="U164" s="1">
        <f>U163+'.r file'!U169</f>
        <v>877.90000000000043</v>
      </c>
      <c r="V164" s="1">
        <f>V163+'.r file'!V169</f>
        <v>695</v>
      </c>
      <c r="W164" s="1">
        <f>W163+'.r file'!W169</f>
        <v>926</v>
      </c>
      <c r="X164" s="1">
        <f>X163+'.r file'!X169</f>
        <v>786</v>
      </c>
      <c r="Y164" s="1">
        <f>Y163+'.r file'!Y169</f>
        <v>618</v>
      </c>
      <c r="Z164" s="1">
        <f>Z163+'.r file'!Z169</f>
        <v>841.31000000000006</v>
      </c>
      <c r="AA164" s="1">
        <f>AA163+'.r file'!AA169</f>
        <v>675.81000000000142</v>
      </c>
      <c r="AB164" s="1">
        <f>AB163+'.r file'!AB169</f>
        <v>626.61000000000035</v>
      </c>
      <c r="AC164" s="1">
        <f>AC163+'.r file'!AC169</f>
        <v>669</v>
      </c>
      <c r="AD164" s="1">
        <f>AD163+'.r file'!AD169</f>
        <v>625.60000000000014</v>
      </c>
      <c r="AE164" s="1">
        <f>AE163+'.r file'!AE169</f>
        <v>627.1600000000002</v>
      </c>
      <c r="AF164" s="1">
        <f>AF163+'.r file'!AF169</f>
        <v>541.12000000000023</v>
      </c>
    </row>
    <row r="165" spans="1:32" x14ac:dyDescent="0.25">
      <c r="A165" s="6">
        <v>27060.125</v>
      </c>
      <c r="B165" s="1">
        <f>B164+'.r file'!B170</f>
        <v>752.32000000000062</v>
      </c>
      <c r="C165" s="1">
        <f>C164+'.r file'!C170</f>
        <v>614.90000000000009</v>
      </c>
      <c r="D165" s="1">
        <f>D164+'.r file'!D170</f>
        <v>375</v>
      </c>
      <c r="E165" s="1">
        <f>E164+'.r file'!E170</f>
        <v>341</v>
      </c>
      <c r="F165" s="1">
        <f>F164+'.r file'!F170</f>
        <v>319.10000000000014</v>
      </c>
      <c r="G165" s="1">
        <f>G164+'.r file'!G170</f>
        <v>218.19999999999996</v>
      </c>
      <c r="H165" s="1">
        <f>H164+'.r file'!H170</f>
        <v>426</v>
      </c>
      <c r="I165" s="1">
        <f>I164+'.r file'!I170</f>
        <v>280.02999999999997</v>
      </c>
      <c r="J165" s="1">
        <f>J164+'.r file'!J170</f>
        <v>269</v>
      </c>
      <c r="K165" s="1">
        <f>K164+'.r file'!K170</f>
        <v>445</v>
      </c>
      <c r="L165" s="1">
        <f>L164+'.r file'!L170</f>
        <v>399.53999999999917</v>
      </c>
      <c r="M165" s="1">
        <f>M164+'.r file'!M170</f>
        <v>1303</v>
      </c>
      <c r="N165" s="1">
        <f>N164+'.r file'!N170</f>
        <v>110.40999999999995</v>
      </c>
      <c r="O165" s="1">
        <f>O164+'.r file'!O170</f>
        <v>637</v>
      </c>
      <c r="P165" s="1">
        <f>P164+'.r file'!P170</f>
        <v>364.31999999999942</v>
      </c>
      <c r="Q165" s="1">
        <f>Q164+'.r file'!Q170</f>
        <v>445</v>
      </c>
      <c r="R165" s="1">
        <f>R164+'.r file'!R170</f>
        <v>439.87999999999988</v>
      </c>
      <c r="S165" s="1">
        <f>S164+'.r file'!S170</f>
        <v>483.74999999999994</v>
      </c>
      <c r="T165" s="1">
        <f>T164+'.r file'!T170</f>
        <v>536</v>
      </c>
      <c r="U165" s="1">
        <f>U164+'.r file'!U170</f>
        <v>877.98000000000047</v>
      </c>
      <c r="V165" s="1">
        <f>V164+'.r file'!V170</f>
        <v>695</v>
      </c>
      <c r="W165" s="1">
        <f>W164+'.r file'!W170</f>
        <v>926</v>
      </c>
      <c r="X165" s="1">
        <f>X164+'.r file'!X170</f>
        <v>786</v>
      </c>
      <c r="Y165" s="1">
        <f>Y164+'.r file'!Y170</f>
        <v>618</v>
      </c>
      <c r="Z165" s="1">
        <f>Z164+'.r file'!Z170</f>
        <v>841.31000000000006</v>
      </c>
      <c r="AA165" s="1">
        <f>AA164+'.r file'!AA170</f>
        <v>675.81000000000142</v>
      </c>
      <c r="AB165" s="1">
        <f>AB164+'.r file'!AB170</f>
        <v>626.61000000000035</v>
      </c>
      <c r="AC165" s="1">
        <f>AC164+'.r file'!AC170</f>
        <v>669</v>
      </c>
      <c r="AD165" s="1">
        <f>AD164+'.r file'!AD170</f>
        <v>625.60000000000014</v>
      </c>
      <c r="AE165" s="1">
        <f>AE164+'.r file'!AE170</f>
        <v>627.1600000000002</v>
      </c>
      <c r="AF165" s="1">
        <f>AF164+'.r file'!AF170</f>
        <v>541.12000000000023</v>
      </c>
    </row>
    <row r="166" spans="1:32" x14ac:dyDescent="0.25">
      <c r="A166" s="6">
        <v>27060.166666666668</v>
      </c>
      <c r="B166" s="1">
        <f>B165+'.r file'!B171</f>
        <v>753.62000000000057</v>
      </c>
      <c r="C166" s="1">
        <f>C165+'.r file'!C171</f>
        <v>614.90000000000009</v>
      </c>
      <c r="D166" s="1">
        <f>D165+'.r file'!D171</f>
        <v>375</v>
      </c>
      <c r="E166" s="1">
        <f>E165+'.r file'!E171</f>
        <v>341</v>
      </c>
      <c r="F166" s="1">
        <f>F165+'.r file'!F171</f>
        <v>319.10000000000014</v>
      </c>
      <c r="G166" s="1">
        <f>G165+'.r file'!G171</f>
        <v>218.19999999999996</v>
      </c>
      <c r="H166" s="1">
        <f>H165+'.r file'!H171</f>
        <v>426</v>
      </c>
      <c r="I166" s="1">
        <f>I165+'.r file'!I171</f>
        <v>280.22999999999996</v>
      </c>
      <c r="J166" s="1">
        <f>J165+'.r file'!J171</f>
        <v>269</v>
      </c>
      <c r="K166" s="1">
        <f>K165+'.r file'!K171</f>
        <v>445</v>
      </c>
      <c r="L166" s="1">
        <f>L165+'.r file'!L171</f>
        <v>399.66999999999916</v>
      </c>
      <c r="M166" s="1">
        <f>M165+'.r file'!M171</f>
        <v>1303</v>
      </c>
      <c r="N166" s="1">
        <f>N165+'.r file'!N171</f>
        <v>110.40999999999995</v>
      </c>
      <c r="O166" s="1">
        <f>O165+'.r file'!O171</f>
        <v>637</v>
      </c>
      <c r="P166" s="1">
        <f>P165+'.r file'!P171</f>
        <v>366.41999999999945</v>
      </c>
      <c r="Q166" s="1">
        <f>Q165+'.r file'!Q171</f>
        <v>445</v>
      </c>
      <c r="R166" s="1">
        <f>R165+'.r file'!R171</f>
        <v>439.87999999999988</v>
      </c>
      <c r="S166" s="1">
        <f>S165+'.r file'!S171</f>
        <v>483.74999999999994</v>
      </c>
      <c r="T166" s="1">
        <f>T165+'.r file'!T171</f>
        <v>536</v>
      </c>
      <c r="U166" s="1">
        <f>U165+'.r file'!U171</f>
        <v>877.98000000000047</v>
      </c>
      <c r="V166" s="1">
        <f>V165+'.r file'!V171</f>
        <v>695</v>
      </c>
      <c r="W166" s="1">
        <f>W165+'.r file'!W171</f>
        <v>926</v>
      </c>
      <c r="X166" s="1">
        <f>X165+'.r file'!X171</f>
        <v>786</v>
      </c>
      <c r="Y166" s="1">
        <f>Y165+'.r file'!Y171</f>
        <v>618</v>
      </c>
      <c r="Z166" s="1">
        <f>Z165+'.r file'!Z171</f>
        <v>841.31000000000006</v>
      </c>
      <c r="AA166" s="1">
        <f>AA165+'.r file'!AA171</f>
        <v>675.81000000000142</v>
      </c>
      <c r="AB166" s="1">
        <f>AB165+'.r file'!AB171</f>
        <v>626.61000000000035</v>
      </c>
      <c r="AC166" s="1">
        <f>AC165+'.r file'!AC171</f>
        <v>669</v>
      </c>
      <c r="AD166" s="1">
        <f>AD165+'.r file'!AD171</f>
        <v>625.60000000000014</v>
      </c>
      <c r="AE166" s="1">
        <f>AE165+'.r file'!AE171</f>
        <v>627.1600000000002</v>
      </c>
      <c r="AF166" s="1">
        <f>AF165+'.r file'!AF171</f>
        <v>541.12000000000023</v>
      </c>
    </row>
    <row r="167" spans="1:32" x14ac:dyDescent="0.25">
      <c r="A167" s="6">
        <v>27060.208333333332</v>
      </c>
      <c r="B167" s="1">
        <f>B166+'.r file'!B172</f>
        <v>753.62000000000057</v>
      </c>
      <c r="C167" s="1">
        <f>C166+'.r file'!C172</f>
        <v>614.90000000000009</v>
      </c>
      <c r="D167" s="1">
        <f>D166+'.r file'!D172</f>
        <v>375</v>
      </c>
      <c r="E167" s="1">
        <f>E166+'.r file'!E172</f>
        <v>341</v>
      </c>
      <c r="F167" s="1">
        <f>F166+'.r file'!F172</f>
        <v>319.10000000000014</v>
      </c>
      <c r="G167" s="1">
        <f>G166+'.r file'!G172</f>
        <v>218.19999999999996</v>
      </c>
      <c r="H167" s="1">
        <f>H166+'.r file'!H172</f>
        <v>426</v>
      </c>
      <c r="I167" s="1">
        <f>I166+'.r file'!I172</f>
        <v>280.62999999999994</v>
      </c>
      <c r="J167" s="1">
        <f>J166+'.r file'!J172</f>
        <v>269</v>
      </c>
      <c r="K167" s="1">
        <f>K166+'.r file'!K172</f>
        <v>445</v>
      </c>
      <c r="L167" s="1">
        <f>L166+'.r file'!L172</f>
        <v>399.79999999999916</v>
      </c>
      <c r="M167" s="1">
        <f>M166+'.r file'!M172</f>
        <v>1303</v>
      </c>
      <c r="N167" s="1">
        <f>N166+'.r file'!N172</f>
        <v>110.40999999999995</v>
      </c>
      <c r="O167" s="1">
        <f>O166+'.r file'!O172</f>
        <v>637</v>
      </c>
      <c r="P167" s="1">
        <f>P166+'.r file'!P172</f>
        <v>366.41999999999945</v>
      </c>
      <c r="Q167" s="1">
        <f>Q166+'.r file'!Q172</f>
        <v>445</v>
      </c>
      <c r="R167" s="1">
        <f>R166+'.r file'!R172</f>
        <v>439.87999999999988</v>
      </c>
      <c r="S167" s="1">
        <f>S166+'.r file'!S172</f>
        <v>483.74999999999994</v>
      </c>
      <c r="T167" s="1">
        <f>T166+'.r file'!T172</f>
        <v>536</v>
      </c>
      <c r="U167" s="1">
        <f>U166+'.r file'!U172</f>
        <v>877.98000000000047</v>
      </c>
      <c r="V167" s="1">
        <f>V166+'.r file'!V172</f>
        <v>695</v>
      </c>
      <c r="W167" s="1">
        <f>W166+'.r file'!W172</f>
        <v>926</v>
      </c>
      <c r="X167" s="1">
        <f>X166+'.r file'!X172</f>
        <v>786</v>
      </c>
      <c r="Y167" s="1">
        <f>Y166+'.r file'!Y172</f>
        <v>618</v>
      </c>
      <c r="Z167" s="1">
        <f>Z166+'.r file'!Z172</f>
        <v>841.31000000000006</v>
      </c>
      <c r="AA167" s="1">
        <f>AA166+'.r file'!AA172</f>
        <v>675.81000000000142</v>
      </c>
      <c r="AB167" s="1">
        <f>AB166+'.r file'!AB172</f>
        <v>626.61000000000035</v>
      </c>
      <c r="AC167" s="1">
        <f>AC166+'.r file'!AC172</f>
        <v>669</v>
      </c>
      <c r="AD167" s="1">
        <f>AD166+'.r file'!AD172</f>
        <v>625.60000000000014</v>
      </c>
      <c r="AE167" s="1">
        <f>AE166+'.r file'!AE172</f>
        <v>627.1600000000002</v>
      </c>
      <c r="AF167" s="1">
        <f>AF166+'.r file'!AF172</f>
        <v>541.12000000000023</v>
      </c>
    </row>
    <row r="168" spans="1:32" x14ac:dyDescent="0.25">
      <c r="A168" s="6">
        <v>27060.25</v>
      </c>
      <c r="B168" s="1">
        <f>B167+'.r file'!B173</f>
        <v>753.62000000000057</v>
      </c>
      <c r="C168" s="1">
        <f>C167+'.r file'!C173</f>
        <v>614.90000000000009</v>
      </c>
      <c r="D168" s="1">
        <f>D167+'.r file'!D173</f>
        <v>375</v>
      </c>
      <c r="E168" s="1">
        <f>E167+'.r file'!E173</f>
        <v>341</v>
      </c>
      <c r="F168" s="1">
        <f>F167+'.r file'!F173</f>
        <v>319.10000000000014</v>
      </c>
      <c r="G168" s="1">
        <f>G167+'.r file'!G173</f>
        <v>218.19999999999996</v>
      </c>
      <c r="H168" s="1">
        <f>H167+'.r file'!H173</f>
        <v>426</v>
      </c>
      <c r="I168" s="1">
        <f>I167+'.r file'!I173</f>
        <v>280.62999999999994</v>
      </c>
      <c r="J168" s="1">
        <f>J167+'.r file'!J173</f>
        <v>269</v>
      </c>
      <c r="K168" s="1">
        <f>K167+'.r file'!K173</f>
        <v>445</v>
      </c>
      <c r="L168" s="1">
        <f>L167+'.r file'!L173</f>
        <v>399.92999999999915</v>
      </c>
      <c r="M168" s="1">
        <f>M167+'.r file'!M173</f>
        <v>1303</v>
      </c>
      <c r="N168" s="1">
        <f>N167+'.r file'!N173</f>
        <v>110.40999999999995</v>
      </c>
      <c r="O168" s="1">
        <f>O167+'.r file'!O173</f>
        <v>637</v>
      </c>
      <c r="P168" s="1">
        <f>P167+'.r file'!P173</f>
        <v>366.41999999999945</v>
      </c>
      <c r="Q168" s="1">
        <f>Q167+'.r file'!Q173</f>
        <v>445</v>
      </c>
      <c r="R168" s="1">
        <f>R167+'.r file'!R173</f>
        <v>439.87999999999988</v>
      </c>
      <c r="S168" s="1">
        <f>S167+'.r file'!S173</f>
        <v>483.74999999999994</v>
      </c>
      <c r="T168" s="1">
        <f>T167+'.r file'!T173</f>
        <v>536</v>
      </c>
      <c r="U168" s="1">
        <f>U167+'.r file'!U173</f>
        <v>877.98000000000047</v>
      </c>
      <c r="V168" s="1">
        <f>V167+'.r file'!V173</f>
        <v>695</v>
      </c>
      <c r="W168" s="1">
        <f>W167+'.r file'!W173</f>
        <v>926</v>
      </c>
      <c r="X168" s="1">
        <f>X167+'.r file'!X173</f>
        <v>786</v>
      </c>
      <c r="Y168" s="1">
        <f>Y167+'.r file'!Y173</f>
        <v>618</v>
      </c>
      <c r="Z168" s="1">
        <f>Z167+'.r file'!Z173</f>
        <v>841.31000000000006</v>
      </c>
      <c r="AA168" s="1">
        <f>AA167+'.r file'!AA173</f>
        <v>675.81000000000142</v>
      </c>
      <c r="AB168" s="1">
        <f>AB167+'.r file'!AB173</f>
        <v>626.61000000000035</v>
      </c>
      <c r="AC168" s="1">
        <f>AC167+'.r file'!AC173</f>
        <v>669</v>
      </c>
      <c r="AD168" s="1">
        <f>AD167+'.r file'!AD173</f>
        <v>625.60000000000014</v>
      </c>
      <c r="AE168" s="1">
        <f>AE167+'.r file'!AE173</f>
        <v>627.1600000000002</v>
      </c>
      <c r="AF168" s="1">
        <f>AF167+'.r file'!AF173</f>
        <v>541.42000000000019</v>
      </c>
    </row>
    <row r="169" spans="1:32" x14ac:dyDescent="0.25">
      <c r="A169" s="6">
        <v>27060.291666666668</v>
      </c>
      <c r="B169" s="1">
        <f>B168+'.r file'!B174</f>
        <v>753.62000000000057</v>
      </c>
      <c r="C169" s="1">
        <f>C168+'.r file'!C174</f>
        <v>614.90000000000009</v>
      </c>
      <c r="D169" s="1">
        <f>D168+'.r file'!D174</f>
        <v>375</v>
      </c>
      <c r="E169" s="1">
        <f>E168+'.r file'!E174</f>
        <v>341</v>
      </c>
      <c r="F169" s="1">
        <f>F168+'.r file'!F174</f>
        <v>319.10000000000014</v>
      </c>
      <c r="G169" s="1">
        <f>G168+'.r file'!G174</f>
        <v>218.19999999999996</v>
      </c>
      <c r="H169" s="1">
        <f>H168+'.r file'!H174</f>
        <v>426</v>
      </c>
      <c r="I169" s="1">
        <f>I168+'.r file'!I174</f>
        <v>280.62999999999994</v>
      </c>
      <c r="J169" s="1">
        <f>J168+'.r file'!J174</f>
        <v>269</v>
      </c>
      <c r="K169" s="1">
        <f>K168+'.r file'!K174</f>
        <v>445</v>
      </c>
      <c r="L169" s="1">
        <f>L168+'.r file'!L174</f>
        <v>400.05999999999915</v>
      </c>
      <c r="M169" s="1">
        <f>M168+'.r file'!M174</f>
        <v>1303</v>
      </c>
      <c r="N169" s="1">
        <f>N168+'.r file'!N174</f>
        <v>110.40999999999995</v>
      </c>
      <c r="O169" s="1">
        <f>O168+'.r file'!O174</f>
        <v>637</v>
      </c>
      <c r="P169" s="1">
        <f>P168+'.r file'!P174</f>
        <v>366.41999999999945</v>
      </c>
      <c r="Q169" s="1">
        <f>Q168+'.r file'!Q174</f>
        <v>445</v>
      </c>
      <c r="R169" s="1">
        <f>R168+'.r file'!R174</f>
        <v>439.87999999999988</v>
      </c>
      <c r="S169" s="1">
        <f>S168+'.r file'!S174</f>
        <v>483.74999999999994</v>
      </c>
      <c r="T169" s="1">
        <f>T168+'.r file'!T174</f>
        <v>536</v>
      </c>
      <c r="U169" s="1">
        <f>U168+'.r file'!U174</f>
        <v>877.98000000000047</v>
      </c>
      <c r="V169" s="1">
        <f>V168+'.r file'!V174</f>
        <v>695</v>
      </c>
      <c r="W169" s="1">
        <f>W168+'.r file'!W174</f>
        <v>926</v>
      </c>
      <c r="X169" s="1">
        <f>X168+'.r file'!X174</f>
        <v>786</v>
      </c>
      <c r="Y169" s="1">
        <f>Y168+'.r file'!Y174</f>
        <v>618</v>
      </c>
      <c r="Z169" s="1">
        <f>Z168+'.r file'!Z174</f>
        <v>841.31000000000006</v>
      </c>
      <c r="AA169" s="1">
        <f>AA168+'.r file'!AA174</f>
        <v>675.81000000000142</v>
      </c>
      <c r="AB169" s="1">
        <f>AB168+'.r file'!AB174</f>
        <v>626.61000000000035</v>
      </c>
      <c r="AC169" s="1">
        <f>AC168+'.r file'!AC174</f>
        <v>669</v>
      </c>
      <c r="AD169" s="1">
        <f>AD168+'.r file'!AD174</f>
        <v>625.60000000000014</v>
      </c>
      <c r="AE169" s="1">
        <f>AE168+'.r file'!AE174</f>
        <v>627.1600000000002</v>
      </c>
      <c r="AF169" s="1">
        <f>AF168+'.r file'!AF174</f>
        <v>541.42000000000019</v>
      </c>
    </row>
    <row r="170" spans="1:32" x14ac:dyDescent="0.25">
      <c r="A170" s="6">
        <v>27060.333333333332</v>
      </c>
      <c r="B170" s="1">
        <f>B169+'.r file'!B175</f>
        <v>753.62000000000057</v>
      </c>
      <c r="C170" s="1">
        <f>C169+'.r file'!C175</f>
        <v>614.90000000000009</v>
      </c>
      <c r="D170" s="1">
        <f>D169+'.r file'!D175</f>
        <v>375</v>
      </c>
      <c r="E170" s="1">
        <f>E169+'.r file'!E175</f>
        <v>341</v>
      </c>
      <c r="F170" s="1">
        <f>F169+'.r file'!F175</f>
        <v>319.10000000000014</v>
      </c>
      <c r="G170" s="1">
        <f>G169+'.r file'!G175</f>
        <v>218.19999999999996</v>
      </c>
      <c r="H170" s="1">
        <f>H169+'.r file'!H175</f>
        <v>426</v>
      </c>
      <c r="I170" s="1">
        <f>I169+'.r file'!I175</f>
        <v>280.62999999999994</v>
      </c>
      <c r="J170" s="1">
        <f>J169+'.r file'!J175</f>
        <v>269</v>
      </c>
      <c r="K170" s="1">
        <f>K169+'.r file'!K175</f>
        <v>445</v>
      </c>
      <c r="L170" s="1">
        <f>L169+'.r file'!L175</f>
        <v>400.18999999999915</v>
      </c>
      <c r="M170" s="1">
        <f>M169+'.r file'!M175</f>
        <v>1303</v>
      </c>
      <c r="N170" s="1">
        <f>N169+'.r file'!N175</f>
        <v>110.40999999999995</v>
      </c>
      <c r="O170" s="1">
        <f>O169+'.r file'!O175</f>
        <v>637</v>
      </c>
      <c r="P170" s="1">
        <f>P169+'.r file'!P175</f>
        <v>366.41999999999945</v>
      </c>
      <c r="Q170" s="1">
        <f>Q169+'.r file'!Q175</f>
        <v>445</v>
      </c>
      <c r="R170" s="1">
        <f>R169+'.r file'!R175</f>
        <v>439.87999999999988</v>
      </c>
      <c r="S170" s="1">
        <f>S169+'.r file'!S175</f>
        <v>483.74999999999994</v>
      </c>
      <c r="T170" s="1">
        <f>T169+'.r file'!T175</f>
        <v>536</v>
      </c>
      <c r="U170" s="1">
        <f>U169+'.r file'!U175</f>
        <v>877.98000000000047</v>
      </c>
      <c r="V170" s="1">
        <f>V169+'.r file'!V175</f>
        <v>695</v>
      </c>
      <c r="W170" s="1">
        <f>W169+'.r file'!W175</f>
        <v>926</v>
      </c>
      <c r="X170" s="1">
        <f>X169+'.r file'!X175</f>
        <v>786</v>
      </c>
      <c r="Y170" s="1">
        <f>Y169+'.r file'!Y175</f>
        <v>618</v>
      </c>
      <c r="Z170" s="1">
        <f>Z169+'.r file'!Z175</f>
        <v>841.31000000000006</v>
      </c>
      <c r="AA170" s="1">
        <f>AA169+'.r file'!AA175</f>
        <v>675.81000000000142</v>
      </c>
      <c r="AB170" s="1">
        <f>AB169+'.r file'!AB175</f>
        <v>626.61000000000035</v>
      </c>
      <c r="AC170" s="1">
        <f>AC169+'.r file'!AC175</f>
        <v>669</v>
      </c>
      <c r="AD170" s="1">
        <f>AD169+'.r file'!AD175</f>
        <v>625.60000000000014</v>
      </c>
      <c r="AE170" s="1">
        <f>AE169+'.r file'!AE175</f>
        <v>627.1600000000002</v>
      </c>
      <c r="AF170" s="1">
        <f>AF169+'.r file'!AF175</f>
        <v>541.42000000000019</v>
      </c>
    </row>
    <row r="171" spans="1:32" x14ac:dyDescent="0.25">
      <c r="A171" s="6">
        <v>27060.375</v>
      </c>
      <c r="B171" s="1">
        <f>B170+'.r file'!B176</f>
        <v>753.62000000000057</v>
      </c>
      <c r="C171" s="1">
        <f>C170+'.r file'!C176</f>
        <v>614.90000000000009</v>
      </c>
      <c r="D171" s="1">
        <f>D170+'.r file'!D176</f>
        <v>375</v>
      </c>
      <c r="E171" s="1">
        <f>E170+'.r file'!E176</f>
        <v>341</v>
      </c>
      <c r="F171" s="1">
        <f>F170+'.r file'!F176</f>
        <v>319.10000000000014</v>
      </c>
      <c r="G171" s="1">
        <f>G170+'.r file'!G176</f>
        <v>218.39999999999995</v>
      </c>
      <c r="H171" s="1">
        <f>H170+'.r file'!H176</f>
        <v>426</v>
      </c>
      <c r="I171" s="1">
        <f>I170+'.r file'!I176</f>
        <v>280.62999999999994</v>
      </c>
      <c r="J171" s="1">
        <f>J170+'.r file'!J176</f>
        <v>269</v>
      </c>
      <c r="K171" s="1">
        <f>K170+'.r file'!K176</f>
        <v>445</v>
      </c>
      <c r="L171" s="1">
        <f>L170+'.r file'!L176</f>
        <v>400.31999999999914</v>
      </c>
      <c r="M171" s="1">
        <f>M170+'.r file'!M176</f>
        <v>1303</v>
      </c>
      <c r="N171" s="1">
        <f>N170+'.r file'!N176</f>
        <v>110.40999999999995</v>
      </c>
      <c r="O171" s="1">
        <f>O170+'.r file'!O176</f>
        <v>637</v>
      </c>
      <c r="P171" s="1">
        <f>P170+'.r file'!P176</f>
        <v>366.41999999999945</v>
      </c>
      <c r="Q171" s="1">
        <f>Q170+'.r file'!Q176</f>
        <v>445</v>
      </c>
      <c r="R171" s="1">
        <f>R170+'.r file'!R176</f>
        <v>439.87999999999988</v>
      </c>
      <c r="S171" s="1">
        <f>S170+'.r file'!S176</f>
        <v>487.54999999999995</v>
      </c>
      <c r="T171" s="1">
        <f>T170+'.r file'!T176</f>
        <v>536</v>
      </c>
      <c r="U171" s="1">
        <f>U170+'.r file'!U176</f>
        <v>877.98000000000047</v>
      </c>
      <c r="V171" s="1">
        <f>V170+'.r file'!V176</f>
        <v>695</v>
      </c>
      <c r="W171" s="1">
        <f>W170+'.r file'!W176</f>
        <v>926</v>
      </c>
      <c r="X171" s="1">
        <f>X170+'.r file'!X176</f>
        <v>786</v>
      </c>
      <c r="Y171" s="1">
        <f>Y170+'.r file'!Y176</f>
        <v>618</v>
      </c>
      <c r="Z171" s="1">
        <f>Z170+'.r file'!Z176</f>
        <v>841.31000000000006</v>
      </c>
      <c r="AA171" s="1">
        <f>AA170+'.r file'!AA176</f>
        <v>675.81000000000142</v>
      </c>
      <c r="AB171" s="1">
        <f>AB170+'.r file'!AB176</f>
        <v>626.61000000000035</v>
      </c>
      <c r="AC171" s="1">
        <f>AC170+'.r file'!AC176</f>
        <v>669</v>
      </c>
      <c r="AD171" s="1">
        <f>AD170+'.r file'!AD176</f>
        <v>625.60000000000014</v>
      </c>
      <c r="AE171" s="1">
        <f>AE170+'.r file'!AE176</f>
        <v>627.1600000000002</v>
      </c>
      <c r="AF171" s="1">
        <f>AF170+'.r file'!AF176</f>
        <v>541.42000000000019</v>
      </c>
    </row>
    <row r="172" spans="1:32" x14ac:dyDescent="0.25">
      <c r="A172" s="6">
        <v>27060.416666666668</v>
      </c>
      <c r="B172" s="1">
        <f>B171+'.r file'!B177</f>
        <v>753.62000000000057</v>
      </c>
      <c r="C172" s="1">
        <f>C171+'.r file'!C177</f>
        <v>614.90000000000009</v>
      </c>
      <c r="D172" s="1">
        <f>D171+'.r file'!D177</f>
        <v>375</v>
      </c>
      <c r="E172" s="1">
        <f>E171+'.r file'!E177</f>
        <v>341</v>
      </c>
      <c r="F172" s="1">
        <f>F171+'.r file'!F177</f>
        <v>319.10000000000014</v>
      </c>
      <c r="G172" s="1">
        <f>G171+'.r file'!G177</f>
        <v>218.39999999999995</v>
      </c>
      <c r="H172" s="1">
        <f>H171+'.r file'!H177</f>
        <v>426</v>
      </c>
      <c r="I172" s="1">
        <f>I171+'.r file'!I177</f>
        <v>280.62999999999994</v>
      </c>
      <c r="J172" s="1">
        <f>J171+'.r file'!J177</f>
        <v>269</v>
      </c>
      <c r="K172" s="1">
        <f>K171+'.r file'!K177</f>
        <v>445</v>
      </c>
      <c r="L172" s="1">
        <f>L171+'.r file'!L177</f>
        <v>400.31999999999914</v>
      </c>
      <c r="M172" s="1">
        <f>M171+'.r file'!M177</f>
        <v>1303</v>
      </c>
      <c r="N172" s="1">
        <f>N171+'.r file'!N177</f>
        <v>110.40999999999995</v>
      </c>
      <c r="O172" s="1">
        <f>O171+'.r file'!O177</f>
        <v>637</v>
      </c>
      <c r="P172" s="1">
        <f>P171+'.r file'!P177</f>
        <v>366.41999999999945</v>
      </c>
      <c r="Q172" s="1">
        <f>Q171+'.r file'!Q177</f>
        <v>445</v>
      </c>
      <c r="R172" s="1">
        <f>R171+'.r file'!R177</f>
        <v>439.87999999999988</v>
      </c>
      <c r="S172" s="1">
        <f>S171+'.r file'!S177</f>
        <v>487.54999999999995</v>
      </c>
      <c r="T172" s="1">
        <f>T171+'.r file'!T177</f>
        <v>536</v>
      </c>
      <c r="U172" s="1">
        <f>U171+'.r file'!U177</f>
        <v>877.98000000000047</v>
      </c>
      <c r="V172" s="1">
        <f>V171+'.r file'!V177</f>
        <v>695</v>
      </c>
      <c r="W172" s="1">
        <f>W171+'.r file'!W177</f>
        <v>926</v>
      </c>
      <c r="X172" s="1">
        <f>X171+'.r file'!X177</f>
        <v>786</v>
      </c>
      <c r="Y172" s="1">
        <f>Y171+'.r file'!Y177</f>
        <v>618</v>
      </c>
      <c r="Z172" s="1">
        <f>Z171+'.r file'!Z177</f>
        <v>843.21</v>
      </c>
      <c r="AA172" s="1">
        <f>AA171+'.r file'!AA177</f>
        <v>678.11000000000138</v>
      </c>
      <c r="AB172" s="1">
        <f>AB171+'.r file'!AB177</f>
        <v>628.11000000000035</v>
      </c>
      <c r="AC172" s="1">
        <f>AC171+'.r file'!AC177</f>
        <v>669</v>
      </c>
      <c r="AD172" s="1">
        <f>AD171+'.r file'!AD177</f>
        <v>625.60000000000014</v>
      </c>
      <c r="AE172" s="1">
        <f>AE171+'.r file'!AE177</f>
        <v>627.1600000000002</v>
      </c>
      <c r="AF172" s="1">
        <f>AF171+'.r file'!AF177</f>
        <v>541.42000000000019</v>
      </c>
    </row>
    <row r="173" spans="1:32" x14ac:dyDescent="0.25">
      <c r="A173" s="6">
        <v>27060.458333333332</v>
      </c>
      <c r="B173" s="1">
        <f>B172+'.r file'!B178</f>
        <v>753.62000000000057</v>
      </c>
      <c r="C173" s="1">
        <f>C172+'.r file'!C178</f>
        <v>614.90000000000009</v>
      </c>
      <c r="D173" s="1">
        <f>D172+'.r file'!D178</f>
        <v>375</v>
      </c>
      <c r="E173" s="1">
        <f>E172+'.r file'!E178</f>
        <v>341</v>
      </c>
      <c r="F173" s="1">
        <f>F172+'.r file'!F178</f>
        <v>319.10000000000014</v>
      </c>
      <c r="G173" s="1">
        <f>G172+'.r file'!G178</f>
        <v>218.59999999999994</v>
      </c>
      <c r="H173" s="1">
        <f>H172+'.r file'!H178</f>
        <v>426</v>
      </c>
      <c r="I173" s="1">
        <f>I172+'.r file'!I178</f>
        <v>280.62999999999994</v>
      </c>
      <c r="J173" s="1">
        <f>J172+'.r file'!J178</f>
        <v>269</v>
      </c>
      <c r="K173" s="1">
        <f>K172+'.r file'!K178</f>
        <v>445</v>
      </c>
      <c r="L173" s="1">
        <f>L172+'.r file'!L178</f>
        <v>400.31999999999914</v>
      </c>
      <c r="M173" s="1">
        <f>M172+'.r file'!M178</f>
        <v>1303</v>
      </c>
      <c r="N173" s="1">
        <f>N172+'.r file'!N178</f>
        <v>110.40999999999995</v>
      </c>
      <c r="O173" s="1">
        <f>O172+'.r file'!O178</f>
        <v>637</v>
      </c>
      <c r="P173" s="1">
        <f>P172+'.r file'!P178</f>
        <v>366.41999999999945</v>
      </c>
      <c r="Q173" s="1">
        <f>Q172+'.r file'!Q178</f>
        <v>445</v>
      </c>
      <c r="R173" s="1">
        <f>R172+'.r file'!R178</f>
        <v>439.87999999999988</v>
      </c>
      <c r="S173" s="1">
        <f>S172+'.r file'!S178</f>
        <v>494.23999999999995</v>
      </c>
      <c r="T173" s="1">
        <f>T172+'.r file'!T178</f>
        <v>536</v>
      </c>
      <c r="U173" s="1">
        <f>U172+'.r file'!U178</f>
        <v>877.98000000000047</v>
      </c>
      <c r="V173" s="1">
        <f>V172+'.r file'!V178</f>
        <v>695</v>
      </c>
      <c r="W173" s="1">
        <f>W172+'.r file'!W178</f>
        <v>926</v>
      </c>
      <c r="X173" s="1">
        <f>X172+'.r file'!X178</f>
        <v>786</v>
      </c>
      <c r="Y173" s="1">
        <f>Y172+'.r file'!Y178</f>
        <v>618</v>
      </c>
      <c r="Z173" s="1">
        <f>Z172+'.r file'!Z178</f>
        <v>843.21</v>
      </c>
      <c r="AA173" s="1">
        <f>AA172+'.r file'!AA178</f>
        <v>678.11000000000138</v>
      </c>
      <c r="AB173" s="1">
        <f>AB172+'.r file'!AB178</f>
        <v>628.11000000000035</v>
      </c>
      <c r="AC173" s="1">
        <f>AC172+'.r file'!AC178</f>
        <v>669</v>
      </c>
      <c r="AD173" s="1">
        <f>AD172+'.r file'!AD178</f>
        <v>625.60000000000014</v>
      </c>
      <c r="AE173" s="1">
        <f>AE172+'.r file'!AE178</f>
        <v>632.1600000000002</v>
      </c>
      <c r="AF173" s="1">
        <f>AF172+'.r file'!AF178</f>
        <v>543.94000000000017</v>
      </c>
    </row>
    <row r="174" spans="1:32" x14ac:dyDescent="0.25">
      <c r="A174" s="6">
        <v>27060.5</v>
      </c>
      <c r="B174" s="1">
        <f>B173+'.r file'!B179</f>
        <v>753.62000000000057</v>
      </c>
      <c r="C174" s="1">
        <f>C173+'.r file'!C179</f>
        <v>614.90000000000009</v>
      </c>
      <c r="D174" s="1">
        <f>D173+'.r file'!D179</f>
        <v>375</v>
      </c>
      <c r="E174" s="1">
        <f>E173+'.r file'!E179</f>
        <v>341</v>
      </c>
      <c r="F174" s="1">
        <f>F173+'.r file'!F179</f>
        <v>319.10000000000014</v>
      </c>
      <c r="G174" s="1">
        <f>G173+'.r file'!G179</f>
        <v>218.84999999999994</v>
      </c>
      <c r="H174" s="1">
        <f>H173+'.r file'!H179</f>
        <v>426</v>
      </c>
      <c r="I174" s="1">
        <f>I173+'.r file'!I179</f>
        <v>280.62999999999994</v>
      </c>
      <c r="J174" s="1">
        <f>J173+'.r file'!J179</f>
        <v>269</v>
      </c>
      <c r="K174" s="1">
        <f>K173+'.r file'!K179</f>
        <v>445</v>
      </c>
      <c r="L174" s="1">
        <f>L173+'.r file'!L179</f>
        <v>400.31999999999914</v>
      </c>
      <c r="M174" s="1">
        <f>M173+'.r file'!M179</f>
        <v>1303</v>
      </c>
      <c r="N174" s="1">
        <f>N173+'.r file'!N179</f>
        <v>110.40999999999995</v>
      </c>
      <c r="O174" s="1">
        <f>O173+'.r file'!O179</f>
        <v>637</v>
      </c>
      <c r="P174" s="1">
        <f>P173+'.r file'!P179</f>
        <v>366.41999999999945</v>
      </c>
      <c r="Q174" s="1">
        <f>Q173+'.r file'!Q179</f>
        <v>445</v>
      </c>
      <c r="R174" s="1">
        <f>R173+'.r file'!R179</f>
        <v>439.87999999999988</v>
      </c>
      <c r="S174" s="1">
        <f>S173+'.r file'!S179</f>
        <v>494.34999999999997</v>
      </c>
      <c r="T174" s="1">
        <f>T173+'.r file'!T179</f>
        <v>536</v>
      </c>
      <c r="U174" s="1">
        <f>U173+'.r file'!U179</f>
        <v>877.98000000000047</v>
      </c>
      <c r="V174" s="1">
        <f>V173+'.r file'!V179</f>
        <v>695</v>
      </c>
      <c r="W174" s="1">
        <f>W173+'.r file'!W179</f>
        <v>926</v>
      </c>
      <c r="X174" s="1">
        <f>X173+'.r file'!X179</f>
        <v>786</v>
      </c>
      <c r="Y174" s="1">
        <f>Y173+'.r file'!Y179</f>
        <v>618</v>
      </c>
      <c r="Z174" s="1">
        <f>Z173+'.r file'!Z179</f>
        <v>843.21</v>
      </c>
      <c r="AA174" s="1">
        <f>AA173+'.r file'!AA179</f>
        <v>678.11000000000138</v>
      </c>
      <c r="AB174" s="1">
        <f>AB173+'.r file'!AB179</f>
        <v>628.11000000000035</v>
      </c>
      <c r="AC174" s="1">
        <f>AC173+'.r file'!AC179</f>
        <v>669</v>
      </c>
      <c r="AD174" s="1">
        <f>AD173+'.r file'!AD179</f>
        <v>625.60000000000014</v>
      </c>
      <c r="AE174" s="1">
        <f>AE173+'.r file'!AE179</f>
        <v>632.1600000000002</v>
      </c>
      <c r="AF174" s="1">
        <f>AF173+'.r file'!AF179</f>
        <v>544.32000000000016</v>
      </c>
    </row>
    <row r="175" spans="1:32" x14ac:dyDescent="0.25">
      <c r="A175" s="6">
        <v>27060.541666666668</v>
      </c>
      <c r="B175" s="1">
        <f>B174+'.r file'!B180</f>
        <v>753.62000000000057</v>
      </c>
      <c r="C175" s="1">
        <f>C174+'.r file'!C180</f>
        <v>614.90000000000009</v>
      </c>
      <c r="D175" s="1">
        <f>D174+'.r file'!D180</f>
        <v>375</v>
      </c>
      <c r="E175" s="1">
        <f>E174+'.r file'!E180</f>
        <v>341</v>
      </c>
      <c r="F175" s="1">
        <f>F174+'.r file'!F180</f>
        <v>319.80000000000013</v>
      </c>
      <c r="G175" s="1">
        <f>G174+'.r file'!G180</f>
        <v>219.36999999999995</v>
      </c>
      <c r="H175" s="1">
        <f>H174+'.r file'!H180</f>
        <v>426</v>
      </c>
      <c r="I175" s="1">
        <f>I174+'.r file'!I180</f>
        <v>280.62999999999994</v>
      </c>
      <c r="J175" s="1">
        <f>J174+'.r file'!J180</f>
        <v>269</v>
      </c>
      <c r="K175" s="1">
        <f>K174+'.r file'!K180</f>
        <v>445</v>
      </c>
      <c r="L175" s="1">
        <f>L174+'.r file'!L180</f>
        <v>400.31999999999914</v>
      </c>
      <c r="M175" s="1">
        <f>M174+'.r file'!M180</f>
        <v>1303</v>
      </c>
      <c r="N175" s="1">
        <f>N174+'.r file'!N180</f>
        <v>110.40999999999995</v>
      </c>
      <c r="O175" s="1">
        <f>O174+'.r file'!O180</f>
        <v>637</v>
      </c>
      <c r="P175" s="1">
        <f>P174+'.r file'!P180</f>
        <v>367.59999999999945</v>
      </c>
      <c r="Q175" s="1">
        <f>Q174+'.r file'!Q180</f>
        <v>445</v>
      </c>
      <c r="R175" s="1">
        <f>R174+'.r file'!R180</f>
        <v>439.87999999999988</v>
      </c>
      <c r="S175" s="1">
        <f>S174+'.r file'!S180</f>
        <v>494.34999999999997</v>
      </c>
      <c r="T175" s="1">
        <f>T174+'.r file'!T180</f>
        <v>536</v>
      </c>
      <c r="U175" s="1">
        <f>U174+'.r file'!U180</f>
        <v>877.98000000000047</v>
      </c>
      <c r="V175" s="1">
        <f>V174+'.r file'!V180</f>
        <v>695</v>
      </c>
      <c r="W175" s="1">
        <f>W174+'.r file'!W180</f>
        <v>926</v>
      </c>
      <c r="X175" s="1">
        <f>X174+'.r file'!X180</f>
        <v>786</v>
      </c>
      <c r="Y175" s="1">
        <f>Y174+'.r file'!Y180</f>
        <v>618</v>
      </c>
      <c r="Z175" s="1">
        <f>Z174+'.r file'!Z180</f>
        <v>843.21</v>
      </c>
      <c r="AA175" s="1">
        <f>AA174+'.r file'!AA180</f>
        <v>678.11000000000138</v>
      </c>
      <c r="AB175" s="1">
        <f>AB174+'.r file'!AB180</f>
        <v>628.11000000000035</v>
      </c>
      <c r="AC175" s="1">
        <f>AC174+'.r file'!AC180</f>
        <v>669</v>
      </c>
      <c r="AD175" s="1">
        <f>AD174+'.r file'!AD180</f>
        <v>625.60000000000014</v>
      </c>
      <c r="AE175" s="1">
        <f>AE174+'.r file'!AE180</f>
        <v>632.1600000000002</v>
      </c>
      <c r="AF175" s="1">
        <f>AF174+'.r file'!AF180</f>
        <v>544.32000000000016</v>
      </c>
    </row>
    <row r="176" spans="1:32" x14ac:dyDescent="0.25">
      <c r="A176" s="6">
        <v>27060.583333333332</v>
      </c>
      <c r="B176" s="1">
        <f>B175+'.r file'!B181</f>
        <v>753.62000000000057</v>
      </c>
      <c r="C176" s="1">
        <f>C175+'.r file'!C181</f>
        <v>614.90000000000009</v>
      </c>
      <c r="D176" s="1">
        <f>D175+'.r file'!D181</f>
        <v>375</v>
      </c>
      <c r="E176" s="1">
        <f>E175+'.r file'!E181</f>
        <v>341</v>
      </c>
      <c r="F176" s="1">
        <f>F175+'.r file'!F181</f>
        <v>320.10000000000014</v>
      </c>
      <c r="G176" s="1">
        <f>G175+'.r file'!G181</f>
        <v>220.18999999999994</v>
      </c>
      <c r="H176" s="1">
        <f>H175+'.r file'!H181</f>
        <v>426</v>
      </c>
      <c r="I176" s="1">
        <f>I175+'.r file'!I181</f>
        <v>280.62999999999994</v>
      </c>
      <c r="J176" s="1">
        <f>J175+'.r file'!J181</f>
        <v>269</v>
      </c>
      <c r="K176" s="1">
        <f>K175+'.r file'!K181</f>
        <v>445</v>
      </c>
      <c r="L176" s="1">
        <f>L175+'.r file'!L181</f>
        <v>400.31999999999914</v>
      </c>
      <c r="M176" s="1">
        <f>M175+'.r file'!M181</f>
        <v>1303</v>
      </c>
      <c r="N176" s="1">
        <f>N175+'.r file'!N181</f>
        <v>110.40999999999995</v>
      </c>
      <c r="O176" s="1">
        <f>O175+'.r file'!O181</f>
        <v>637</v>
      </c>
      <c r="P176" s="1">
        <f>P175+'.r file'!P181</f>
        <v>367.61999999999944</v>
      </c>
      <c r="Q176" s="1">
        <f>Q175+'.r file'!Q181</f>
        <v>445</v>
      </c>
      <c r="R176" s="1">
        <f>R175+'.r file'!R181</f>
        <v>439.87999999999988</v>
      </c>
      <c r="S176" s="1">
        <f>S175+'.r file'!S181</f>
        <v>497.34999999999997</v>
      </c>
      <c r="T176" s="1">
        <f>T175+'.r file'!T181</f>
        <v>536</v>
      </c>
      <c r="U176" s="1">
        <f>U175+'.r file'!U181</f>
        <v>877.98000000000047</v>
      </c>
      <c r="V176" s="1">
        <f>V175+'.r file'!V181</f>
        <v>695</v>
      </c>
      <c r="W176" s="1">
        <f>W175+'.r file'!W181</f>
        <v>926</v>
      </c>
      <c r="X176" s="1">
        <f>X175+'.r file'!X181</f>
        <v>786</v>
      </c>
      <c r="Y176" s="1">
        <f>Y175+'.r file'!Y181</f>
        <v>618</v>
      </c>
      <c r="Z176" s="1">
        <f>Z175+'.r file'!Z181</f>
        <v>843.51</v>
      </c>
      <c r="AA176" s="1">
        <f>AA175+'.r file'!AA181</f>
        <v>678.11000000000138</v>
      </c>
      <c r="AB176" s="1">
        <f>AB175+'.r file'!AB181</f>
        <v>628.11000000000035</v>
      </c>
      <c r="AC176" s="1">
        <f>AC175+'.r file'!AC181</f>
        <v>669</v>
      </c>
      <c r="AD176" s="1">
        <f>AD175+'.r file'!AD181</f>
        <v>625.60000000000014</v>
      </c>
      <c r="AE176" s="1">
        <f>AE175+'.r file'!AE181</f>
        <v>632.1600000000002</v>
      </c>
      <c r="AF176" s="1">
        <f>AF175+'.r file'!AF181</f>
        <v>544.72000000000014</v>
      </c>
    </row>
    <row r="177" spans="1:32" x14ac:dyDescent="0.25">
      <c r="A177" s="6">
        <v>27060.625</v>
      </c>
      <c r="B177" s="1">
        <f>B176+'.r file'!B182</f>
        <v>754.2200000000006</v>
      </c>
      <c r="C177" s="1">
        <f>C176+'.r file'!C182</f>
        <v>614.90000000000009</v>
      </c>
      <c r="D177" s="1">
        <f>D176+'.r file'!D182</f>
        <v>375</v>
      </c>
      <c r="E177" s="1">
        <f>E176+'.r file'!E182</f>
        <v>341</v>
      </c>
      <c r="F177" s="1">
        <f>F176+'.r file'!F182</f>
        <v>321.14000000000016</v>
      </c>
      <c r="G177" s="1">
        <f>G176+'.r file'!G182</f>
        <v>220.90999999999994</v>
      </c>
      <c r="H177" s="1">
        <f>H176+'.r file'!H182</f>
        <v>426</v>
      </c>
      <c r="I177" s="1">
        <f>I176+'.r file'!I182</f>
        <v>280.62999999999994</v>
      </c>
      <c r="J177" s="1">
        <f>J176+'.r file'!J182</f>
        <v>269</v>
      </c>
      <c r="K177" s="1">
        <f>K176+'.r file'!K182</f>
        <v>445</v>
      </c>
      <c r="L177" s="1">
        <f>L176+'.r file'!L182</f>
        <v>400.31999999999914</v>
      </c>
      <c r="M177" s="1">
        <f>M176+'.r file'!M182</f>
        <v>1303</v>
      </c>
      <c r="N177" s="1">
        <f>N176+'.r file'!N182</f>
        <v>110.40999999999995</v>
      </c>
      <c r="O177" s="1">
        <f>O176+'.r file'!O182</f>
        <v>637</v>
      </c>
      <c r="P177" s="1">
        <f>P176+'.r file'!P182</f>
        <v>367.61999999999944</v>
      </c>
      <c r="Q177" s="1">
        <f>Q176+'.r file'!Q182</f>
        <v>445</v>
      </c>
      <c r="R177" s="1">
        <f>R176+'.r file'!R182</f>
        <v>439.87999999999988</v>
      </c>
      <c r="S177" s="1">
        <f>S176+'.r file'!S182</f>
        <v>497.34999999999997</v>
      </c>
      <c r="T177" s="1">
        <f>T176+'.r file'!T182</f>
        <v>536</v>
      </c>
      <c r="U177" s="1">
        <f>U176+'.r file'!U182</f>
        <v>878.28000000000043</v>
      </c>
      <c r="V177" s="1">
        <f>V176+'.r file'!V182</f>
        <v>695</v>
      </c>
      <c r="W177" s="1">
        <f>W176+'.r file'!W182</f>
        <v>926</v>
      </c>
      <c r="X177" s="1">
        <f>X176+'.r file'!X182</f>
        <v>786</v>
      </c>
      <c r="Y177" s="1">
        <f>Y176+'.r file'!Y182</f>
        <v>618</v>
      </c>
      <c r="Z177" s="1">
        <f>Z176+'.r file'!Z182</f>
        <v>844.71</v>
      </c>
      <c r="AA177" s="1">
        <f>AA176+'.r file'!AA182</f>
        <v>694.87000000000137</v>
      </c>
      <c r="AB177" s="1">
        <f>AB176+'.r file'!AB182</f>
        <v>634.01000000000033</v>
      </c>
      <c r="AC177" s="1">
        <f>AC176+'.r file'!AC182</f>
        <v>669</v>
      </c>
      <c r="AD177" s="1">
        <f>AD176+'.r file'!AD182</f>
        <v>625.60000000000014</v>
      </c>
      <c r="AE177" s="1">
        <f>AE176+'.r file'!AE182</f>
        <v>632.1600000000002</v>
      </c>
      <c r="AF177" s="1">
        <f>AF176+'.r file'!AF182</f>
        <v>544.72000000000014</v>
      </c>
    </row>
    <row r="178" spans="1:32" x14ac:dyDescent="0.25">
      <c r="A178" s="6">
        <v>27060.666666666668</v>
      </c>
      <c r="B178" s="1">
        <f>B177+'.r file'!B183</f>
        <v>754.82000000000062</v>
      </c>
      <c r="C178" s="1">
        <f>C177+'.r file'!C183</f>
        <v>614.90000000000009</v>
      </c>
      <c r="D178" s="1">
        <f>D177+'.r file'!D183</f>
        <v>375</v>
      </c>
      <c r="E178" s="1">
        <f>E177+'.r file'!E183</f>
        <v>341</v>
      </c>
      <c r="F178" s="1">
        <f>F177+'.r file'!F183</f>
        <v>328.26000000000016</v>
      </c>
      <c r="G178" s="1">
        <f>G177+'.r file'!G183</f>
        <v>221.37999999999994</v>
      </c>
      <c r="H178" s="1">
        <f>H177+'.r file'!H183</f>
        <v>426</v>
      </c>
      <c r="I178" s="1">
        <f>I177+'.r file'!I183</f>
        <v>280.62999999999994</v>
      </c>
      <c r="J178" s="1">
        <f>J177+'.r file'!J183</f>
        <v>269</v>
      </c>
      <c r="K178" s="1">
        <f>K177+'.r file'!K183</f>
        <v>445</v>
      </c>
      <c r="L178" s="1">
        <f>L177+'.r file'!L183</f>
        <v>400.31999999999914</v>
      </c>
      <c r="M178" s="1">
        <f>M177+'.r file'!M183</f>
        <v>1303</v>
      </c>
      <c r="N178" s="1">
        <f>N177+'.r file'!N183</f>
        <v>110.40999999999995</v>
      </c>
      <c r="O178" s="1">
        <f>O177+'.r file'!O183</f>
        <v>637</v>
      </c>
      <c r="P178" s="1">
        <f>P177+'.r file'!P183</f>
        <v>367.61999999999944</v>
      </c>
      <c r="Q178" s="1">
        <f>Q177+'.r file'!Q183</f>
        <v>445</v>
      </c>
      <c r="R178" s="1">
        <f>R177+'.r file'!R183</f>
        <v>439.87999999999988</v>
      </c>
      <c r="S178" s="1">
        <f>S177+'.r file'!S183</f>
        <v>497.34999999999997</v>
      </c>
      <c r="T178" s="1">
        <f>T177+'.r file'!T183</f>
        <v>536</v>
      </c>
      <c r="U178" s="1">
        <f>U177+'.r file'!U183</f>
        <v>878.58000000000038</v>
      </c>
      <c r="V178" s="1">
        <f>V177+'.r file'!V183</f>
        <v>695</v>
      </c>
      <c r="W178" s="1">
        <f>W177+'.r file'!W183</f>
        <v>926</v>
      </c>
      <c r="X178" s="1">
        <f>X177+'.r file'!X183</f>
        <v>786</v>
      </c>
      <c r="Y178" s="1">
        <f>Y177+'.r file'!Y183</f>
        <v>618</v>
      </c>
      <c r="Z178" s="1">
        <f>Z177+'.r file'!Z183</f>
        <v>844.71</v>
      </c>
      <c r="AA178" s="1">
        <f>AA177+'.r file'!AA183</f>
        <v>695.2100000000014</v>
      </c>
      <c r="AB178" s="1">
        <f>AB177+'.r file'!AB183</f>
        <v>634.21000000000038</v>
      </c>
      <c r="AC178" s="1">
        <f>AC177+'.r file'!AC183</f>
        <v>669</v>
      </c>
      <c r="AD178" s="1">
        <f>AD177+'.r file'!AD183</f>
        <v>625.60000000000014</v>
      </c>
      <c r="AE178" s="1">
        <f>AE177+'.r file'!AE183</f>
        <v>632.1600000000002</v>
      </c>
      <c r="AF178" s="1">
        <f>AF177+'.r file'!AF183</f>
        <v>544.72000000000014</v>
      </c>
    </row>
    <row r="179" spans="1:32" x14ac:dyDescent="0.25">
      <c r="A179" s="6">
        <v>27060.708333333332</v>
      </c>
      <c r="B179" s="1">
        <f>B178+'.r file'!B184</f>
        <v>754.82000000000062</v>
      </c>
      <c r="C179" s="1">
        <f>C178+'.r file'!C184</f>
        <v>614.90000000000009</v>
      </c>
      <c r="D179" s="1">
        <f>D178+'.r file'!D184</f>
        <v>375</v>
      </c>
      <c r="E179" s="1">
        <f>E178+'.r file'!E184</f>
        <v>341</v>
      </c>
      <c r="F179" s="1">
        <f>F178+'.r file'!F184</f>
        <v>330.60000000000014</v>
      </c>
      <c r="G179" s="1">
        <f>G178+'.r file'!G184</f>
        <v>222.35999999999993</v>
      </c>
      <c r="H179" s="1">
        <f>H178+'.r file'!H184</f>
        <v>426</v>
      </c>
      <c r="I179" s="1">
        <f>I178+'.r file'!I184</f>
        <v>280.62999999999994</v>
      </c>
      <c r="J179" s="1">
        <f>J178+'.r file'!J184</f>
        <v>269</v>
      </c>
      <c r="K179" s="1">
        <f>K178+'.r file'!K184</f>
        <v>445</v>
      </c>
      <c r="L179" s="1">
        <f>L178+'.r file'!L184</f>
        <v>400.31999999999914</v>
      </c>
      <c r="M179" s="1">
        <f>M178+'.r file'!M184</f>
        <v>1303</v>
      </c>
      <c r="N179" s="1">
        <f>N178+'.r file'!N184</f>
        <v>110.40999999999995</v>
      </c>
      <c r="O179" s="1">
        <f>O178+'.r file'!O184</f>
        <v>637</v>
      </c>
      <c r="P179" s="1">
        <f>P178+'.r file'!P184</f>
        <v>367.61999999999944</v>
      </c>
      <c r="Q179" s="1">
        <f>Q178+'.r file'!Q184</f>
        <v>445</v>
      </c>
      <c r="R179" s="1">
        <f>R178+'.r file'!R184</f>
        <v>439.87999999999988</v>
      </c>
      <c r="S179" s="1">
        <f>S178+'.r file'!S184</f>
        <v>497.34999999999997</v>
      </c>
      <c r="T179" s="1">
        <f>T178+'.r file'!T184</f>
        <v>536</v>
      </c>
      <c r="U179" s="1">
        <f>U178+'.r file'!U184</f>
        <v>878.58000000000038</v>
      </c>
      <c r="V179" s="1">
        <f>V178+'.r file'!V184</f>
        <v>695</v>
      </c>
      <c r="W179" s="1">
        <f>W178+'.r file'!W184</f>
        <v>926</v>
      </c>
      <c r="X179" s="1">
        <f>X178+'.r file'!X184</f>
        <v>786</v>
      </c>
      <c r="Y179" s="1">
        <f>Y178+'.r file'!Y184</f>
        <v>618</v>
      </c>
      <c r="Z179" s="1">
        <f>Z178+'.r file'!Z184</f>
        <v>844.71</v>
      </c>
      <c r="AA179" s="1">
        <f>AA178+'.r file'!AA184</f>
        <v>695.2100000000014</v>
      </c>
      <c r="AB179" s="1">
        <f>AB178+'.r file'!AB184</f>
        <v>634.21000000000038</v>
      </c>
      <c r="AC179" s="1">
        <f>AC178+'.r file'!AC184</f>
        <v>669</v>
      </c>
      <c r="AD179" s="1">
        <f>AD178+'.r file'!AD184</f>
        <v>625.60000000000014</v>
      </c>
      <c r="AE179" s="1">
        <f>AE178+'.r file'!AE184</f>
        <v>632.1600000000002</v>
      </c>
      <c r="AF179" s="1">
        <f>AF178+'.r file'!AF184</f>
        <v>544.72000000000014</v>
      </c>
    </row>
    <row r="180" spans="1:32" x14ac:dyDescent="0.25">
      <c r="A180" s="6">
        <v>27060.75</v>
      </c>
      <c r="B180" s="1">
        <f>B179+'.r file'!B185</f>
        <v>762.42000000000064</v>
      </c>
      <c r="C180" s="1">
        <f>C179+'.r file'!C185</f>
        <v>614.90000000000009</v>
      </c>
      <c r="D180" s="1">
        <f>D179+'.r file'!D185</f>
        <v>375</v>
      </c>
      <c r="E180" s="1">
        <f>E179+'.r file'!E185</f>
        <v>341</v>
      </c>
      <c r="F180" s="1">
        <f>F179+'.r file'!F185</f>
        <v>330.80000000000013</v>
      </c>
      <c r="G180" s="1">
        <f>G179+'.r file'!G185</f>
        <v>224.45999999999992</v>
      </c>
      <c r="H180" s="1">
        <f>H179+'.r file'!H185</f>
        <v>426</v>
      </c>
      <c r="I180" s="1">
        <f>I179+'.r file'!I185</f>
        <v>280.62999999999994</v>
      </c>
      <c r="J180" s="1">
        <f>J179+'.r file'!J185</f>
        <v>269</v>
      </c>
      <c r="K180" s="1">
        <f>K179+'.r file'!K185</f>
        <v>445</v>
      </c>
      <c r="L180" s="1">
        <f>L179+'.r file'!L185</f>
        <v>400.31999999999914</v>
      </c>
      <c r="M180" s="1">
        <f>M179+'.r file'!M185</f>
        <v>1303</v>
      </c>
      <c r="N180" s="1">
        <f>N179+'.r file'!N185</f>
        <v>110.40999999999995</v>
      </c>
      <c r="O180" s="1">
        <f>O179+'.r file'!O185</f>
        <v>637</v>
      </c>
      <c r="P180" s="1">
        <f>P179+'.r file'!P185</f>
        <v>367.61999999999944</v>
      </c>
      <c r="Q180" s="1">
        <f>Q179+'.r file'!Q185</f>
        <v>445</v>
      </c>
      <c r="R180" s="1">
        <f>R179+'.r file'!R185</f>
        <v>439.87999999999988</v>
      </c>
      <c r="S180" s="1">
        <f>S179+'.r file'!S185</f>
        <v>497.34999999999997</v>
      </c>
      <c r="T180" s="1">
        <f>T179+'.r file'!T185</f>
        <v>536</v>
      </c>
      <c r="U180" s="1">
        <f>U179+'.r file'!U185</f>
        <v>878.58000000000038</v>
      </c>
      <c r="V180" s="1">
        <f>V179+'.r file'!V185</f>
        <v>695</v>
      </c>
      <c r="W180" s="1">
        <f>W179+'.r file'!W185</f>
        <v>926</v>
      </c>
      <c r="X180" s="1">
        <f>X179+'.r file'!X185</f>
        <v>786</v>
      </c>
      <c r="Y180" s="1">
        <f>Y179+'.r file'!Y185</f>
        <v>618</v>
      </c>
      <c r="Z180" s="1">
        <f>Z179+'.r file'!Z185</f>
        <v>844.71</v>
      </c>
      <c r="AA180" s="1">
        <f>AA179+'.r file'!AA185</f>
        <v>695.81000000000142</v>
      </c>
      <c r="AB180" s="1">
        <f>AB179+'.r file'!AB185</f>
        <v>634.21000000000038</v>
      </c>
      <c r="AC180" s="1">
        <f>AC179+'.r file'!AC185</f>
        <v>669</v>
      </c>
      <c r="AD180" s="1">
        <f>AD179+'.r file'!AD185</f>
        <v>625.60000000000014</v>
      </c>
      <c r="AE180" s="1">
        <f>AE179+'.r file'!AE185</f>
        <v>632.1600000000002</v>
      </c>
      <c r="AF180" s="1">
        <f>AF179+'.r file'!AF185</f>
        <v>544.72000000000014</v>
      </c>
    </row>
    <row r="181" spans="1:32" x14ac:dyDescent="0.25">
      <c r="A181" s="6">
        <v>27060.791666666668</v>
      </c>
      <c r="B181" s="1">
        <f>B180+'.r file'!B186</f>
        <v>762.42000000000064</v>
      </c>
      <c r="C181" s="1">
        <f>C180+'.r file'!C186</f>
        <v>614.90000000000009</v>
      </c>
      <c r="D181" s="1">
        <f>D180+'.r file'!D186</f>
        <v>375</v>
      </c>
      <c r="E181" s="1">
        <f>E180+'.r file'!E186</f>
        <v>341</v>
      </c>
      <c r="F181" s="1">
        <f>F180+'.r file'!F186</f>
        <v>331.47000000000014</v>
      </c>
      <c r="G181" s="1">
        <f>G180+'.r file'!G186</f>
        <v>226.01999999999992</v>
      </c>
      <c r="H181" s="1">
        <f>H180+'.r file'!H186</f>
        <v>426</v>
      </c>
      <c r="I181" s="1">
        <f>I180+'.r file'!I186</f>
        <v>280.62999999999994</v>
      </c>
      <c r="J181" s="1">
        <f>J180+'.r file'!J186</f>
        <v>269</v>
      </c>
      <c r="K181" s="1">
        <f>K180+'.r file'!K186</f>
        <v>445</v>
      </c>
      <c r="L181" s="1">
        <f>L180+'.r file'!L186</f>
        <v>400.31999999999914</v>
      </c>
      <c r="M181" s="1">
        <f>M180+'.r file'!M186</f>
        <v>1303</v>
      </c>
      <c r="N181" s="1">
        <f>N180+'.r file'!N186</f>
        <v>110.40999999999995</v>
      </c>
      <c r="O181" s="1">
        <f>O180+'.r file'!O186</f>
        <v>637</v>
      </c>
      <c r="P181" s="1">
        <f>P180+'.r file'!P186</f>
        <v>367.61999999999944</v>
      </c>
      <c r="Q181" s="1">
        <f>Q180+'.r file'!Q186</f>
        <v>445</v>
      </c>
      <c r="R181" s="1">
        <f>R180+'.r file'!R186</f>
        <v>439.87999999999988</v>
      </c>
      <c r="S181" s="1">
        <f>S180+'.r file'!S186</f>
        <v>497.34999999999997</v>
      </c>
      <c r="T181" s="1">
        <f>T180+'.r file'!T186</f>
        <v>536</v>
      </c>
      <c r="U181" s="1">
        <f>U180+'.r file'!U186</f>
        <v>878.58000000000038</v>
      </c>
      <c r="V181" s="1">
        <f>V180+'.r file'!V186</f>
        <v>695</v>
      </c>
      <c r="W181" s="1">
        <f>W180+'.r file'!W186</f>
        <v>926</v>
      </c>
      <c r="X181" s="1">
        <f>X180+'.r file'!X186</f>
        <v>786</v>
      </c>
      <c r="Y181" s="1">
        <f>Y180+'.r file'!Y186</f>
        <v>618</v>
      </c>
      <c r="Z181" s="1">
        <f>Z180+'.r file'!Z186</f>
        <v>844.71</v>
      </c>
      <c r="AA181" s="1">
        <f>AA180+'.r file'!AA186</f>
        <v>696.11000000000138</v>
      </c>
      <c r="AB181" s="1">
        <f>AB180+'.r file'!AB186</f>
        <v>634.21000000000038</v>
      </c>
      <c r="AC181" s="1">
        <f>AC180+'.r file'!AC186</f>
        <v>669</v>
      </c>
      <c r="AD181" s="1">
        <f>AD180+'.r file'!AD186</f>
        <v>625.60000000000014</v>
      </c>
      <c r="AE181" s="1">
        <f>AE180+'.r file'!AE186</f>
        <v>632.1600000000002</v>
      </c>
      <c r="AF181" s="1">
        <f>AF180+'.r file'!AF186</f>
        <v>544.87000000000012</v>
      </c>
    </row>
    <row r="182" spans="1:32" x14ac:dyDescent="0.25">
      <c r="A182" s="6">
        <v>27060.833333333332</v>
      </c>
      <c r="B182" s="1">
        <f>B181+'.r file'!B187</f>
        <v>762.42000000000064</v>
      </c>
      <c r="C182" s="1">
        <f>C181+'.r file'!C187</f>
        <v>614.90000000000009</v>
      </c>
      <c r="D182" s="1">
        <f>D181+'.r file'!D187</f>
        <v>375</v>
      </c>
      <c r="E182" s="1">
        <f>E181+'.r file'!E187</f>
        <v>341</v>
      </c>
      <c r="F182" s="1">
        <f>F181+'.r file'!F187</f>
        <v>332.10000000000014</v>
      </c>
      <c r="G182" s="1">
        <f>G181+'.r file'!G187</f>
        <v>226.27999999999992</v>
      </c>
      <c r="H182" s="1">
        <f>H181+'.r file'!H187</f>
        <v>426</v>
      </c>
      <c r="I182" s="1">
        <f>I181+'.r file'!I187</f>
        <v>280.62999999999994</v>
      </c>
      <c r="J182" s="1">
        <f>J181+'.r file'!J187</f>
        <v>269</v>
      </c>
      <c r="K182" s="1">
        <f>K181+'.r file'!K187</f>
        <v>445</v>
      </c>
      <c r="L182" s="1">
        <f>L181+'.r file'!L187</f>
        <v>400.31999999999914</v>
      </c>
      <c r="M182" s="1">
        <f>M181+'.r file'!M187</f>
        <v>1303</v>
      </c>
      <c r="N182" s="1">
        <f>N181+'.r file'!N187</f>
        <v>110.40999999999995</v>
      </c>
      <c r="O182" s="1">
        <f>O181+'.r file'!O187</f>
        <v>637</v>
      </c>
      <c r="P182" s="1">
        <f>P181+'.r file'!P187</f>
        <v>367.61999999999944</v>
      </c>
      <c r="Q182" s="1">
        <f>Q181+'.r file'!Q187</f>
        <v>445</v>
      </c>
      <c r="R182" s="1">
        <f>R181+'.r file'!R187</f>
        <v>439.87999999999988</v>
      </c>
      <c r="S182" s="1">
        <f>S181+'.r file'!S187</f>
        <v>497.34999999999997</v>
      </c>
      <c r="T182" s="1">
        <f>T181+'.r file'!T187</f>
        <v>536</v>
      </c>
      <c r="U182" s="1">
        <f>U181+'.r file'!U187</f>
        <v>878.58000000000038</v>
      </c>
      <c r="V182" s="1">
        <f>V181+'.r file'!V187</f>
        <v>695</v>
      </c>
      <c r="W182" s="1">
        <f>W181+'.r file'!W187</f>
        <v>926</v>
      </c>
      <c r="X182" s="1">
        <f>X181+'.r file'!X187</f>
        <v>786</v>
      </c>
      <c r="Y182" s="1">
        <f>Y181+'.r file'!Y187</f>
        <v>618</v>
      </c>
      <c r="Z182" s="1">
        <f>Z181+'.r file'!Z187</f>
        <v>845.01</v>
      </c>
      <c r="AA182" s="1">
        <f>AA181+'.r file'!AA187</f>
        <v>696.11000000000138</v>
      </c>
      <c r="AB182" s="1">
        <f>AB181+'.r file'!AB187</f>
        <v>634.21000000000038</v>
      </c>
      <c r="AC182" s="1">
        <f>AC181+'.r file'!AC187</f>
        <v>669</v>
      </c>
      <c r="AD182" s="1">
        <f>AD181+'.r file'!AD187</f>
        <v>625.60000000000014</v>
      </c>
      <c r="AE182" s="1">
        <f>AE181+'.r file'!AE187</f>
        <v>632.1600000000002</v>
      </c>
      <c r="AF182" s="1">
        <f>AF181+'.r file'!AF187</f>
        <v>545.03000000000009</v>
      </c>
    </row>
    <row r="183" spans="1:32" x14ac:dyDescent="0.25">
      <c r="A183" s="6">
        <v>27060.875</v>
      </c>
      <c r="B183" s="1">
        <f>B182+'.r file'!B188</f>
        <v>762.42000000000064</v>
      </c>
      <c r="C183" s="1">
        <f>C182+'.r file'!C188</f>
        <v>614.90000000000009</v>
      </c>
      <c r="D183" s="1">
        <f>D182+'.r file'!D188</f>
        <v>375</v>
      </c>
      <c r="E183" s="1">
        <f>E182+'.r file'!E188</f>
        <v>341</v>
      </c>
      <c r="F183" s="1">
        <f>F182+'.r file'!F188</f>
        <v>332.10000000000014</v>
      </c>
      <c r="G183" s="1">
        <f>G182+'.r file'!G188</f>
        <v>226.27999999999992</v>
      </c>
      <c r="H183" s="1">
        <f>H182+'.r file'!H188</f>
        <v>426</v>
      </c>
      <c r="I183" s="1">
        <f>I182+'.r file'!I188</f>
        <v>280.62999999999994</v>
      </c>
      <c r="J183" s="1">
        <f>J182+'.r file'!J188</f>
        <v>269</v>
      </c>
      <c r="K183" s="1">
        <f>K182+'.r file'!K188</f>
        <v>445</v>
      </c>
      <c r="L183" s="1">
        <f>L182+'.r file'!L188</f>
        <v>400.31999999999914</v>
      </c>
      <c r="M183" s="1">
        <f>M182+'.r file'!M188</f>
        <v>1303</v>
      </c>
      <c r="N183" s="1">
        <f>N182+'.r file'!N188</f>
        <v>110.40999999999995</v>
      </c>
      <c r="O183" s="1">
        <f>O182+'.r file'!O188</f>
        <v>637</v>
      </c>
      <c r="P183" s="1">
        <f>P182+'.r file'!P188</f>
        <v>367.61999999999944</v>
      </c>
      <c r="Q183" s="1">
        <f>Q182+'.r file'!Q188</f>
        <v>445</v>
      </c>
      <c r="R183" s="1">
        <f>R182+'.r file'!R188</f>
        <v>439.87999999999988</v>
      </c>
      <c r="S183" s="1">
        <f>S182+'.r file'!S188</f>
        <v>497.34999999999997</v>
      </c>
      <c r="T183" s="1">
        <f>T182+'.r file'!T188</f>
        <v>536</v>
      </c>
      <c r="U183" s="1">
        <f>U182+'.r file'!U188</f>
        <v>878.58000000000038</v>
      </c>
      <c r="V183" s="1">
        <f>V182+'.r file'!V188</f>
        <v>695</v>
      </c>
      <c r="W183" s="1">
        <f>W182+'.r file'!W188</f>
        <v>926</v>
      </c>
      <c r="X183" s="1">
        <f>X182+'.r file'!X188</f>
        <v>786</v>
      </c>
      <c r="Y183" s="1">
        <f>Y182+'.r file'!Y188</f>
        <v>618</v>
      </c>
      <c r="Z183" s="1">
        <f>Z182+'.r file'!Z188</f>
        <v>845.01</v>
      </c>
      <c r="AA183" s="1">
        <f>AA182+'.r file'!AA188</f>
        <v>696.11000000000138</v>
      </c>
      <c r="AB183" s="1">
        <f>AB182+'.r file'!AB188</f>
        <v>634.28000000000043</v>
      </c>
      <c r="AC183" s="1">
        <f>AC182+'.r file'!AC188</f>
        <v>669</v>
      </c>
      <c r="AD183" s="1">
        <f>AD182+'.r file'!AD188</f>
        <v>625.60000000000014</v>
      </c>
      <c r="AE183" s="1">
        <f>AE182+'.r file'!AE188</f>
        <v>632.1600000000002</v>
      </c>
      <c r="AF183" s="1">
        <f>AF182+'.r file'!AF188</f>
        <v>545.22000000000014</v>
      </c>
    </row>
    <row r="184" spans="1:32" x14ac:dyDescent="0.25">
      <c r="A184" s="6">
        <v>27060.916666666668</v>
      </c>
      <c r="B184" s="1">
        <f>B183+'.r file'!B189</f>
        <v>762.62000000000069</v>
      </c>
      <c r="C184" s="1">
        <f>C183+'.r file'!C189</f>
        <v>614.90000000000009</v>
      </c>
      <c r="D184" s="1">
        <f>D183+'.r file'!D189</f>
        <v>375</v>
      </c>
      <c r="E184" s="1">
        <f>E183+'.r file'!E189</f>
        <v>341</v>
      </c>
      <c r="F184" s="1">
        <f>F183+'.r file'!F189</f>
        <v>332.10000000000014</v>
      </c>
      <c r="G184" s="1">
        <f>G183+'.r file'!G189</f>
        <v>226.37999999999991</v>
      </c>
      <c r="H184" s="1">
        <f>H183+'.r file'!H189</f>
        <v>426</v>
      </c>
      <c r="I184" s="1">
        <f>I183+'.r file'!I189</f>
        <v>280.62999999999994</v>
      </c>
      <c r="J184" s="1">
        <f>J183+'.r file'!J189</f>
        <v>269</v>
      </c>
      <c r="K184" s="1">
        <f>K183+'.r file'!K189</f>
        <v>445</v>
      </c>
      <c r="L184" s="1">
        <f>L183+'.r file'!L189</f>
        <v>400.31999999999914</v>
      </c>
      <c r="M184" s="1">
        <f>M183+'.r file'!M189</f>
        <v>1303</v>
      </c>
      <c r="N184" s="1">
        <f>N183+'.r file'!N189</f>
        <v>110.40999999999995</v>
      </c>
      <c r="O184" s="1">
        <f>O183+'.r file'!O189</f>
        <v>637</v>
      </c>
      <c r="P184" s="1">
        <f>P183+'.r file'!P189</f>
        <v>367.61999999999944</v>
      </c>
      <c r="Q184" s="1">
        <f>Q183+'.r file'!Q189</f>
        <v>445</v>
      </c>
      <c r="R184" s="1">
        <f>R183+'.r file'!R189</f>
        <v>439.87999999999988</v>
      </c>
      <c r="S184" s="1">
        <f>S183+'.r file'!S189</f>
        <v>497.34999999999997</v>
      </c>
      <c r="T184" s="1">
        <f>T183+'.r file'!T189</f>
        <v>536</v>
      </c>
      <c r="U184" s="1">
        <f>U183+'.r file'!U189</f>
        <v>878.58000000000038</v>
      </c>
      <c r="V184" s="1">
        <f>V183+'.r file'!V189</f>
        <v>695</v>
      </c>
      <c r="W184" s="1">
        <f>W183+'.r file'!W189</f>
        <v>926</v>
      </c>
      <c r="X184" s="1">
        <f>X183+'.r file'!X189</f>
        <v>786</v>
      </c>
      <c r="Y184" s="1">
        <f>Y183+'.r file'!Y189</f>
        <v>618</v>
      </c>
      <c r="Z184" s="1">
        <f>Z183+'.r file'!Z189</f>
        <v>845.01</v>
      </c>
      <c r="AA184" s="1">
        <f>AA183+'.r file'!AA189</f>
        <v>696.11000000000138</v>
      </c>
      <c r="AB184" s="1">
        <f>AB183+'.r file'!AB189</f>
        <v>634.71000000000038</v>
      </c>
      <c r="AC184" s="1">
        <f>AC183+'.r file'!AC189</f>
        <v>669</v>
      </c>
      <c r="AD184" s="1">
        <f>AD183+'.r file'!AD189</f>
        <v>625.60000000000014</v>
      </c>
      <c r="AE184" s="1">
        <f>AE183+'.r file'!AE189</f>
        <v>632.1600000000002</v>
      </c>
      <c r="AF184" s="1">
        <f>AF183+'.r file'!AF189</f>
        <v>545.72000000000014</v>
      </c>
    </row>
    <row r="185" spans="1:32" x14ac:dyDescent="0.25">
      <c r="A185" s="6">
        <v>27060.958333333332</v>
      </c>
      <c r="B185" s="1">
        <f>B184+'.r file'!B190</f>
        <v>763.32000000000073</v>
      </c>
      <c r="C185" s="1">
        <f>C184+'.r file'!C190</f>
        <v>614.90000000000009</v>
      </c>
      <c r="D185" s="1">
        <f>D184+'.r file'!D190</f>
        <v>375</v>
      </c>
      <c r="E185" s="1">
        <f>E184+'.r file'!E190</f>
        <v>341</v>
      </c>
      <c r="F185" s="1">
        <f>F184+'.r file'!F190</f>
        <v>332.10000000000014</v>
      </c>
      <c r="G185" s="1">
        <f>G184+'.r file'!G190</f>
        <v>226.5799999999999</v>
      </c>
      <c r="H185" s="1">
        <f>H184+'.r file'!H190</f>
        <v>426</v>
      </c>
      <c r="I185" s="1">
        <f>I184+'.r file'!I190</f>
        <v>280.62999999999994</v>
      </c>
      <c r="J185" s="1">
        <f>J184+'.r file'!J190</f>
        <v>269</v>
      </c>
      <c r="K185" s="1">
        <f>K184+'.r file'!K190</f>
        <v>445</v>
      </c>
      <c r="L185" s="1">
        <f>L184+'.r file'!L190</f>
        <v>400.31999999999914</v>
      </c>
      <c r="M185" s="1">
        <f>M184+'.r file'!M190</f>
        <v>1303</v>
      </c>
      <c r="N185" s="1">
        <f>N184+'.r file'!N190</f>
        <v>110.40999999999995</v>
      </c>
      <c r="O185" s="1">
        <f>O184+'.r file'!O190</f>
        <v>637</v>
      </c>
      <c r="P185" s="1">
        <f>P184+'.r file'!P190</f>
        <v>367.61999999999944</v>
      </c>
      <c r="Q185" s="1">
        <f>Q184+'.r file'!Q190</f>
        <v>445</v>
      </c>
      <c r="R185" s="1">
        <f>R184+'.r file'!R190</f>
        <v>439.87999999999988</v>
      </c>
      <c r="S185" s="1">
        <f>S184+'.r file'!S190</f>
        <v>497.34999999999997</v>
      </c>
      <c r="T185" s="1">
        <f>T184+'.r file'!T190</f>
        <v>536</v>
      </c>
      <c r="U185" s="1">
        <f>U184+'.r file'!U190</f>
        <v>878.58000000000038</v>
      </c>
      <c r="V185" s="1">
        <f>V184+'.r file'!V190</f>
        <v>695</v>
      </c>
      <c r="W185" s="1">
        <f>W184+'.r file'!W190</f>
        <v>926</v>
      </c>
      <c r="X185" s="1">
        <f>X184+'.r file'!X190</f>
        <v>786</v>
      </c>
      <c r="Y185" s="1">
        <f>Y184+'.r file'!Y190</f>
        <v>618</v>
      </c>
      <c r="Z185" s="1">
        <f>Z184+'.r file'!Z190</f>
        <v>845.21</v>
      </c>
      <c r="AA185" s="1">
        <f>AA184+'.r file'!AA190</f>
        <v>696.11000000000138</v>
      </c>
      <c r="AB185" s="1">
        <f>AB184+'.r file'!AB190</f>
        <v>634.71000000000038</v>
      </c>
      <c r="AC185" s="1">
        <f>AC184+'.r file'!AC190</f>
        <v>669</v>
      </c>
      <c r="AD185" s="1">
        <f>AD184+'.r file'!AD190</f>
        <v>625.60000000000014</v>
      </c>
      <c r="AE185" s="1">
        <f>AE184+'.r file'!AE190</f>
        <v>632.1600000000002</v>
      </c>
      <c r="AF185" s="1">
        <f>AF184+'.r file'!AF190</f>
        <v>545.72000000000014</v>
      </c>
    </row>
    <row r="186" spans="1:32" x14ac:dyDescent="0.25">
      <c r="A186" s="6">
        <v>27061</v>
      </c>
      <c r="B186" s="1">
        <f>B185+'.r file'!B191</f>
        <v>764.32000000000073</v>
      </c>
      <c r="C186" s="1">
        <f>C185+'.r file'!C191</f>
        <v>614.90000000000009</v>
      </c>
      <c r="D186" s="1">
        <f>D185+'.r file'!D191</f>
        <v>375</v>
      </c>
      <c r="E186" s="1">
        <f>E185+'.r file'!E191</f>
        <v>341</v>
      </c>
      <c r="F186" s="1">
        <f>F185+'.r file'!F191</f>
        <v>333.10000000000014</v>
      </c>
      <c r="G186" s="1">
        <f>G185+'.r file'!G191</f>
        <v>227.5799999999999</v>
      </c>
      <c r="H186" s="1">
        <f>H185+'.r file'!H191</f>
        <v>426</v>
      </c>
      <c r="I186" s="1">
        <f>I185+'.r file'!I191</f>
        <v>281.62999999999994</v>
      </c>
      <c r="J186" s="1">
        <f>J185+'.r file'!J191</f>
        <v>269</v>
      </c>
      <c r="K186" s="1">
        <f>K185+'.r file'!K191</f>
        <v>445</v>
      </c>
      <c r="L186" s="1">
        <f>L185+'.r file'!L191</f>
        <v>400.31999999999914</v>
      </c>
      <c r="M186" s="1">
        <f>M185+'.r file'!M191</f>
        <v>1303</v>
      </c>
      <c r="N186" s="1">
        <f>N185+'.r file'!N191</f>
        <v>111.40999999999995</v>
      </c>
      <c r="O186" s="1">
        <f>O185+'.r file'!O191</f>
        <v>637</v>
      </c>
      <c r="P186" s="1">
        <f>P185+'.r file'!P191</f>
        <v>368.61999999999944</v>
      </c>
      <c r="Q186" s="1">
        <f>Q185+'.r file'!Q191</f>
        <v>445</v>
      </c>
      <c r="R186" s="1">
        <f>R185+'.r file'!R191</f>
        <v>440.87999999999988</v>
      </c>
      <c r="S186" s="1">
        <f>S185+'.r file'!S191</f>
        <v>498.34999999999997</v>
      </c>
      <c r="T186" s="1">
        <f>T185+'.r file'!T191</f>
        <v>536</v>
      </c>
      <c r="U186" s="1">
        <f>U185+'.r file'!U191</f>
        <v>879.58000000000038</v>
      </c>
      <c r="V186" s="1">
        <f>V185+'.r file'!V191</f>
        <v>695</v>
      </c>
      <c r="W186" s="1">
        <f>W185+'.r file'!W191</f>
        <v>926</v>
      </c>
      <c r="X186" s="1">
        <f>X185+'.r file'!X191</f>
        <v>786</v>
      </c>
      <c r="Y186" s="1">
        <f>Y185+'.r file'!Y191</f>
        <v>618</v>
      </c>
      <c r="Z186" s="1">
        <f>Z185+'.r file'!Z191</f>
        <v>846.21</v>
      </c>
      <c r="AA186" s="1">
        <f>AA185+'.r file'!AA191</f>
        <v>697.11000000000138</v>
      </c>
      <c r="AB186" s="1">
        <f>AB185+'.r file'!AB191</f>
        <v>636.01000000000033</v>
      </c>
      <c r="AC186" s="1">
        <f>AC185+'.r file'!AC191</f>
        <v>669</v>
      </c>
      <c r="AD186" s="1">
        <f>AD185+'.r file'!AD191</f>
        <v>625.60000000000014</v>
      </c>
      <c r="AE186" s="1">
        <f>AE185+'.r file'!AE191</f>
        <v>634.46000000000015</v>
      </c>
      <c r="AF186" s="1">
        <f>AF185+'.r file'!AF191</f>
        <v>546.72000000000014</v>
      </c>
    </row>
    <row r="187" spans="1:32" x14ac:dyDescent="0.25">
      <c r="A187" s="6">
        <v>27061.041666666668</v>
      </c>
      <c r="B187" s="1">
        <f>B186+'.r file'!B192</f>
        <v>764.32000000000073</v>
      </c>
      <c r="C187" s="1">
        <f>C186+'.r file'!C192</f>
        <v>614.90000000000009</v>
      </c>
      <c r="D187" s="1">
        <f>D186+'.r file'!D192</f>
        <v>375</v>
      </c>
      <c r="E187" s="1">
        <f>E186+'.r file'!E192</f>
        <v>341</v>
      </c>
      <c r="F187" s="1">
        <f>F186+'.r file'!F192</f>
        <v>333.10000000000014</v>
      </c>
      <c r="G187" s="1">
        <f>G186+'.r file'!G192</f>
        <v>227.5799999999999</v>
      </c>
      <c r="H187" s="1">
        <f>H186+'.r file'!H192</f>
        <v>426</v>
      </c>
      <c r="I187" s="1">
        <f>I186+'.r file'!I192</f>
        <v>281.62999999999994</v>
      </c>
      <c r="J187" s="1">
        <f>J186+'.r file'!J192</f>
        <v>269</v>
      </c>
      <c r="K187" s="1">
        <f>K186+'.r file'!K192</f>
        <v>445</v>
      </c>
      <c r="L187" s="1">
        <f>L186+'.r file'!L192</f>
        <v>400.31999999999914</v>
      </c>
      <c r="M187" s="1">
        <f>M186+'.r file'!M192</f>
        <v>1303</v>
      </c>
      <c r="N187" s="1">
        <f>N186+'.r file'!N192</f>
        <v>111.40999999999995</v>
      </c>
      <c r="O187" s="1">
        <f>O186+'.r file'!O192</f>
        <v>637</v>
      </c>
      <c r="P187" s="1">
        <f>P186+'.r file'!P192</f>
        <v>368.61999999999944</v>
      </c>
      <c r="Q187" s="1">
        <f>Q186+'.r file'!Q192</f>
        <v>445</v>
      </c>
      <c r="R187" s="1">
        <f>R186+'.r file'!R192</f>
        <v>440.87999999999988</v>
      </c>
      <c r="S187" s="1">
        <f>S186+'.r file'!S192</f>
        <v>498.34999999999997</v>
      </c>
      <c r="T187" s="1">
        <f>T186+'.r file'!T192</f>
        <v>536</v>
      </c>
      <c r="U187" s="1">
        <f>U186+'.r file'!U192</f>
        <v>879.58000000000038</v>
      </c>
      <c r="V187" s="1">
        <f>V186+'.r file'!V192</f>
        <v>695</v>
      </c>
      <c r="W187" s="1">
        <f>W186+'.r file'!W192</f>
        <v>926</v>
      </c>
      <c r="X187" s="1">
        <f>X186+'.r file'!X192</f>
        <v>786</v>
      </c>
      <c r="Y187" s="1">
        <f>Y186+'.r file'!Y192</f>
        <v>618</v>
      </c>
      <c r="Z187" s="1">
        <f>Z186+'.r file'!Z192</f>
        <v>846.21</v>
      </c>
      <c r="AA187" s="1">
        <f>AA186+'.r file'!AA192</f>
        <v>697.11000000000138</v>
      </c>
      <c r="AB187" s="1">
        <f>AB186+'.r file'!AB192</f>
        <v>639.61000000000035</v>
      </c>
      <c r="AC187" s="1">
        <f>AC186+'.r file'!AC192</f>
        <v>669</v>
      </c>
      <c r="AD187" s="1">
        <f>AD186+'.r file'!AD192</f>
        <v>625.60000000000014</v>
      </c>
      <c r="AE187" s="1">
        <f>AE186+'.r file'!AE192</f>
        <v>635.1600000000002</v>
      </c>
      <c r="AF187" s="1">
        <f>AF186+'.r file'!AF192</f>
        <v>546.72000000000014</v>
      </c>
    </row>
    <row r="188" spans="1:32" x14ac:dyDescent="0.25">
      <c r="A188" s="6">
        <v>27061.083333333332</v>
      </c>
      <c r="B188" s="1">
        <f>B187+'.r file'!B193</f>
        <v>764.32000000000073</v>
      </c>
      <c r="C188" s="1">
        <f>C187+'.r file'!C193</f>
        <v>614.90000000000009</v>
      </c>
      <c r="D188" s="1">
        <f>D187+'.r file'!D193</f>
        <v>375</v>
      </c>
      <c r="E188" s="1">
        <f>E187+'.r file'!E193</f>
        <v>341</v>
      </c>
      <c r="F188" s="1">
        <f>F187+'.r file'!F193</f>
        <v>333.10000000000014</v>
      </c>
      <c r="G188" s="1">
        <f>G187+'.r file'!G193</f>
        <v>227.5799999999999</v>
      </c>
      <c r="H188" s="1">
        <f>H187+'.r file'!H193</f>
        <v>426</v>
      </c>
      <c r="I188" s="1">
        <f>I187+'.r file'!I193</f>
        <v>281.62999999999994</v>
      </c>
      <c r="J188" s="1">
        <f>J187+'.r file'!J193</f>
        <v>269</v>
      </c>
      <c r="K188" s="1">
        <f>K187+'.r file'!K193</f>
        <v>445</v>
      </c>
      <c r="L188" s="1">
        <f>L187+'.r file'!L193</f>
        <v>400.31999999999914</v>
      </c>
      <c r="M188" s="1">
        <f>M187+'.r file'!M193</f>
        <v>1303</v>
      </c>
      <c r="N188" s="1">
        <f>N187+'.r file'!N193</f>
        <v>111.40999999999995</v>
      </c>
      <c r="O188" s="1">
        <f>O187+'.r file'!O193</f>
        <v>637</v>
      </c>
      <c r="P188" s="1">
        <f>P187+'.r file'!P193</f>
        <v>368.61999999999944</v>
      </c>
      <c r="Q188" s="1">
        <f>Q187+'.r file'!Q193</f>
        <v>445</v>
      </c>
      <c r="R188" s="1">
        <f>R187+'.r file'!R193</f>
        <v>440.87999999999988</v>
      </c>
      <c r="S188" s="1">
        <f>S187+'.r file'!S193</f>
        <v>498.34999999999997</v>
      </c>
      <c r="T188" s="1">
        <f>T187+'.r file'!T193</f>
        <v>536</v>
      </c>
      <c r="U188" s="1">
        <f>U187+'.r file'!U193</f>
        <v>879.58000000000038</v>
      </c>
      <c r="V188" s="1">
        <f>V187+'.r file'!V193</f>
        <v>695</v>
      </c>
      <c r="W188" s="1">
        <f>W187+'.r file'!W193</f>
        <v>926</v>
      </c>
      <c r="X188" s="1">
        <f>X187+'.r file'!X193</f>
        <v>786</v>
      </c>
      <c r="Y188" s="1">
        <f>Y187+'.r file'!Y193</f>
        <v>618</v>
      </c>
      <c r="Z188" s="1">
        <f>Z187+'.r file'!Z193</f>
        <v>846.21</v>
      </c>
      <c r="AA188" s="1">
        <f>AA187+'.r file'!AA193</f>
        <v>697.11000000000138</v>
      </c>
      <c r="AB188" s="1">
        <f>AB187+'.r file'!AB193</f>
        <v>639.61000000000035</v>
      </c>
      <c r="AC188" s="1">
        <f>AC187+'.r file'!AC193</f>
        <v>669</v>
      </c>
      <c r="AD188" s="1">
        <f>AD187+'.r file'!AD193</f>
        <v>625.60000000000014</v>
      </c>
      <c r="AE188" s="1">
        <f>AE187+'.r file'!AE193</f>
        <v>635.1600000000002</v>
      </c>
      <c r="AF188" s="1">
        <f>AF187+'.r file'!AF193</f>
        <v>546.72000000000014</v>
      </c>
    </row>
    <row r="189" spans="1:32" x14ac:dyDescent="0.25">
      <c r="A189" s="6">
        <v>27061.125</v>
      </c>
      <c r="B189" s="1">
        <f>B188+'.r file'!B194</f>
        <v>764.32000000000073</v>
      </c>
      <c r="C189" s="1">
        <f>C188+'.r file'!C194</f>
        <v>614.90000000000009</v>
      </c>
      <c r="D189" s="1">
        <f>D188+'.r file'!D194</f>
        <v>375</v>
      </c>
      <c r="E189" s="1">
        <f>E188+'.r file'!E194</f>
        <v>341</v>
      </c>
      <c r="F189" s="1">
        <f>F188+'.r file'!F194</f>
        <v>333.10000000000014</v>
      </c>
      <c r="G189" s="1">
        <f>G188+'.r file'!G194</f>
        <v>227.5799999999999</v>
      </c>
      <c r="H189" s="1">
        <f>H188+'.r file'!H194</f>
        <v>426</v>
      </c>
      <c r="I189" s="1">
        <f>I188+'.r file'!I194</f>
        <v>281.62999999999994</v>
      </c>
      <c r="J189" s="1">
        <f>J188+'.r file'!J194</f>
        <v>269</v>
      </c>
      <c r="K189" s="1">
        <f>K188+'.r file'!K194</f>
        <v>445</v>
      </c>
      <c r="L189" s="1">
        <f>L188+'.r file'!L194</f>
        <v>400.31999999999914</v>
      </c>
      <c r="M189" s="1">
        <f>M188+'.r file'!M194</f>
        <v>1303</v>
      </c>
      <c r="N189" s="1">
        <f>N188+'.r file'!N194</f>
        <v>111.40999999999995</v>
      </c>
      <c r="O189" s="1">
        <f>O188+'.r file'!O194</f>
        <v>637</v>
      </c>
      <c r="P189" s="1">
        <f>P188+'.r file'!P194</f>
        <v>368.61999999999944</v>
      </c>
      <c r="Q189" s="1">
        <f>Q188+'.r file'!Q194</f>
        <v>445</v>
      </c>
      <c r="R189" s="1">
        <f>R188+'.r file'!R194</f>
        <v>440.87999999999988</v>
      </c>
      <c r="S189" s="1">
        <f>S188+'.r file'!S194</f>
        <v>498.34999999999997</v>
      </c>
      <c r="T189" s="1">
        <f>T188+'.r file'!T194</f>
        <v>536</v>
      </c>
      <c r="U189" s="1">
        <f>U188+'.r file'!U194</f>
        <v>880.38000000000034</v>
      </c>
      <c r="V189" s="1">
        <f>V188+'.r file'!V194</f>
        <v>695</v>
      </c>
      <c r="W189" s="1">
        <f>W188+'.r file'!W194</f>
        <v>926</v>
      </c>
      <c r="X189" s="1">
        <f>X188+'.r file'!X194</f>
        <v>786</v>
      </c>
      <c r="Y189" s="1">
        <f>Y188+'.r file'!Y194</f>
        <v>618</v>
      </c>
      <c r="Z189" s="1">
        <f>Z188+'.r file'!Z194</f>
        <v>846.21</v>
      </c>
      <c r="AA189" s="1">
        <f>AA188+'.r file'!AA194</f>
        <v>697.11000000000138</v>
      </c>
      <c r="AB189" s="1">
        <f>AB188+'.r file'!AB194</f>
        <v>639.61000000000035</v>
      </c>
      <c r="AC189" s="1">
        <f>AC188+'.r file'!AC194</f>
        <v>669</v>
      </c>
      <c r="AD189" s="1">
        <f>AD188+'.r file'!AD194</f>
        <v>625.60000000000014</v>
      </c>
      <c r="AE189" s="1">
        <f>AE188+'.r file'!AE194</f>
        <v>635.1600000000002</v>
      </c>
      <c r="AF189" s="1">
        <f>AF188+'.r file'!AF194</f>
        <v>546.72000000000014</v>
      </c>
    </row>
    <row r="190" spans="1:32" x14ac:dyDescent="0.25">
      <c r="A190" s="6">
        <v>27061.166666666668</v>
      </c>
      <c r="B190" s="1">
        <f>B189+'.r file'!B195</f>
        <v>764.32000000000073</v>
      </c>
      <c r="C190" s="1">
        <f>C189+'.r file'!C195</f>
        <v>614.90000000000009</v>
      </c>
      <c r="D190" s="1">
        <f>D189+'.r file'!D195</f>
        <v>375</v>
      </c>
      <c r="E190" s="1">
        <f>E189+'.r file'!E195</f>
        <v>341</v>
      </c>
      <c r="F190" s="1">
        <f>F189+'.r file'!F195</f>
        <v>333.10000000000014</v>
      </c>
      <c r="G190" s="1">
        <f>G189+'.r file'!G195</f>
        <v>227.5799999999999</v>
      </c>
      <c r="H190" s="1">
        <f>H189+'.r file'!H195</f>
        <v>426</v>
      </c>
      <c r="I190" s="1">
        <f>I189+'.r file'!I195</f>
        <v>281.62999999999994</v>
      </c>
      <c r="J190" s="1">
        <f>J189+'.r file'!J195</f>
        <v>269</v>
      </c>
      <c r="K190" s="1">
        <f>K189+'.r file'!K195</f>
        <v>445</v>
      </c>
      <c r="L190" s="1">
        <f>L189+'.r file'!L195</f>
        <v>400.31999999999914</v>
      </c>
      <c r="M190" s="1">
        <f>M189+'.r file'!M195</f>
        <v>1303</v>
      </c>
      <c r="N190" s="1">
        <f>N189+'.r file'!N195</f>
        <v>111.40999999999995</v>
      </c>
      <c r="O190" s="1">
        <f>O189+'.r file'!O195</f>
        <v>637</v>
      </c>
      <c r="P190" s="1">
        <f>P189+'.r file'!P195</f>
        <v>368.61999999999944</v>
      </c>
      <c r="Q190" s="1">
        <f>Q189+'.r file'!Q195</f>
        <v>445</v>
      </c>
      <c r="R190" s="1">
        <f>R189+'.r file'!R195</f>
        <v>440.87999999999988</v>
      </c>
      <c r="S190" s="1">
        <f>S189+'.r file'!S195</f>
        <v>498.34999999999997</v>
      </c>
      <c r="T190" s="1">
        <f>T189+'.r file'!T195</f>
        <v>536</v>
      </c>
      <c r="U190" s="1">
        <f>U189+'.r file'!U195</f>
        <v>880.4200000000003</v>
      </c>
      <c r="V190" s="1">
        <f>V189+'.r file'!V195</f>
        <v>695</v>
      </c>
      <c r="W190" s="1">
        <f>W189+'.r file'!W195</f>
        <v>926</v>
      </c>
      <c r="X190" s="1">
        <f>X189+'.r file'!X195</f>
        <v>786</v>
      </c>
      <c r="Y190" s="1">
        <f>Y189+'.r file'!Y195</f>
        <v>618</v>
      </c>
      <c r="Z190" s="1">
        <f>Z189+'.r file'!Z195</f>
        <v>846.21</v>
      </c>
      <c r="AA190" s="1">
        <f>AA189+'.r file'!AA195</f>
        <v>697.11000000000138</v>
      </c>
      <c r="AB190" s="1">
        <f>AB189+'.r file'!AB195</f>
        <v>639.61000000000035</v>
      </c>
      <c r="AC190" s="1">
        <f>AC189+'.r file'!AC195</f>
        <v>669</v>
      </c>
      <c r="AD190" s="1">
        <f>AD189+'.r file'!AD195</f>
        <v>625.60000000000014</v>
      </c>
      <c r="AE190" s="1">
        <f>AE189+'.r file'!AE195</f>
        <v>635.1600000000002</v>
      </c>
      <c r="AF190" s="1">
        <f>AF189+'.r file'!AF195</f>
        <v>546.72000000000014</v>
      </c>
    </row>
    <row r="191" spans="1:32" x14ac:dyDescent="0.25">
      <c r="A191" s="6">
        <v>27061.208333333332</v>
      </c>
      <c r="B191" s="1">
        <f>B190+'.r file'!B196</f>
        <v>764.32000000000073</v>
      </c>
      <c r="C191" s="1">
        <f>C190+'.r file'!C196</f>
        <v>614.90000000000009</v>
      </c>
      <c r="D191" s="1">
        <f>D190+'.r file'!D196</f>
        <v>375</v>
      </c>
      <c r="E191" s="1">
        <f>E190+'.r file'!E196</f>
        <v>341</v>
      </c>
      <c r="F191" s="1">
        <f>F190+'.r file'!F196</f>
        <v>333.10000000000014</v>
      </c>
      <c r="G191" s="1">
        <f>G190+'.r file'!G196</f>
        <v>227.5799999999999</v>
      </c>
      <c r="H191" s="1">
        <f>H190+'.r file'!H196</f>
        <v>426</v>
      </c>
      <c r="I191" s="1">
        <f>I190+'.r file'!I196</f>
        <v>281.62999999999994</v>
      </c>
      <c r="J191" s="1">
        <f>J190+'.r file'!J196</f>
        <v>269</v>
      </c>
      <c r="K191" s="1">
        <f>K190+'.r file'!K196</f>
        <v>445</v>
      </c>
      <c r="L191" s="1">
        <f>L190+'.r file'!L196</f>
        <v>400.31999999999914</v>
      </c>
      <c r="M191" s="1">
        <f>M190+'.r file'!M196</f>
        <v>1303</v>
      </c>
      <c r="N191" s="1">
        <f>N190+'.r file'!N196</f>
        <v>111.40999999999995</v>
      </c>
      <c r="O191" s="1">
        <f>O190+'.r file'!O196</f>
        <v>637</v>
      </c>
      <c r="P191" s="1">
        <f>P190+'.r file'!P196</f>
        <v>368.61999999999944</v>
      </c>
      <c r="Q191" s="1">
        <f>Q190+'.r file'!Q196</f>
        <v>445</v>
      </c>
      <c r="R191" s="1">
        <f>R190+'.r file'!R196</f>
        <v>440.87999999999988</v>
      </c>
      <c r="S191" s="1">
        <f>S190+'.r file'!S196</f>
        <v>498.34999999999997</v>
      </c>
      <c r="T191" s="1">
        <f>T190+'.r file'!T196</f>
        <v>536</v>
      </c>
      <c r="U191" s="1">
        <f>U190+'.r file'!U196</f>
        <v>880.46000000000026</v>
      </c>
      <c r="V191" s="1">
        <f>V190+'.r file'!V196</f>
        <v>695</v>
      </c>
      <c r="W191" s="1">
        <f>W190+'.r file'!W196</f>
        <v>926</v>
      </c>
      <c r="X191" s="1">
        <f>X190+'.r file'!X196</f>
        <v>786</v>
      </c>
      <c r="Y191" s="1">
        <f>Y190+'.r file'!Y196</f>
        <v>618</v>
      </c>
      <c r="Z191" s="1">
        <f>Z190+'.r file'!Z196</f>
        <v>846.21</v>
      </c>
      <c r="AA191" s="1">
        <f>AA190+'.r file'!AA196</f>
        <v>697.11000000000138</v>
      </c>
      <c r="AB191" s="1">
        <f>AB190+'.r file'!AB196</f>
        <v>639.61000000000035</v>
      </c>
      <c r="AC191" s="1">
        <f>AC190+'.r file'!AC196</f>
        <v>669</v>
      </c>
      <c r="AD191" s="1">
        <f>AD190+'.r file'!AD196</f>
        <v>625.60000000000014</v>
      </c>
      <c r="AE191" s="1">
        <f>AE190+'.r file'!AE196</f>
        <v>635.1600000000002</v>
      </c>
      <c r="AF191" s="1">
        <f>AF190+'.r file'!AF196</f>
        <v>546.72000000000014</v>
      </c>
    </row>
    <row r="192" spans="1:32" x14ac:dyDescent="0.25">
      <c r="A192" s="6">
        <v>27061.25</v>
      </c>
      <c r="B192" s="1">
        <f>B191+'.r file'!B197</f>
        <v>764.32000000000073</v>
      </c>
      <c r="C192" s="1">
        <f>C191+'.r file'!C197</f>
        <v>614.90000000000009</v>
      </c>
      <c r="D192" s="1">
        <f>D191+'.r file'!D197</f>
        <v>375</v>
      </c>
      <c r="E192" s="1">
        <f>E191+'.r file'!E197</f>
        <v>341</v>
      </c>
      <c r="F192" s="1">
        <f>F191+'.r file'!F197</f>
        <v>333.10000000000014</v>
      </c>
      <c r="G192" s="1">
        <f>G191+'.r file'!G197</f>
        <v>227.5799999999999</v>
      </c>
      <c r="H192" s="1">
        <f>H191+'.r file'!H197</f>
        <v>426</v>
      </c>
      <c r="I192" s="1">
        <f>I191+'.r file'!I197</f>
        <v>281.62999999999994</v>
      </c>
      <c r="J192" s="1">
        <f>J191+'.r file'!J197</f>
        <v>269</v>
      </c>
      <c r="K192" s="1">
        <f>K191+'.r file'!K197</f>
        <v>445</v>
      </c>
      <c r="L192" s="1">
        <f>L191+'.r file'!L197</f>
        <v>400.31999999999914</v>
      </c>
      <c r="M192" s="1">
        <f>M191+'.r file'!M197</f>
        <v>1303</v>
      </c>
      <c r="N192" s="1">
        <f>N191+'.r file'!N197</f>
        <v>111.40999999999995</v>
      </c>
      <c r="O192" s="1">
        <f>O191+'.r file'!O197</f>
        <v>637</v>
      </c>
      <c r="P192" s="1">
        <f>P191+'.r file'!P197</f>
        <v>368.61999999999944</v>
      </c>
      <c r="Q192" s="1">
        <f>Q191+'.r file'!Q197</f>
        <v>445</v>
      </c>
      <c r="R192" s="1">
        <f>R191+'.r file'!R197</f>
        <v>440.87999999999988</v>
      </c>
      <c r="S192" s="1">
        <f>S191+'.r file'!S197</f>
        <v>498.34999999999997</v>
      </c>
      <c r="T192" s="1">
        <f>T191+'.r file'!T197</f>
        <v>536</v>
      </c>
      <c r="U192" s="1">
        <f>U191+'.r file'!U197</f>
        <v>880.50000000000023</v>
      </c>
      <c r="V192" s="1">
        <f>V191+'.r file'!V197</f>
        <v>695</v>
      </c>
      <c r="W192" s="1">
        <f>W191+'.r file'!W197</f>
        <v>926</v>
      </c>
      <c r="X192" s="1">
        <f>X191+'.r file'!X197</f>
        <v>786</v>
      </c>
      <c r="Y192" s="1">
        <f>Y191+'.r file'!Y197</f>
        <v>618</v>
      </c>
      <c r="Z192" s="1">
        <f>Z191+'.r file'!Z197</f>
        <v>846.21</v>
      </c>
      <c r="AA192" s="1">
        <f>AA191+'.r file'!AA197</f>
        <v>697.11000000000138</v>
      </c>
      <c r="AB192" s="1">
        <f>AB191+'.r file'!AB197</f>
        <v>639.61000000000035</v>
      </c>
      <c r="AC192" s="1">
        <f>AC191+'.r file'!AC197</f>
        <v>669</v>
      </c>
      <c r="AD192" s="1">
        <f>AD191+'.r file'!AD197</f>
        <v>625.60000000000014</v>
      </c>
      <c r="AE192" s="1">
        <f>AE191+'.r file'!AE197</f>
        <v>635.1600000000002</v>
      </c>
      <c r="AF192" s="1">
        <f>AF191+'.r file'!AF197</f>
        <v>546.72000000000014</v>
      </c>
    </row>
    <row r="193" spans="1:32" x14ac:dyDescent="0.25">
      <c r="A193" s="6">
        <v>27061.291666666668</v>
      </c>
      <c r="B193" s="1">
        <f>B192+'.r file'!B198</f>
        <v>764.32000000000073</v>
      </c>
      <c r="C193" s="1">
        <f>C192+'.r file'!C198</f>
        <v>614.90000000000009</v>
      </c>
      <c r="D193" s="1">
        <f>D192+'.r file'!D198</f>
        <v>375</v>
      </c>
      <c r="E193" s="1">
        <f>E192+'.r file'!E198</f>
        <v>341</v>
      </c>
      <c r="F193" s="1">
        <f>F192+'.r file'!F198</f>
        <v>333.10000000000014</v>
      </c>
      <c r="G193" s="1">
        <f>G192+'.r file'!G198</f>
        <v>227.5799999999999</v>
      </c>
      <c r="H193" s="1">
        <f>H192+'.r file'!H198</f>
        <v>426</v>
      </c>
      <c r="I193" s="1">
        <f>I192+'.r file'!I198</f>
        <v>281.62999999999994</v>
      </c>
      <c r="J193" s="1">
        <f>J192+'.r file'!J198</f>
        <v>269</v>
      </c>
      <c r="K193" s="1">
        <f>K192+'.r file'!K198</f>
        <v>445</v>
      </c>
      <c r="L193" s="1">
        <f>L192+'.r file'!L198</f>
        <v>400.31999999999914</v>
      </c>
      <c r="M193" s="1">
        <f>M192+'.r file'!M198</f>
        <v>1303</v>
      </c>
      <c r="N193" s="1">
        <f>N192+'.r file'!N198</f>
        <v>111.40999999999995</v>
      </c>
      <c r="O193" s="1">
        <f>O192+'.r file'!O198</f>
        <v>637</v>
      </c>
      <c r="P193" s="1">
        <f>P192+'.r file'!P198</f>
        <v>368.61999999999944</v>
      </c>
      <c r="Q193" s="1">
        <f>Q192+'.r file'!Q198</f>
        <v>445</v>
      </c>
      <c r="R193" s="1">
        <f>R192+'.r file'!R198</f>
        <v>440.87999999999988</v>
      </c>
      <c r="S193" s="1">
        <f>S192+'.r file'!S198</f>
        <v>498.34999999999997</v>
      </c>
      <c r="T193" s="1">
        <f>T192+'.r file'!T198</f>
        <v>536</v>
      </c>
      <c r="U193" s="1">
        <f>U192+'.r file'!U198</f>
        <v>880.54000000000019</v>
      </c>
      <c r="V193" s="1">
        <f>V192+'.r file'!V198</f>
        <v>695</v>
      </c>
      <c r="W193" s="1">
        <f>W192+'.r file'!W198</f>
        <v>926</v>
      </c>
      <c r="X193" s="1">
        <f>X192+'.r file'!X198</f>
        <v>786</v>
      </c>
      <c r="Y193" s="1">
        <f>Y192+'.r file'!Y198</f>
        <v>618</v>
      </c>
      <c r="Z193" s="1">
        <f>Z192+'.r file'!Z198</f>
        <v>846.21</v>
      </c>
      <c r="AA193" s="1">
        <f>AA192+'.r file'!AA198</f>
        <v>697.11000000000138</v>
      </c>
      <c r="AB193" s="1">
        <f>AB192+'.r file'!AB198</f>
        <v>639.61000000000035</v>
      </c>
      <c r="AC193" s="1">
        <f>AC192+'.r file'!AC198</f>
        <v>669</v>
      </c>
      <c r="AD193" s="1">
        <f>AD192+'.r file'!AD198</f>
        <v>625.60000000000014</v>
      </c>
      <c r="AE193" s="1">
        <f>AE192+'.r file'!AE198</f>
        <v>635.1600000000002</v>
      </c>
      <c r="AF193" s="1">
        <f>AF192+'.r file'!AF198</f>
        <v>546.72000000000014</v>
      </c>
    </row>
    <row r="194" spans="1:32" x14ac:dyDescent="0.25">
      <c r="A194" s="6">
        <v>27061.333333333332</v>
      </c>
      <c r="B194" s="1">
        <f>B193+'.r file'!B199</f>
        <v>764.32000000000073</v>
      </c>
      <c r="C194" s="1">
        <f>C193+'.r file'!C199</f>
        <v>614.90000000000009</v>
      </c>
      <c r="D194" s="1">
        <f>D193+'.r file'!D199</f>
        <v>375</v>
      </c>
      <c r="E194" s="1">
        <f>E193+'.r file'!E199</f>
        <v>341</v>
      </c>
      <c r="F194" s="1">
        <f>F193+'.r file'!F199</f>
        <v>333.10000000000014</v>
      </c>
      <c r="G194" s="1">
        <f>G193+'.r file'!G199</f>
        <v>227.5799999999999</v>
      </c>
      <c r="H194" s="1">
        <f>H193+'.r file'!H199</f>
        <v>426</v>
      </c>
      <c r="I194" s="1">
        <f>I193+'.r file'!I199</f>
        <v>281.62999999999994</v>
      </c>
      <c r="J194" s="1">
        <f>J193+'.r file'!J199</f>
        <v>269</v>
      </c>
      <c r="K194" s="1">
        <f>K193+'.r file'!K199</f>
        <v>445</v>
      </c>
      <c r="L194" s="1">
        <f>L193+'.r file'!L199</f>
        <v>400.31999999999914</v>
      </c>
      <c r="M194" s="1">
        <f>M193+'.r file'!M199</f>
        <v>1303</v>
      </c>
      <c r="N194" s="1">
        <f>N193+'.r file'!N199</f>
        <v>111.40999999999995</v>
      </c>
      <c r="O194" s="1">
        <f>O193+'.r file'!O199</f>
        <v>637</v>
      </c>
      <c r="P194" s="1">
        <f>P193+'.r file'!P199</f>
        <v>368.61999999999944</v>
      </c>
      <c r="Q194" s="1">
        <f>Q193+'.r file'!Q199</f>
        <v>445</v>
      </c>
      <c r="R194" s="1">
        <f>R193+'.r file'!R199</f>
        <v>440.87999999999988</v>
      </c>
      <c r="S194" s="1">
        <f>S193+'.r file'!S199</f>
        <v>498.34999999999997</v>
      </c>
      <c r="T194" s="1">
        <f>T193+'.r file'!T199</f>
        <v>536</v>
      </c>
      <c r="U194" s="1">
        <f>U193+'.r file'!U199</f>
        <v>880.58000000000015</v>
      </c>
      <c r="V194" s="1">
        <f>V193+'.r file'!V199</f>
        <v>695</v>
      </c>
      <c r="W194" s="1">
        <f>W193+'.r file'!W199</f>
        <v>926</v>
      </c>
      <c r="X194" s="1">
        <f>X193+'.r file'!X199</f>
        <v>786</v>
      </c>
      <c r="Y194" s="1">
        <f>Y193+'.r file'!Y199</f>
        <v>618</v>
      </c>
      <c r="Z194" s="1">
        <f>Z193+'.r file'!Z199</f>
        <v>846.21</v>
      </c>
      <c r="AA194" s="1">
        <f>AA193+'.r file'!AA199</f>
        <v>697.11000000000138</v>
      </c>
      <c r="AB194" s="1">
        <f>AB193+'.r file'!AB199</f>
        <v>639.61000000000035</v>
      </c>
      <c r="AC194" s="1">
        <f>AC193+'.r file'!AC199</f>
        <v>669</v>
      </c>
      <c r="AD194" s="1">
        <f>AD193+'.r file'!AD199</f>
        <v>625.60000000000014</v>
      </c>
      <c r="AE194" s="1">
        <f>AE193+'.r file'!AE199</f>
        <v>635.1600000000002</v>
      </c>
      <c r="AF194" s="1">
        <f>AF193+'.r file'!AF199</f>
        <v>546.72000000000014</v>
      </c>
    </row>
    <row r="195" spans="1:32" x14ac:dyDescent="0.25">
      <c r="A195" s="6">
        <v>27061.375</v>
      </c>
      <c r="B195" s="1">
        <f>B194+'.r file'!B200</f>
        <v>764.32000000000073</v>
      </c>
      <c r="C195" s="1">
        <f>C194+'.r file'!C200</f>
        <v>614.90000000000009</v>
      </c>
      <c r="D195" s="1">
        <f>D194+'.r file'!D200</f>
        <v>375</v>
      </c>
      <c r="E195" s="1">
        <f>E194+'.r file'!E200</f>
        <v>341</v>
      </c>
      <c r="F195" s="1">
        <f>F194+'.r file'!F200</f>
        <v>333.10000000000014</v>
      </c>
      <c r="G195" s="1">
        <f>G194+'.r file'!G200</f>
        <v>227.5799999999999</v>
      </c>
      <c r="H195" s="1">
        <f>H194+'.r file'!H200</f>
        <v>426</v>
      </c>
      <c r="I195" s="1">
        <f>I194+'.r file'!I200</f>
        <v>281.62999999999994</v>
      </c>
      <c r="J195" s="1">
        <f>J194+'.r file'!J200</f>
        <v>269</v>
      </c>
      <c r="K195" s="1">
        <f>K194+'.r file'!K200</f>
        <v>445</v>
      </c>
      <c r="L195" s="1">
        <f>L194+'.r file'!L200</f>
        <v>400.31999999999914</v>
      </c>
      <c r="M195" s="1">
        <f>M194+'.r file'!M200</f>
        <v>1303</v>
      </c>
      <c r="N195" s="1">
        <f>N194+'.r file'!N200</f>
        <v>111.40999999999995</v>
      </c>
      <c r="O195" s="1">
        <f>O194+'.r file'!O200</f>
        <v>637</v>
      </c>
      <c r="P195" s="1">
        <f>P194+'.r file'!P200</f>
        <v>368.61999999999944</v>
      </c>
      <c r="Q195" s="1">
        <f>Q194+'.r file'!Q200</f>
        <v>445</v>
      </c>
      <c r="R195" s="1">
        <f>R194+'.r file'!R200</f>
        <v>440.87999999999988</v>
      </c>
      <c r="S195" s="1">
        <f>S194+'.r file'!S200</f>
        <v>498.34999999999997</v>
      </c>
      <c r="T195" s="1">
        <f>T194+'.r file'!T200</f>
        <v>536</v>
      </c>
      <c r="U195" s="1">
        <f>U194+'.r file'!U200</f>
        <v>880.58000000000015</v>
      </c>
      <c r="V195" s="1">
        <f>V194+'.r file'!V200</f>
        <v>695</v>
      </c>
      <c r="W195" s="1">
        <f>W194+'.r file'!W200</f>
        <v>926</v>
      </c>
      <c r="X195" s="1">
        <f>X194+'.r file'!X200</f>
        <v>786</v>
      </c>
      <c r="Y195" s="1">
        <f>Y194+'.r file'!Y200</f>
        <v>618</v>
      </c>
      <c r="Z195" s="1">
        <f>Z194+'.r file'!Z200</f>
        <v>846.21</v>
      </c>
      <c r="AA195" s="1">
        <f>AA194+'.r file'!AA200</f>
        <v>697.11000000000138</v>
      </c>
      <c r="AB195" s="1">
        <f>AB194+'.r file'!AB200</f>
        <v>639.61000000000035</v>
      </c>
      <c r="AC195" s="1">
        <f>AC194+'.r file'!AC200</f>
        <v>669</v>
      </c>
      <c r="AD195" s="1">
        <f>AD194+'.r file'!AD200</f>
        <v>625.60000000000014</v>
      </c>
      <c r="AE195" s="1">
        <f>AE194+'.r file'!AE200</f>
        <v>635.1600000000002</v>
      </c>
      <c r="AF195" s="1">
        <f>AF194+'.r file'!AF200</f>
        <v>546.72000000000014</v>
      </c>
    </row>
    <row r="196" spans="1:32" x14ac:dyDescent="0.25">
      <c r="A196" s="6"/>
    </row>
    <row r="197" spans="1:32" x14ac:dyDescent="0.25">
      <c r="A197" s="6"/>
    </row>
    <row r="198" spans="1:32" x14ac:dyDescent="0.25">
      <c r="A198" s="6"/>
    </row>
    <row r="199" spans="1:32" x14ac:dyDescent="0.25">
      <c r="A199" s="6"/>
    </row>
    <row r="200" spans="1:32" x14ac:dyDescent="0.25">
      <c r="A200" s="6"/>
    </row>
    <row r="201" spans="1:32" x14ac:dyDescent="0.25">
      <c r="A201" s="6"/>
    </row>
    <row r="202" spans="1:32" x14ac:dyDescent="0.25">
      <c r="A202" s="6"/>
    </row>
    <row r="203" spans="1:32" x14ac:dyDescent="0.25">
      <c r="A203" s="6"/>
    </row>
    <row r="204" spans="1:32" x14ac:dyDescent="0.25">
      <c r="A204" s="6"/>
    </row>
    <row r="205" spans="1:32" x14ac:dyDescent="0.25">
      <c r="A205" s="6"/>
    </row>
    <row r="206" spans="1:32" x14ac:dyDescent="0.25">
      <c r="A206" s="6"/>
    </row>
    <row r="207" spans="1:32" x14ac:dyDescent="0.25">
      <c r="A207" s="6"/>
    </row>
    <row r="208" spans="1:32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  <row r="674" spans="1:1" x14ac:dyDescent="0.25">
      <c r="A674" s="6"/>
    </row>
    <row r="675" spans="1:1" x14ac:dyDescent="0.25">
      <c r="A675" s="6"/>
    </row>
    <row r="676" spans="1:1" x14ac:dyDescent="0.25">
      <c r="A676" s="6"/>
    </row>
    <row r="677" spans="1:1" x14ac:dyDescent="0.25">
      <c r="A677" s="6"/>
    </row>
    <row r="678" spans="1:1" x14ac:dyDescent="0.25">
      <c r="A678" s="6"/>
    </row>
    <row r="679" spans="1:1" x14ac:dyDescent="0.25">
      <c r="A679" s="6"/>
    </row>
    <row r="680" spans="1:1" x14ac:dyDescent="0.25">
      <c r="A680" s="6"/>
    </row>
    <row r="681" spans="1:1" x14ac:dyDescent="0.25">
      <c r="A681" s="6"/>
    </row>
    <row r="682" spans="1:1" x14ac:dyDescent="0.25">
      <c r="A682" s="6"/>
    </row>
    <row r="683" spans="1:1" x14ac:dyDescent="0.25">
      <c r="A683" s="6"/>
    </row>
    <row r="684" spans="1:1" x14ac:dyDescent="0.25">
      <c r="A684" s="6"/>
    </row>
    <row r="685" spans="1:1" x14ac:dyDescent="0.25">
      <c r="A685" s="6"/>
    </row>
    <row r="686" spans="1:1" x14ac:dyDescent="0.25">
      <c r="A686" s="6"/>
    </row>
    <row r="687" spans="1:1" x14ac:dyDescent="0.25">
      <c r="A687" s="6"/>
    </row>
    <row r="688" spans="1:1" x14ac:dyDescent="0.25">
      <c r="A688" s="6"/>
    </row>
    <row r="689" spans="1:1" x14ac:dyDescent="0.25">
      <c r="A689" s="6"/>
    </row>
    <row r="690" spans="1:1" x14ac:dyDescent="0.25">
      <c r="A690" s="6"/>
    </row>
    <row r="691" spans="1:1" x14ac:dyDescent="0.25">
      <c r="A691" s="6"/>
    </row>
    <row r="692" spans="1:1" x14ac:dyDescent="0.25">
      <c r="A692" s="6"/>
    </row>
    <row r="693" spans="1:1" x14ac:dyDescent="0.25">
      <c r="A693" s="6"/>
    </row>
    <row r="694" spans="1:1" x14ac:dyDescent="0.25">
      <c r="A694" s="6"/>
    </row>
    <row r="695" spans="1:1" x14ac:dyDescent="0.25">
      <c r="A695" s="6"/>
    </row>
    <row r="696" spans="1:1" x14ac:dyDescent="0.25">
      <c r="A696" s="6"/>
    </row>
    <row r="697" spans="1:1" x14ac:dyDescent="0.25">
      <c r="A697" s="6"/>
    </row>
    <row r="698" spans="1:1" x14ac:dyDescent="0.25">
      <c r="A698" s="6"/>
    </row>
    <row r="699" spans="1:1" x14ac:dyDescent="0.25">
      <c r="A699" s="6"/>
    </row>
    <row r="700" spans="1:1" x14ac:dyDescent="0.25">
      <c r="A700" s="6"/>
    </row>
    <row r="701" spans="1:1" x14ac:dyDescent="0.25">
      <c r="A701" s="6"/>
    </row>
    <row r="702" spans="1:1" x14ac:dyDescent="0.25">
      <c r="A702" s="6"/>
    </row>
    <row r="703" spans="1:1" x14ac:dyDescent="0.25">
      <c r="A703" s="6"/>
    </row>
    <row r="704" spans="1:1" x14ac:dyDescent="0.25">
      <c r="A704" s="6"/>
    </row>
    <row r="705" spans="1:1" x14ac:dyDescent="0.25">
      <c r="A705" s="6"/>
    </row>
    <row r="706" spans="1:1" x14ac:dyDescent="0.25">
      <c r="A706" s="6"/>
    </row>
    <row r="707" spans="1:1" x14ac:dyDescent="0.25">
      <c r="A707" s="6"/>
    </row>
    <row r="708" spans="1:1" x14ac:dyDescent="0.25">
      <c r="A708" s="6"/>
    </row>
    <row r="709" spans="1:1" x14ac:dyDescent="0.25">
      <c r="A709" s="6"/>
    </row>
    <row r="710" spans="1:1" x14ac:dyDescent="0.25">
      <c r="A710" s="6"/>
    </row>
    <row r="711" spans="1:1" x14ac:dyDescent="0.25">
      <c r="A711" s="6"/>
    </row>
    <row r="712" spans="1:1" x14ac:dyDescent="0.25">
      <c r="A712" s="6"/>
    </row>
    <row r="713" spans="1:1" x14ac:dyDescent="0.25">
      <c r="A713" s="6"/>
    </row>
    <row r="714" spans="1:1" x14ac:dyDescent="0.25">
      <c r="A714" s="6"/>
    </row>
    <row r="715" spans="1:1" x14ac:dyDescent="0.25">
      <c r="A715" s="6"/>
    </row>
    <row r="716" spans="1:1" x14ac:dyDescent="0.25">
      <c r="A716" s="6"/>
    </row>
    <row r="717" spans="1:1" x14ac:dyDescent="0.25">
      <c r="A717" s="6"/>
    </row>
    <row r="718" spans="1:1" x14ac:dyDescent="0.25">
      <c r="A718" s="6"/>
    </row>
    <row r="719" spans="1:1" x14ac:dyDescent="0.25">
      <c r="A719" s="6"/>
    </row>
    <row r="720" spans="1:1" x14ac:dyDescent="0.25">
      <c r="A720" s="6"/>
    </row>
    <row r="721" spans="1:1" x14ac:dyDescent="0.25">
      <c r="A721" s="6"/>
    </row>
    <row r="722" spans="1:1" x14ac:dyDescent="0.25">
      <c r="A722" s="6"/>
    </row>
    <row r="723" spans="1:1" x14ac:dyDescent="0.25">
      <c r="A723" s="6"/>
    </row>
    <row r="724" spans="1:1" x14ac:dyDescent="0.25">
      <c r="A724" s="6"/>
    </row>
    <row r="725" spans="1:1" x14ac:dyDescent="0.25">
      <c r="A725" s="6"/>
    </row>
    <row r="726" spans="1:1" x14ac:dyDescent="0.25">
      <c r="A726" s="6"/>
    </row>
    <row r="727" spans="1:1" x14ac:dyDescent="0.25">
      <c r="A727" s="6"/>
    </row>
    <row r="728" spans="1:1" x14ac:dyDescent="0.25">
      <c r="A728" s="6"/>
    </row>
    <row r="729" spans="1:1" x14ac:dyDescent="0.25">
      <c r="A729" s="6"/>
    </row>
    <row r="730" spans="1:1" x14ac:dyDescent="0.25">
      <c r="A730" s="6"/>
    </row>
    <row r="731" spans="1:1" x14ac:dyDescent="0.25">
      <c r="A731" s="6"/>
    </row>
    <row r="732" spans="1:1" x14ac:dyDescent="0.25">
      <c r="A732" s="6"/>
    </row>
    <row r="733" spans="1:1" x14ac:dyDescent="0.25">
      <c r="A733" s="6"/>
    </row>
    <row r="734" spans="1:1" x14ac:dyDescent="0.25">
      <c r="A734" s="6"/>
    </row>
    <row r="735" spans="1:1" x14ac:dyDescent="0.25">
      <c r="A735" s="6"/>
    </row>
    <row r="736" spans="1:1" x14ac:dyDescent="0.25">
      <c r="A736" s="6"/>
    </row>
    <row r="737" spans="1:1" x14ac:dyDescent="0.25">
      <c r="A737" s="6"/>
    </row>
    <row r="738" spans="1:1" x14ac:dyDescent="0.25">
      <c r="A738" s="6"/>
    </row>
    <row r="739" spans="1:1" x14ac:dyDescent="0.25">
      <c r="A739" s="6"/>
    </row>
    <row r="740" spans="1:1" x14ac:dyDescent="0.25">
      <c r="A740" s="6"/>
    </row>
    <row r="741" spans="1:1" x14ac:dyDescent="0.25">
      <c r="A741" s="6"/>
    </row>
    <row r="742" spans="1:1" x14ac:dyDescent="0.25">
      <c r="A742" s="6"/>
    </row>
    <row r="743" spans="1:1" x14ac:dyDescent="0.25">
      <c r="A743" s="6"/>
    </row>
    <row r="744" spans="1:1" x14ac:dyDescent="0.25">
      <c r="A744" s="6"/>
    </row>
    <row r="745" spans="1:1" x14ac:dyDescent="0.25">
      <c r="A745" s="6"/>
    </row>
    <row r="746" spans="1:1" x14ac:dyDescent="0.25">
      <c r="A746" s="6"/>
    </row>
    <row r="747" spans="1:1" x14ac:dyDescent="0.25">
      <c r="A747" s="6"/>
    </row>
    <row r="748" spans="1:1" x14ac:dyDescent="0.25">
      <c r="A748" s="6"/>
    </row>
    <row r="749" spans="1:1" x14ac:dyDescent="0.25">
      <c r="A749" s="6"/>
    </row>
    <row r="750" spans="1:1" x14ac:dyDescent="0.25">
      <c r="A750" s="6"/>
    </row>
    <row r="751" spans="1:1" x14ac:dyDescent="0.25">
      <c r="A751" s="6"/>
    </row>
    <row r="752" spans="1:1" x14ac:dyDescent="0.25">
      <c r="A752" s="6"/>
    </row>
    <row r="753" spans="1:1" x14ac:dyDescent="0.25">
      <c r="A753" s="6"/>
    </row>
    <row r="754" spans="1:1" x14ac:dyDescent="0.25">
      <c r="A754" s="6"/>
    </row>
    <row r="755" spans="1:1" x14ac:dyDescent="0.25">
      <c r="A755" s="6"/>
    </row>
    <row r="756" spans="1:1" x14ac:dyDescent="0.25">
      <c r="A756" s="6"/>
    </row>
    <row r="757" spans="1:1" x14ac:dyDescent="0.25">
      <c r="A757" s="6"/>
    </row>
    <row r="758" spans="1:1" x14ac:dyDescent="0.25">
      <c r="A758" s="6"/>
    </row>
    <row r="759" spans="1:1" x14ac:dyDescent="0.25">
      <c r="A759" s="6"/>
    </row>
    <row r="760" spans="1:1" x14ac:dyDescent="0.25">
      <c r="A760" s="6"/>
    </row>
    <row r="761" spans="1:1" x14ac:dyDescent="0.25">
      <c r="A761" s="6"/>
    </row>
    <row r="762" spans="1:1" x14ac:dyDescent="0.25">
      <c r="A762" s="6"/>
    </row>
    <row r="763" spans="1:1" x14ac:dyDescent="0.25">
      <c r="A763" s="6"/>
    </row>
    <row r="764" spans="1:1" x14ac:dyDescent="0.25">
      <c r="A764" s="6"/>
    </row>
    <row r="765" spans="1:1" x14ac:dyDescent="0.25">
      <c r="A765" s="6"/>
    </row>
    <row r="766" spans="1:1" x14ac:dyDescent="0.25">
      <c r="A766" s="6"/>
    </row>
    <row r="767" spans="1:1" x14ac:dyDescent="0.25">
      <c r="A767" s="6"/>
    </row>
    <row r="768" spans="1:1" x14ac:dyDescent="0.25">
      <c r="A768" s="6"/>
    </row>
    <row r="769" spans="1:1" x14ac:dyDescent="0.25">
      <c r="A769" s="6"/>
    </row>
    <row r="770" spans="1:1" x14ac:dyDescent="0.25">
      <c r="A770" s="6"/>
    </row>
    <row r="771" spans="1:1" x14ac:dyDescent="0.25">
      <c r="A771" s="6"/>
    </row>
    <row r="772" spans="1:1" x14ac:dyDescent="0.25">
      <c r="A772" s="6"/>
    </row>
    <row r="773" spans="1:1" x14ac:dyDescent="0.25">
      <c r="A773" s="6"/>
    </row>
    <row r="774" spans="1:1" x14ac:dyDescent="0.25">
      <c r="A774" s="6"/>
    </row>
    <row r="775" spans="1:1" x14ac:dyDescent="0.25">
      <c r="A775" s="6"/>
    </row>
    <row r="776" spans="1:1" x14ac:dyDescent="0.25">
      <c r="A776" s="6"/>
    </row>
    <row r="777" spans="1:1" x14ac:dyDescent="0.25">
      <c r="A777" s="6"/>
    </row>
    <row r="778" spans="1:1" x14ac:dyDescent="0.25">
      <c r="A778" s="6"/>
    </row>
    <row r="779" spans="1:1" x14ac:dyDescent="0.25">
      <c r="A779" s="6"/>
    </row>
    <row r="780" spans="1:1" x14ac:dyDescent="0.25">
      <c r="A780" s="6"/>
    </row>
    <row r="781" spans="1:1" x14ac:dyDescent="0.25">
      <c r="A781" s="6"/>
    </row>
    <row r="782" spans="1:1" x14ac:dyDescent="0.25">
      <c r="A782" s="6"/>
    </row>
    <row r="783" spans="1:1" x14ac:dyDescent="0.25">
      <c r="A783" s="6"/>
    </row>
    <row r="784" spans="1:1" x14ac:dyDescent="0.25">
      <c r="A784" s="6"/>
    </row>
    <row r="785" spans="1:1" x14ac:dyDescent="0.25">
      <c r="A785" s="6"/>
    </row>
    <row r="786" spans="1:1" x14ac:dyDescent="0.25">
      <c r="A786" s="6"/>
    </row>
    <row r="787" spans="1:1" x14ac:dyDescent="0.25">
      <c r="A787" s="6"/>
    </row>
    <row r="788" spans="1:1" x14ac:dyDescent="0.25">
      <c r="A788" s="6"/>
    </row>
    <row r="789" spans="1:1" x14ac:dyDescent="0.25">
      <c r="A789" s="6"/>
    </row>
    <row r="790" spans="1:1" x14ac:dyDescent="0.25">
      <c r="A790" s="6"/>
    </row>
    <row r="791" spans="1:1" x14ac:dyDescent="0.25">
      <c r="A791" s="6"/>
    </row>
    <row r="792" spans="1:1" x14ac:dyDescent="0.25">
      <c r="A792" s="6"/>
    </row>
    <row r="793" spans="1:1" x14ac:dyDescent="0.25">
      <c r="A793" s="6"/>
    </row>
    <row r="794" spans="1:1" x14ac:dyDescent="0.25">
      <c r="A794" s="6"/>
    </row>
    <row r="795" spans="1:1" x14ac:dyDescent="0.25">
      <c r="A795" s="6"/>
    </row>
    <row r="796" spans="1:1" x14ac:dyDescent="0.25">
      <c r="A796" s="6"/>
    </row>
    <row r="797" spans="1:1" x14ac:dyDescent="0.25">
      <c r="A797" s="6"/>
    </row>
    <row r="798" spans="1:1" x14ac:dyDescent="0.25">
      <c r="A798" s="6"/>
    </row>
    <row r="799" spans="1:1" x14ac:dyDescent="0.25">
      <c r="A799" s="6"/>
    </row>
    <row r="800" spans="1:1" x14ac:dyDescent="0.25">
      <c r="A800" s="6"/>
    </row>
    <row r="801" spans="1:1" x14ac:dyDescent="0.25">
      <c r="A801" s="6"/>
    </row>
    <row r="802" spans="1:1" x14ac:dyDescent="0.25">
      <c r="A802" s="6"/>
    </row>
    <row r="803" spans="1:1" x14ac:dyDescent="0.25">
      <c r="A803" s="6"/>
    </row>
    <row r="804" spans="1:1" x14ac:dyDescent="0.25">
      <c r="A804" s="6"/>
    </row>
    <row r="805" spans="1:1" x14ac:dyDescent="0.25">
      <c r="A805" s="6"/>
    </row>
    <row r="806" spans="1:1" x14ac:dyDescent="0.25">
      <c r="A806" s="6"/>
    </row>
    <row r="807" spans="1:1" x14ac:dyDescent="0.25">
      <c r="A807" s="6"/>
    </row>
    <row r="808" spans="1:1" x14ac:dyDescent="0.25">
      <c r="A808" s="6"/>
    </row>
    <row r="809" spans="1:1" x14ac:dyDescent="0.25">
      <c r="A809" s="6"/>
    </row>
    <row r="810" spans="1:1" x14ac:dyDescent="0.25">
      <c r="A810" s="6"/>
    </row>
    <row r="811" spans="1:1" x14ac:dyDescent="0.25">
      <c r="A811" s="6"/>
    </row>
    <row r="812" spans="1:1" x14ac:dyDescent="0.25">
      <c r="A812" s="6"/>
    </row>
    <row r="813" spans="1:1" x14ac:dyDescent="0.25">
      <c r="A813" s="6"/>
    </row>
    <row r="814" spans="1:1" x14ac:dyDescent="0.25">
      <c r="A814" s="6"/>
    </row>
    <row r="815" spans="1:1" x14ac:dyDescent="0.25">
      <c r="A815" s="6"/>
    </row>
    <row r="816" spans="1:1" x14ac:dyDescent="0.25">
      <c r="A816" s="6"/>
    </row>
    <row r="817" spans="1:1" x14ac:dyDescent="0.25">
      <c r="A817" s="6"/>
    </row>
    <row r="818" spans="1:1" x14ac:dyDescent="0.25">
      <c r="A818" s="6"/>
    </row>
    <row r="819" spans="1:1" x14ac:dyDescent="0.25">
      <c r="A819" s="6"/>
    </row>
    <row r="820" spans="1:1" x14ac:dyDescent="0.25">
      <c r="A820" s="6"/>
    </row>
    <row r="821" spans="1:1" x14ac:dyDescent="0.25">
      <c r="A821" s="6"/>
    </row>
    <row r="822" spans="1:1" x14ac:dyDescent="0.25">
      <c r="A822" s="6"/>
    </row>
    <row r="823" spans="1:1" x14ac:dyDescent="0.25">
      <c r="A823" s="6"/>
    </row>
    <row r="824" spans="1:1" x14ac:dyDescent="0.25">
      <c r="A824" s="6"/>
    </row>
    <row r="825" spans="1:1" x14ac:dyDescent="0.25">
      <c r="A825" s="6"/>
    </row>
    <row r="826" spans="1:1" x14ac:dyDescent="0.25">
      <c r="A826" s="6"/>
    </row>
    <row r="827" spans="1:1" x14ac:dyDescent="0.25">
      <c r="A827" s="6"/>
    </row>
    <row r="828" spans="1:1" x14ac:dyDescent="0.25">
      <c r="A828" s="6"/>
    </row>
    <row r="829" spans="1:1" x14ac:dyDescent="0.25">
      <c r="A829" s="6"/>
    </row>
    <row r="830" spans="1:1" x14ac:dyDescent="0.25">
      <c r="A830" s="6"/>
    </row>
    <row r="831" spans="1:1" x14ac:dyDescent="0.25">
      <c r="A831" s="6"/>
    </row>
    <row r="832" spans="1:1" x14ac:dyDescent="0.25">
      <c r="A832" s="6"/>
    </row>
    <row r="833" spans="1:1" x14ac:dyDescent="0.25">
      <c r="A833" s="6"/>
    </row>
    <row r="834" spans="1:1" x14ac:dyDescent="0.25">
      <c r="A834" s="6"/>
    </row>
    <row r="835" spans="1:1" x14ac:dyDescent="0.25">
      <c r="A835" s="6"/>
    </row>
    <row r="836" spans="1:1" x14ac:dyDescent="0.25">
      <c r="A836" s="6"/>
    </row>
    <row r="837" spans="1:1" x14ac:dyDescent="0.25">
      <c r="A837" s="6"/>
    </row>
    <row r="838" spans="1:1" x14ac:dyDescent="0.25">
      <c r="A838" s="6"/>
    </row>
    <row r="839" spans="1:1" x14ac:dyDescent="0.25">
      <c r="A839" s="6"/>
    </row>
    <row r="840" spans="1:1" x14ac:dyDescent="0.25">
      <c r="A840" s="6"/>
    </row>
    <row r="841" spans="1:1" x14ac:dyDescent="0.25">
      <c r="A841" s="6"/>
    </row>
    <row r="842" spans="1:1" x14ac:dyDescent="0.25">
      <c r="A842" s="6"/>
    </row>
    <row r="843" spans="1:1" x14ac:dyDescent="0.25">
      <c r="A843" s="6"/>
    </row>
    <row r="844" spans="1:1" x14ac:dyDescent="0.25">
      <c r="A844" s="6"/>
    </row>
    <row r="845" spans="1:1" x14ac:dyDescent="0.25">
      <c r="A845" s="6"/>
    </row>
    <row r="846" spans="1:1" x14ac:dyDescent="0.25">
      <c r="A846" s="6"/>
    </row>
    <row r="847" spans="1:1" x14ac:dyDescent="0.25">
      <c r="A847" s="6"/>
    </row>
    <row r="848" spans="1:1" x14ac:dyDescent="0.25">
      <c r="A848" s="6"/>
    </row>
    <row r="849" spans="1:1" x14ac:dyDescent="0.25">
      <c r="A849" s="6"/>
    </row>
    <row r="850" spans="1:1" x14ac:dyDescent="0.25">
      <c r="A850" s="6"/>
    </row>
    <row r="851" spans="1:1" x14ac:dyDescent="0.25">
      <c r="A851" s="6"/>
    </row>
    <row r="852" spans="1:1" x14ac:dyDescent="0.25">
      <c r="A852" s="6"/>
    </row>
    <row r="853" spans="1:1" x14ac:dyDescent="0.25">
      <c r="A853" s="6"/>
    </row>
    <row r="854" spans="1:1" x14ac:dyDescent="0.25">
      <c r="A854" s="6"/>
    </row>
    <row r="855" spans="1:1" x14ac:dyDescent="0.25">
      <c r="A855" s="6"/>
    </row>
    <row r="856" spans="1:1" x14ac:dyDescent="0.25">
      <c r="A856" s="6"/>
    </row>
    <row r="857" spans="1:1" x14ac:dyDescent="0.25">
      <c r="A857" s="6"/>
    </row>
    <row r="858" spans="1:1" x14ac:dyDescent="0.25">
      <c r="A858" s="6"/>
    </row>
    <row r="859" spans="1:1" x14ac:dyDescent="0.25">
      <c r="A859" s="6"/>
    </row>
    <row r="860" spans="1:1" x14ac:dyDescent="0.25">
      <c r="A860" s="6"/>
    </row>
    <row r="861" spans="1:1" x14ac:dyDescent="0.25">
      <c r="A861" s="6"/>
    </row>
    <row r="862" spans="1:1" x14ac:dyDescent="0.25">
      <c r="A862" s="6"/>
    </row>
    <row r="863" spans="1:1" x14ac:dyDescent="0.25">
      <c r="A863" s="6"/>
    </row>
    <row r="864" spans="1:1" x14ac:dyDescent="0.25">
      <c r="A864" s="6"/>
    </row>
    <row r="865" spans="1:1" x14ac:dyDescent="0.25">
      <c r="A865" s="6"/>
    </row>
    <row r="866" spans="1:1" x14ac:dyDescent="0.25">
      <c r="A866" s="6"/>
    </row>
    <row r="867" spans="1:1" x14ac:dyDescent="0.25">
      <c r="A867" s="6"/>
    </row>
    <row r="868" spans="1:1" x14ac:dyDescent="0.25">
      <c r="A868" s="6"/>
    </row>
    <row r="869" spans="1:1" x14ac:dyDescent="0.25">
      <c r="A869" s="6"/>
    </row>
    <row r="870" spans="1:1" x14ac:dyDescent="0.25">
      <c r="A870" s="6"/>
    </row>
    <row r="871" spans="1:1" x14ac:dyDescent="0.25">
      <c r="A871" s="6"/>
    </row>
    <row r="872" spans="1:1" x14ac:dyDescent="0.25">
      <c r="A872" s="6"/>
    </row>
    <row r="873" spans="1:1" x14ac:dyDescent="0.25">
      <c r="A873" s="6"/>
    </row>
    <row r="874" spans="1:1" x14ac:dyDescent="0.25">
      <c r="A874" s="6"/>
    </row>
    <row r="875" spans="1:1" x14ac:dyDescent="0.25">
      <c r="A875" s="6"/>
    </row>
    <row r="876" spans="1:1" x14ac:dyDescent="0.25">
      <c r="A876" s="6"/>
    </row>
    <row r="877" spans="1:1" x14ac:dyDescent="0.25">
      <c r="A877" s="6"/>
    </row>
    <row r="878" spans="1:1" x14ac:dyDescent="0.25">
      <c r="A878" s="6"/>
    </row>
    <row r="879" spans="1:1" x14ac:dyDescent="0.25">
      <c r="A879" s="6"/>
    </row>
    <row r="880" spans="1:1" x14ac:dyDescent="0.25">
      <c r="A880" s="6"/>
    </row>
    <row r="881" spans="1:1" x14ac:dyDescent="0.25">
      <c r="A881" s="6"/>
    </row>
    <row r="882" spans="1:1" x14ac:dyDescent="0.25">
      <c r="A882" s="6"/>
    </row>
    <row r="883" spans="1:1" x14ac:dyDescent="0.25">
      <c r="A883" s="6"/>
    </row>
    <row r="884" spans="1:1" x14ac:dyDescent="0.25">
      <c r="A884" s="6"/>
    </row>
    <row r="885" spans="1:1" x14ac:dyDescent="0.25">
      <c r="A885" s="6"/>
    </row>
    <row r="886" spans="1:1" x14ac:dyDescent="0.25">
      <c r="A886" s="6"/>
    </row>
    <row r="887" spans="1:1" x14ac:dyDescent="0.25">
      <c r="A887" s="6"/>
    </row>
    <row r="888" spans="1:1" x14ac:dyDescent="0.25">
      <c r="A888" s="6"/>
    </row>
    <row r="889" spans="1:1" x14ac:dyDescent="0.25">
      <c r="A889" s="6"/>
    </row>
    <row r="890" spans="1:1" x14ac:dyDescent="0.25">
      <c r="A890" s="6"/>
    </row>
    <row r="891" spans="1:1" x14ac:dyDescent="0.25">
      <c r="A891" s="6"/>
    </row>
    <row r="892" spans="1:1" x14ac:dyDescent="0.25">
      <c r="A892" s="6"/>
    </row>
    <row r="893" spans="1:1" x14ac:dyDescent="0.25">
      <c r="A893" s="6"/>
    </row>
    <row r="894" spans="1:1" x14ac:dyDescent="0.25">
      <c r="A894" s="6"/>
    </row>
    <row r="895" spans="1:1" x14ac:dyDescent="0.25">
      <c r="A895" s="6"/>
    </row>
    <row r="896" spans="1:1" x14ac:dyDescent="0.25">
      <c r="A896" s="6"/>
    </row>
    <row r="897" spans="1:1" x14ac:dyDescent="0.25">
      <c r="A897" s="6"/>
    </row>
    <row r="898" spans="1:1" x14ac:dyDescent="0.25">
      <c r="A898" s="6"/>
    </row>
    <row r="899" spans="1:1" x14ac:dyDescent="0.25">
      <c r="A899" s="6"/>
    </row>
    <row r="900" spans="1:1" x14ac:dyDescent="0.25">
      <c r="A900" s="6"/>
    </row>
    <row r="901" spans="1:1" x14ac:dyDescent="0.25">
      <c r="A901" s="6"/>
    </row>
    <row r="902" spans="1:1" x14ac:dyDescent="0.25">
      <c r="A902" s="6"/>
    </row>
    <row r="903" spans="1:1" x14ac:dyDescent="0.25">
      <c r="A903" s="6"/>
    </row>
    <row r="904" spans="1:1" x14ac:dyDescent="0.25">
      <c r="A904" s="6"/>
    </row>
    <row r="905" spans="1:1" x14ac:dyDescent="0.25">
      <c r="A905" s="6"/>
    </row>
    <row r="906" spans="1:1" x14ac:dyDescent="0.25">
      <c r="A906" s="6"/>
    </row>
    <row r="907" spans="1:1" x14ac:dyDescent="0.25">
      <c r="A907" s="6"/>
    </row>
    <row r="908" spans="1:1" x14ac:dyDescent="0.25">
      <c r="A908" s="6"/>
    </row>
    <row r="909" spans="1:1" x14ac:dyDescent="0.25">
      <c r="A909" s="6"/>
    </row>
    <row r="910" spans="1:1" x14ac:dyDescent="0.25">
      <c r="A910" s="6"/>
    </row>
    <row r="911" spans="1:1" x14ac:dyDescent="0.25">
      <c r="A911" s="6"/>
    </row>
    <row r="912" spans="1:1" x14ac:dyDescent="0.25">
      <c r="A912" s="6"/>
    </row>
    <row r="913" spans="1:1" x14ac:dyDescent="0.25">
      <c r="A913" s="6"/>
    </row>
    <row r="914" spans="1:1" x14ac:dyDescent="0.25">
      <c r="A914" s="6"/>
    </row>
    <row r="915" spans="1:1" x14ac:dyDescent="0.25">
      <c r="A915" s="6"/>
    </row>
    <row r="916" spans="1:1" x14ac:dyDescent="0.25">
      <c r="A916" s="6"/>
    </row>
    <row r="917" spans="1:1" x14ac:dyDescent="0.25">
      <c r="A917" s="6"/>
    </row>
    <row r="918" spans="1:1" x14ac:dyDescent="0.25">
      <c r="A918" s="6"/>
    </row>
    <row r="919" spans="1:1" x14ac:dyDescent="0.25">
      <c r="A919" s="6"/>
    </row>
    <row r="920" spans="1:1" x14ac:dyDescent="0.25">
      <c r="A920" s="6"/>
    </row>
    <row r="921" spans="1:1" x14ac:dyDescent="0.25">
      <c r="A921" s="6"/>
    </row>
    <row r="922" spans="1:1" x14ac:dyDescent="0.25">
      <c r="A922" s="6"/>
    </row>
    <row r="923" spans="1:1" x14ac:dyDescent="0.25">
      <c r="A923" s="6"/>
    </row>
    <row r="924" spans="1:1" x14ac:dyDescent="0.25">
      <c r="A924" s="6"/>
    </row>
    <row r="925" spans="1:1" x14ac:dyDescent="0.25">
      <c r="A925" s="6"/>
    </row>
    <row r="926" spans="1:1" x14ac:dyDescent="0.25">
      <c r="A926" s="6"/>
    </row>
    <row r="927" spans="1:1" x14ac:dyDescent="0.25">
      <c r="A927" s="6"/>
    </row>
    <row r="928" spans="1:1" x14ac:dyDescent="0.25">
      <c r="A928" s="6"/>
    </row>
    <row r="929" spans="1:1" x14ac:dyDescent="0.25">
      <c r="A929" s="6"/>
    </row>
    <row r="930" spans="1:1" x14ac:dyDescent="0.25">
      <c r="A930" s="6"/>
    </row>
    <row r="931" spans="1:1" x14ac:dyDescent="0.25">
      <c r="A931" s="6"/>
    </row>
    <row r="932" spans="1:1" x14ac:dyDescent="0.25">
      <c r="A932" s="6"/>
    </row>
    <row r="933" spans="1:1" x14ac:dyDescent="0.25">
      <c r="A933" s="6"/>
    </row>
    <row r="934" spans="1:1" x14ac:dyDescent="0.25">
      <c r="A934" s="6"/>
    </row>
    <row r="935" spans="1:1" x14ac:dyDescent="0.25">
      <c r="A935" s="6"/>
    </row>
    <row r="936" spans="1:1" x14ac:dyDescent="0.25">
      <c r="A936" s="6"/>
    </row>
    <row r="937" spans="1:1" x14ac:dyDescent="0.25">
      <c r="A937" s="6"/>
    </row>
    <row r="938" spans="1:1" x14ac:dyDescent="0.25">
      <c r="A938" s="6"/>
    </row>
    <row r="939" spans="1:1" x14ac:dyDescent="0.25">
      <c r="A939" s="6"/>
    </row>
    <row r="940" spans="1:1" x14ac:dyDescent="0.25">
      <c r="A940" s="6"/>
    </row>
    <row r="941" spans="1:1" x14ac:dyDescent="0.25">
      <c r="A941" s="6"/>
    </row>
    <row r="942" spans="1:1" x14ac:dyDescent="0.25">
      <c r="A942" s="6"/>
    </row>
    <row r="943" spans="1:1" x14ac:dyDescent="0.25">
      <c r="A943" s="6"/>
    </row>
    <row r="944" spans="1:1" x14ac:dyDescent="0.25">
      <c r="A944" s="6"/>
    </row>
    <row r="945" spans="1:1" x14ac:dyDescent="0.25">
      <c r="A945" s="6"/>
    </row>
    <row r="946" spans="1:1" x14ac:dyDescent="0.25">
      <c r="A946" s="6"/>
    </row>
    <row r="947" spans="1:1" x14ac:dyDescent="0.25">
      <c r="A947" s="6"/>
    </row>
    <row r="948" spans="1:1" x14ac:dyDescent="0.25">
      <c r="A948" s="6"/>
    </row>
    <row r="949" spans="1:1" x14ac:dyDescent="0.25">
      <c r="A949" s="6"/>
    </row>
    <row r="950" spans="1:1" x14ac:dyDescent="0.25">
      <c r="A950" s="6"/>
    </row>
    <row r="951" spans="1:1" x14ac:dyDescent="0.25">
      <c r="A951" s="6"/>
    </row>
    <row r="952" spans="1:1" x14ac:dyDescent="0.25">
      <c r="A952" s="6"/>
    </row>
    <row r="953" spans="1:1" x14ac:dyDescent="0.25">
      <c r="A953" s="6"/>
    </row>
    <row r="954" spans="1:1" x14ac:dyDescent="0.25">
      <c r="A954" s="6"/>
    </row>
    <row r="955" spans="1:1" x14ac:dyDescent="0.25">
      <c r="A955" s="6"/>
    </row>
    <row r="956" spans="1:1" x14ac:dyDescent="0.25">
      <c r="A956" s="6"/>
    </row>
    <row r="957" spans="1:1" x14ac:dyDescent="0.25">
      <c r="A957" s="6"/>
    </row>
    <row r="958" spans="1:1" x14ac:dyDescent="0.25">
      <c r="A958" s="6"/>
    </row>
    <row r="959" spans="1:1" x14ac:dyDescent="0.25">
      <c r="A959" s="6"/>
    </row>
    <row r="960" spans="1:1" x14ac:dyDescent="0.25">
      <c r="A960" s="6"/>
    </row>
    <row r="961" spans="1:1" x14ac:dyDescent="0.25">
      <c r="A961" s="6"/>
    </row>
    <row r="962" spans="1:1" x14ac:dyDescent="0.25">
      <c r="A962" s="6"/>
    </row>
    <row r="963" spans="1:1" x14ac:dyDescent="0.25">
      <c r="A963" s="6"/>
    </row>
    <row r="964" spans="1:1" x14ac:dyDescent="0.25">
      <c r="A964" s="6"/>
    </row>
    <row r="965" spans="1:1" x14ac:dyDescent="0.25">
      <c r="A965" s="6"/>
    </row>
    <row r="966" spans="1:1" x14ac:dyDescent="0.25">
      <c r="A966" s="6"/>
    </row>
    <row r="967" spans="1:1" x14ac:dyDescent="0.25">
      <c r="A967" s="6"/>
    </row>
    <row r="968" spans="1:1" x14ac:dyDescent="0.25">
      <c r="A968" s="6"/>
    </row>
    <row r="969" spans="1:1" x14ac:dyDescent="0.25">
      <c r="A969" s="6"/>
    </row>
    <row r="970" spans="1:1" x14ac:dyDescent="0.25">
      <c r="A970" s="6"/>
    </row>
    <row r="971" spans="1:1" x14ac:dyDescent="0.25">
      <c r="A971" s="6"/>
    </row>
    <row r="972" spans="1:1" x14ac:dyDescent="0.25">
      <c r="A972" s="6"/>
    </row>
    <row r="973" spans="1:1" x14ac:dyDescent="0.25">
      <c r="A973" s="6"/>
    </row>
    <row r="974" spans="1:1" x14ac:dyDescent="0.25">
      <c r="A974" s="6"/>
    </row>
    <row r="975" spans="1:1" x14ac:dyDescent="0.25">
      <c r="A975" s="6"/>
    </row>
    <row r="976" spans="1:1" x14ac:dyDescent="0.25">
      <c r="A976" s="6"/>
    </row>
    <row r="977" spans="1:1" x14ac:dyDescent="0.25">
      <c r="A977" s="6"/>
    </row>
    <row r="978" spans="1:1" x14ac:dyDescent="0.25">
      <c r="A978" s="6"/>
    </row>
    <row r="979" spans="1:1" x14ac:dyDescent="0.25">
      <c r="A979" s="6"/>
    </row>
    <row r="980" spans="1:1" x14ac:dyDescent="0.25">
      <c r="A980" s="6"/>
    </row>
    <row r="981" spans="1:1" x14ac:dyDescent="0.25">
      <c r="A981" s="6"/>
    </row>
    <row r="982" spans="1:1" x14ac:dyDescent="0.25">
      <c r="A982" s="6"/>
    </row>
    <row r="983" spans="1:1" x14ac:dyDescent="0.25">
      <c r="A983" s="6"/>
    </row>
    <row r="984" spans="1:1" x14ac:dyDescent="0.25">
      <c r="A984" s="6"/>
    </row>
    <row r="985" spans="1:1" x14ac:dyDescent="0.25">
      <c r="A985" s="6"/>
    </row>
    <row r="986" spans="1:1" x14ac:dyDescent="0.25">
      <c r="A986" s="6"/>
    </row>
    <row r="987" spans="1:1" x14ac:dyDescent="0.25">
      <c r="A987" s="6"/>
    </row>
    <row r="988" spans="1:1" x14ac:dyDescent="0.25">
      <c r="A988" s="6"/>
    </row>
    <row r="989" spans="1:1" x14ac:dyDescent="0.25">
      <c r="A989" s="6"/>
    </row>
    <row r="990" spans="1:1" x14ac:dyDescent="0.25">
      <c r="A990" s="6"/>
    </row>
    <row r="991" spans="1:1" x14ac:dyDescent="0.25">
      <c r="A991" s="6"/>
    </row>
    <row r="992" spans="1:1" x14ac:dyDescent="0.25">
      <c r="A992" s="6"/>
    </row>
    <row r="993" spans="1:1" x14ac:dyDescent="0.25">
      <c r="A993" s="6"/>
    </row>
    <row r="994" spans="1:1" x14ac:dyDescent="0.25">
      <c r="A994" s="6"/>
    </row>
    <row r="995" spans="1:1" x14ac:dyDescent="0.25">
      <c r="A995" s="6"/>
    </row>
    <row r="996" spans="1:1" x14ac:dyDescent="0.25">
      <c r="A996" s="6"/>
    </row>
    <row r="997" spans="1:1" x14ac:dyDescent="0.25">
      <c r="A997" s="6"/>
    </row>
    <row r="998" spans="1:1" x14ac:dyDescent="0.25">
      <c r="A998" s="6"/>
    </row>
    <row r="999" spans="1:1" x14ac:dyDescent="0.25">
      <c r="A999" s="6"/>
    </row>
    <row r="1000" spans="1:1" x14ac:dyDescent="0.25">
      <c r="A1000" s="6"/>
    </row>
    <row r="1001" spans="1:1" x14ac:dyDescent="0.25">
      <c r="A1001" s="6"/>
    </row>
    <row r="1002" spans="1:1" x14ac:dyDescent="0.25">
      <c r="A1002" s="6"/>
    </row>
    <row r="1003" spans="1:1" x14ac:dyDescent="0.25">
      <c r="A1003" s="6"/>
    </row>
    <row r="1004" spans="1:1" x14ac:dyDescent="0.25">
      <c r="A1004" s="6"/>
    </row>
    <row r="1005" spans="1:1" x14ac:dyDescent="0.25">
      <c r="A1005" s="6"/>
    </row>
    <row r="1006" spans="1:1" x14ac:dyDescent="0.25">
      <c r="A1006" s="6"/>
    </row>
    <row r="1007" spans="1:1" x14ac:dyDescent="0.25">
      <c r="A1007" s="6"/>
    </row>
    <row r="1008" spans="1:1" x14ac:dyDescent="0.25">
      <c r="A1008" s="6"/>
    </row>
    <row r="1009" spans="1:1" x14ac:dyDescent="0.25">
      <c r="A1009" s="6"/>
    </row>
    <row r="1010" spans="1:1" x14ac:dyDescent="0.25">
      <c r="A1010" s="6"/>
    </row>
    <row r="1011" spans="1:1" x14ac:dyDescent="0.25">
      <c r="A1011" s="6"/>
    </row>
    <row r="1012" spans="1:1" x14ac:dyDescent="0.25">
      <c r="A1012" s="6"/>
    </row>
    <row r="1013" spans="1:1" x14ac:dyDescent="0.25">
      <c r="A1013" s="6"/>
    </row>
    <row r="1014" spans="1:1" x14ac:dyDescent="0.25">
      <c r="A1014" s="6"/>
    </row>
    <row r="1015" spans="1:1" x14ac:dyDescent="0.25">
      <c r="A1015" s="6"/>
    </row>
    <row r="1016" spans="1:1" x14ac:dyDescent="0.25">
      <c r="A1016" s="6"/>
    </row>
    <row r="1017" spans="1:1" x14ac:dyDescent="0.25">
      <c r="A1017" s="6"/>
    </row>
    <row r="1018" spans="1:1" x14ac:dyDescent="0.25">
      <c r="A1018" s="6"/>
    </row>
    <row r="1019" spans="1:1" x14ac:dyDescent="0.25">
      <c r="A1019" s="6"/>
    </row>
    <row r="1020" spans="1:1" x14ac:dyDescent="0.25">
      <c r="A1020" s="6"/>
    </row>
    <row r="1021" spans="1:1" x14ac:dyDescent="0.25">
      <c r="A1021" s="6"/>
    </row>
    <row r="1022" spans="1:1" x14ac:dyDescent="0.25">
      <c r="A1022" s="6"/>
    </row>
    <row r="1023" spans="1:1" x14ac:dyDescent="0.25">
      <c r="A1023" s="6"/>
    </row>
    <row r="1024" spans="1:1" x14ac:dyDescent="0.25">
      <c r="A1024" s="6"/>
    </row>
    <row r="1025" spans="1:1" x14ac:dyDescent="0.25">
      <c r="A1025" s="6"/>
    </row>
    <row r="1026" spans="1:1" x14ac:dyDescent="0.25">
      <c r="A1026" s="6"/>
    </row>
    <row r="1027" spans="1:1" x14ac:dyDescent="0.25">
      <c r="A1027" s="6"/>
    </row>
    <row r="1028" spans="1:1" x14ac:dyDescent="0.25">
      <c r="A1028" s="6"/>
    </row>
    <row r="1029" spans="1:1" x14ac:dyDescent="0.25">
      <c r="A1029" s="6"/>
    </row>
    <row r="1030" spans="1:1" x14ac:dyDescent="0.25">
      <c r="A1030" s="6"/>
    </row>
    <row r="1031" spans="1:1" x14ac:dyDescent="0.25">
      <c r="A1031" s="6"/>
    </row>
    <row r="1032" spans="1:1" x14ac:dyDescent="0.25">
      <c r="A1032" s="6"/>
    </row>
    <row r="1033" spans="1:1" x14ac:dyDescent="0.25">
      <c r="A1033" s="6"/>
    </row>
    <row r="1034" spans="1:1" x14ac:dyDescent="0.25">
      <c r="A1034" s="6"/>
    </row>
    <row r="1035" spans="1:1" x14ac:dyDescent="0.25">
      <c r="A1035" s="6"/>
    </row>
    <row r="1036" spans="1:1" x14ac:dyDescent="0.25">
      <c r="A1036" s="6"/>
    </row>
    <row r="1037" spans="1:1" x14ac:dyDescent="0.25">
      <c r="A1037" s="6"/>
    </row>
    <row r="1038" spans="1:1" x14ac:dyDescent="0.25">
      <c r="A1038" s="6"/>
    </row>
    <row r="1039" spans="1:1" x14ac:dyDescent="0.25">
      <c r="A1039" s="6"/>
    </row>
    <row r="1040" spans="1:1" x14ac:dyDescent="0.25">
      <c r="A1040" s="6"/>
    </row>
    <row r="1041" spans="1:1" x14ac:dyDescent="0.25">
      <c r="A1041" s="6"/>
    </row>
    <row r="1042" spans="1:1" x14ac:dyDescent="0.25">
      <c r="A1042" s="6"/>
    </row>
    <row r="1043" spans="1:1" x14ac:dyDescent="0.25">
      <c r="A1043" s="6"/>
    </row>
    <row r="1044" spans="1:1" x14ac:dyDescent="0.25">
      <c r="A1044" s="6"/>
    </row>
    <row r="1045" spans="1:1" x14ac:dyDescent="0.25">
      <c r="A1045" s="6"/>
    </row>
    <row r="1046" spans="1:1" x14ac:dyDescent="0.25">
      <c r="A1046" s="6"/>
    </row>
    <row r="1047" spans="1:1" x14ac:dyDescent="0.25">
      <c r="A1047" s="6"/>
    </row>
    <row r="1048" spans="1:1" x14ac:dyDescent="0.25">
      <c r="A1048" s="6"/>
    </row>
    <row r="1049" spans="1:1" x14ac:dyDescent="0.25">
      <c r="A1049" s="6"/>
    </row>
    <row r="1050" spans="1:1" x14ac:dyDescent="0.25">
      <c r="A1050" s="6"/>
    </row>
    <row r="1051" spans="1:1" x14ac:dyDescent="0.25">
      <c r="A1051" s="6"/>
    </row>
    <row r="1052" spans="1:1" x14ac:dyDescent="0.25">
      <c r="A1052" s="6"/>
    </row>
    <row r="1053" spans="1:1" x14ac:dyDescent="0.25">
      <c r="A1053" s="6"/>
    </row>
    <row r="1054" spans="1:1" x14ac:dyDescent="0.25">
      <c r="A1054" s="6"/>
    </row>
    <row r="1055" spans="1:1" x14ac:dyDescent="0.25">
      <c r="A1055" s="6"/>
    </row>
    <row r="1056" spans="1:1" x14ac:dyDescent="0.25">
      <c r="A1056" s="6"/>
    </row>
    <row r="1057" spans="1:1" x14ac:dyDescent="0.25">
      <c r="A1057" s="6"/>
    </row>
    <row r="1058" spans="1:1" x14ac:dyDescent="0.25">
      <c r="A1058" s="6"/>
    </row>
    <row r="1059" spans="1:1" x14ac:dyDescent="0.25">
      <c r="A1059" s="6"/>
    </row>
    <row r="1060" spans="1:1" x14ac:dyDescent="0.25">
      <c r="A1060" s="6"/>
    </row>
    <row r="1061" spans="1:1" x14ac:dyDescent="0.25">
      <c r="A1061" s="6"/>
    </row>
    <row r="1062" spans="1:1" x14ac:dyDescent="0.25">
      <c r="A1062" s="6"/>
    </row>
    <row r="1063" spans="1:1" x14ac:dyDescent="0.25">
      <c r="A1063" s="6"/>
    </row>
    <row r="1064" spans="1:1" x14ac:dyDescent="0.25">
      <c r="A1064" s="6"/>
    </row>
    <row r="1065" spans="1:1" x14ac:dyDescent="0.25">
      <c r="A1065" s="6"/>
    </row>
    <row r="1066" spans="1:1" x14ac:dyDescent="0.25">
      <c r="A1066" s="6"/>
    </row>
    <row r="1067" spans="1:1" x14ac:dyDescent="0.25">
      <c r="A1067" s="6"/>
    </row>
    <row r="1068" spans="1:1" x14ac:dyDescent="0.25">
      <c r="A1068" s="6"/>
    </row>
    <row r="1069" spans="1:1" x14ac:dyDescent="0.25">
      <c r="A1069" s="6"/>
    </row>
    <row r="1070" spans="1:1" x14ac:dyDescent="0.25">
      <c r="A1070" s="6"/>
    </row>
    <row r="1071" spans="1:1" x14ac:dyDescent="0.25">
      <c r="A1071" s="6"/>
    </row>
    <row r="1072" spans="1:1" x14ac:dyDescent="0.25">
      <c r="A1072" s="6"/>
    </row>
    <row r="1073" spans="1:1" x14ac:dyDescent="0.25">
      <c r="A1073" s="6"/>
    </row>
    <row r="1074" spans="1:1" x14ac:dyDescent="0.25">
      <c r="A1074" s="6"/>
    </row>
    <row r="1075" spans="1:1" x14ac:dyDescent="0.25">
      <c r="A1075" s="6"/>
    </row>
    <row r="1076" spans="1:1" x14ac:dyDescent="0.25">
      <c r="A1076" s="6"/>
    </row>
    <row r="1077" spans="1:1" x14ac:dyDescent="0.25">
      <c r="A1077" s="6"/>
    </row>
    <row r="1078" spans="1:1" x14ac:dyDescent="0.25">
      <c r="A1078" s="6"/>
    </row>
    <row r="1079" spans="1:1" x14ac:dyDescent="0.25">
      <c r="A1079" s="6"/>
    </row>
    <row r="1080" spans="1:1" x14ac:dyDescent="0.25">
      <c r="A1080" s="6"/>
    </row>
    <row r="1081" spans="1:1" x14ac:dyDescent="0.25">
      <c r="A1081" s="6"/>
    </row>
    <row r="1082" spans="1:1" x14ac:dyDescent="0.25">
      <c r="A1082" s="6"/>
    </row>
    <row r="1083" spans="1:1" x14ac:dyDescent="0.25">
      <c r="A1083" s="6"/>
    </row>
    <row r="1084" spans="1:1" x14ac:dyDescent="0.25">
      <c r="A1084" s="6"/>
    </row>
    <row r="1085" spans="1:1" x14ac:dyDescent="0.25">
      <c r="A1085" s="6"/>
    </row>
    <row r="1086" spans="1:1" x14ac:dyDescent="0.25">
      <c r="A1086" s="6"/>
    </row>
    <row r="1087" spans="1:1" x14ac:dyDescent="0.25">
      <c r="A1087" s="6"/>
    </row>
    <row r="1088" spans="1:1" x14ac:dyDescent="0.25">
      <c r="A1088" s="6"/>
    </row>
    <row r="1089" spans="1:1" x14ac:dyDescent="0.25">
      <c r="A1089" s="6"/>
    </row>
    <row r="1090" spans="1:1" x14ac:dyDescent="0.25">
      <c r="A1090" s="6"/>
    </row>
    <row r="1091" spans="1:1" x14ac:dyDescent="0.25">
      <c r="A1091" s="6"/>
    </row>
    <row r="1092" spans="1:1" x14ac:dyDescent="0.25">
      <c r="A1092" s="6"/>
    </row>
    <row r="1093" spans="1:1" x14ac:dyDescent="0.25">
      <c r="A1093" s="6"/>
    </row>
    <row r="1094" spans="1:1" x14ac:dyDescent="0.25">
      <c r="A1094" s="6"/>
    </row>
    <row r="1095" spans="1:1" x14ac:dyDescent="0.25">
      <c r="A1095" s="6"/>
    </row>
    <row r="1096" spans="1:1" x14ac:dyDescent="0.25">
      <c r="A1096" s="6"/>
    </row>
    <row r="1097" spans="1:1" x14ac:dyDescent="0.25">
      <c r="A1097" s="6"/>
    </row>
    <row r="1098" spans="1:1" x14ac:dyDescent="0.25">
      <c r="A1098" s="6"/>
    </row>
    <row r="1099" spans="1:1" x14ac:dyDescent="0.25">
      <c r="A1099" s="6"/>
    </row>
    <row r="1100" spans="1:1" x14ac:dyDescent="0.25">
      <c r="A1100" s="6"/>
    </row>
    <row r="1101" spans="1:1" x14ac:dyDescent="0.25">
      <c r="A1101" s="6"/>
    </row>
    <row r="1102" spans="1:1" x14ac:dyDescent="0.25">
      <c r="A1102" s="6"/>
    </row>
    <row r="1103" spans="1:1" x14ac:dyDescent="0.25">
      <c r="A1103" s="6"/>
    </row>
    <row r="1104" spans="1:1" x14ac:dyDescent="0.25">
      <c r="A1104" s="6"/>
    </row>
    <row r="1105" spans="1:1" x14ac:dyDescent="0.25">
      <c r="A1105" s="6"/>
    </row>
    <row r="1106" spans="1:1" x14ac:dyDescent="0.25">
      <c r="A1106" s="6"/>
    </row>
    <row r="1107" spans="1:1" x14ac:dyDescent="0.25">
      <c r="A1107" s="6"/>
    </row>
    <row r="1108" spans="1:1" x14ac:dyDescent="0.25">
      <c r="A1108" s="6"/>
    </row>
    <row r="1109" spans="1:1" x14ac:dyDescent="0.25">
      <c r="A1109" s="6"/>
    </row>
    <row r="1110" spans="1:1" x14ac:dyDescent="0.25">
      <c r="A1110" s="6"/>
    </row>
    <row r="1111" spans="1:1" x14ac:dyDescent="0.25">
      <c r="A1111" s="6"/>
    </row>
    <row r="1112" spans="1:1" x14ac:dyDescent="0.25">
      <c r="A1112" s="6"/>
    </row>
    <row r="1113" spans="1:1" x14ac:dyDescent="0.25">
      <c r="A1113" s="6"/>
    </row>
    <row r="1114" spans="1:1" x14ac:dyDescent="0.25">
      <c r="A1114" s="6"/>
    </row>
    <row r="1115" spans="1:1" x14ac:dyDescent="0.25">
      <c r="A1115" s="6"/>
    </row>
    <row r="1116" spans="1:1" x14ac:dyDescent="0.25">
      <c r="A1116" s="6"/>
    </row>
    <row r="1117" spans="1:1" x14ac:dyDescent="0.25">
      <c r="A1117" s="6"/>
    </row>
    <row r="1118" spans="1:1" x14ac:dyDescent="0.25">
      <c r="A1118" s="6"/>
    </row>
    <row r="1119" spans="1:1" x14ac:dyDescent="0.25">
      <c r="A1119" s="6"/>
    </row>
    <row r="1120" spans="1:1" x14ac:dyDescent="0.25">
      <c r="A1120" s="6"/>
    </row>
    <row r="1121" spans="1:1" x14ac:dyDescent="0.25">
      <c r="A1121" s="6"/>
    </row>
    <row r="1122" spans="1:1" x14ac:dyDescent="0.25">
      <c r="A1122" s="6"/>
    </row>
    <row r="1123" spans="1:1" x14ac:dyDescent="0.25">
      <c r="A1123" s="6"/>
    </row>
    <row r="1124" spans="1:1" x14ac:dyDescent="0.25">
      <c r="A1124" s="6"/>
    </row>
    <row r="1125" spans="1:1" x14ac:dyDescent="0.25">
      <c r="A1125" s="6"/>
    </row>
    <row r="1126" spans="1:1" x14ac:dyDescent="0.25">
      <c r="A1126" s="6"/>
    </row>
    <row r="1127" spans="1:1" x14ac:dyDescent="0.25">
      <c r="A1127" s="6"/>
    </row>
    <row r="1128" spans="1:1" x14ac:dyDescent="0.25">
      <c r="A1128" s="6"/>
    </row>
    <row r="1129" spans="1:1" x14ac:dyDescent="0.25">
      <c r="A1129" s="6"/>
    </row>
    <row r="1130" spans="1:1" x14ac:dyDescent="0.25">
      <c r="A1130" s="6"/>
    </row>
    <row r="1131" spans="1:1" x14ac:dyDescent="0.25">
      <c r="A1131" s="6"/>
    </row>
    <row r="1132" spans="1:1" x14ac:dyDescent="0.25">
      <c r="A1132" s="6"/>
    </row>
    <row r="1133" spans="1:1" x14ac:dyDescent="0.25">
      <c r="A1133" s="6"/>
    </row>
    <row r="1134" spans="1:1" x14ac:dyDescent="0.25">
      <c r="A1134" s="6"/>
    </row>
    <row r="1135" spans="1:1" x14ac:dyDescent="0.25">
      <c r="A1135" s="6"/>
    </row>
    <row r="1136" spans="1:1" x14ac:dyDescent="0.25">
      <c r="A1136" s="6"/>
    </row>
    <row r="1137" spans="1:1" x14ac:dyDescent="0.25">
      <c r="A1137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9</vt:i4>
      </vt:variant>
    </vt:vector>
  </HeadingPairs>
  <TitlesOfParts>
    <vt:vector size="13" baseType="lpstr">
      <vt:lpstr>Sheet1</vt:lpstr>
      <vt:lpstr>Config</vt:lpstr>
      <vt:lpstr>.r file</vt:lpstr>
      <vt:lpstr>cumulative</vt:lpstr>
      <vt:lpstr>Stanley</vt:lpstr>
      <vt:lpstr>Upper</vt:lpstr>
      <vt:lpstr>Wivenhoe</vt:lpstr>
      <vt:lpstr>Lockyer</vt:lpstr>
      <vt:lpstr>Bremer</vt:lpstr>
      <vt:lpstr>LowerTop</vt:lpstr>
      <vt:lpstr>LowerMid</vt:lpstr>
      <vt:lpstr>LowerBottom</vt:lpstr>
      <vt:lpstr>All Others</vt:lpstr>
    </vt:vector>
  </TitlesOfParts>
  <Company>SEQ Water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swang</dc:creator>
  <cp:lastModifiedBy>Lindsay Millard</cp:lastModifiedBy>
  <cp:lastPrinted>2012-09-20T03:08:31Z</cp:lastPrinted>
  <dcterms:created xsi:type="dcterms:W3CDTF">2012-07-25T04:41:12Z</dcterms:created>
  <dcterms:modified xsi:type="dcterms:W3CDTF">2014-08-27T06:38:57Z</dcterms:modified>
</cp:coreProperties>
</file>